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1"/>
  <workbookPr/>
  <mc:AlternateContent xmlns:mc="http://schemas.openxmlformats.org/markup-compatibility/2006">
    <mc:Choice Requires="x15">
      <x15ac:absPath xmlns:x15ac="http://schemas.microsoft.com/office/spreadsheetml/2010/11/ac" url="https://nafdacng.sharepoint.com/sites/PMSLAGOS/Shared Documents/ROUTINE SURVEILLANCE/Routine surveillance database/"/>
    </mc:Choice>
  </mc:AlternateContent>
  <xr:revisionPtr revIDLastSave="1051" documentId="13_ncr:1_{241DED5D-33ED-4FC8-A5D0-1EE70E855023}" xr6:coauthVersionLast="47" xr6:coauthVersionMax="47" xr10:uidLastSave="{1F055BFF-86A8-4522-912B-AEAC5967EA16}"/>
  <bookViews>
    <workbookView xWindow="-90" yWindow="0" windowWidth="9780" windowHeight="10170" xr2:uid="{00000000-000D-0000-FFFF-FFFF00000000}"/>
  </bookViews>
  <sheets>
    <sheet name="2026" sheetId="11" r:id="rId1"/>
    <sheet name="2025" sheetId="10" r:id="rId2"/>
    <sheet name="2024" sheetId="9" r:id="rId3"/>
    <sheet name="2023" sheetId="8" r:id="rId4"/>
    <sheet name="2022" sheetId="7" r:id="rId5"/>
    <sheet name="2021" sheetId="6" r:id="rId6"/>
    <sheet name="2020" sheetId="5" r:id="rId7"/>
    <sheet name="2019" sheetId="4" r:id="rId8"/>
    <sheet name="2018" sheetId="3" r:id="rId9"/>
    <sheet name="2017" sheetId="2" r:id="rId10"/>
    <sheet name="2016" sheetId="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6" l="1"/>
  <c r="A30" i="6"/>
  <c r="A29" i="6"/>
  <c r="A28" i="6"/>
  <c r="A27" i="6"/>
  <c r="A26" i="6"/>
  <c r="A25" i="6"/>
  <c r="A24" i="6"/>
  <c r="A23" i="6"/>
  <c r="A22" i="6"/>
  <c r="A21" i="6"/>
  <c r="A20" i="6"/>
  <c r="A19" i="6"/>
  <c r="A18" i="6"/>
  <c r="A17" i="6"/>
  <c r="A16" i="6"/>
  <c r="A15" i="6"/>
  <c r="A14" i="6"/>
  <c r="A13" i="6"/>
  <c r="A2" i="6"/>
  <c r="A3" i="6"/>
  <c r="A4" i="6"/>
  <c r="A5" i="6"/>
  <c r="A6" i="6"/>
  <c r="A7" i="6"/>
  <c r="A8" i="6"/>
  <c r="A9" i="6"/>
  <c r="A10" i="6"/>
  <c r="A11" i="6"/>
  <c r="A2" i="10"/>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alcChain>
</file>

<file path=xl/sharedStrings.xml><?xml version="1.0" encoding="utf-8"?>
<sst xmlns="http://schemas.openxmlformats.org/spreadsheetml/2006/main" count="4318" uniqueCount="1489">
  <si>
    <t>S/N</t>
  </si>
  <si>
    <t>NAME</t>
  </si>
  <si>
    <t>LOCATION ADDRESS</t>
  </si>
  <si>
    <t>DATE OF LAST VISIT</t>
  </si>
  <si>
    <t>OBSERVATION</t>
  </si>
  <si>
    <t>ACTION TAKEN</t>
  </si>
  <si>
    <t>RECOMMENDATION</t>
  </si>
  <si>
    <t>ADMINISTRATIVE CHARGE</t>
  </si>
  <si>
    <t>WARNING LETTER</t>
  </si>
  <si>
    <t>REMARK</t>
  </si>
  <si>
    <t>INSPECTION DATE</t>
  </si>
  <si>
    <r>
      <rPr>
        <sz val="7"/>
        <color rgb="FF000000"/>
        <rFont val="Times New Roman"/>
      </rPr>
      <t xml:space="preserve">    </t>
    </r>
    <r>
      <rPr>
        <sz val="11"/>
        <color rgb="FF000000"/>
        <rFont val="Aptos"/>
      </rPr>
      <t>Gottgabe Pharmacy</t>
    </r>
  </si>
  <si>
    <r>
      <t>3.</t>
    </r>
    <r>
      <rPr>
        <sz val="7"/>
        <color rgb="FF000000"/>
        <rFont val="Times New Roman"/>
        <family val="1"/>
      </rPr>
      <t xml:space="preserve">      </t>
    </r>
    <r>
      <rPr>
        <sz val="11"/>
        <color rgb="FF000000"/>
        <rFont val="Aptos"/>
        <family val="2"/>
      </rPr>
      <t>26, Prince Adebowo Adediji Street, Lekki Phase 1</t>
    </r>
  </si>
  <si>
    <t>12th January, 2026</t>
  </si>
  <si>
    <t>Unregistered products were found</t>
  </si>
  <si>
    <t>The products were mopped up. The facility was issued an invitation letter</t>
  </si>
  <si>
    <t>Continous Monitoring</t>
  </si>
  <si>
    <t>An Administrative charge of #400,000 was issued to desist from the sale of unregistered products  on the 16th January, 2026</t>
  </si>
  <si>
    <t>N/A</t>
  </si>
  <si>
    <t>CLOSED</t>
  </si>
  <si>
    <t>6th July, 2026</t>
  </si>
  <si>
    <r>
      <rPr>
        <sz val="7"/>
        <color rgb="FF000000"/>
        <rFont val="Times New Roman"/>
      </rPr>
      <t xml:space="preserve">     </t>
    </r>
    <r>
      <rPr>
        <sz val="11"/>
        <color rgb="FF000000"/>
        <rFont val="Aptos"/>
      </rPr>
      <t>Widdi RX</t>
    </r>
  </si>
  <si>
    <r>
      <t>5.</t>
    </r>
    <r>
      <rPr>
        <sz val="7"/>
        <color rgb="FF000000"/>
        <rFont val="Times New Roman"/>
        <family val="1"/>
      </rPr>
      <t xml:space="preserve">      </t>
    </r>
    <r>
      <rPr>
        <sz val="11"/>
        <color rgb="FF000000"/>
        <rFont val="Aptos"/>
        <family val="2"/>
      </rPr>
      <t>Marwa mall, Widdi pharmacy (Change Address)</t>
    </r>
  </si>
  <si>
    <t>An Administrative charge of #5,000,000 was issued to desist from the sale of unregistered products  on the 23rd January, 2026</t>
  </si>
  <si>
    <t>13th July, 2026</t>
  </si>
  <si>
    <t>Unividol Pharmacy</t>
  </si>
  <si>
    <t>176, Ikotun Igando Road, Lagos</t>
  </si>
  <si>
    <t>13th January, 2026</t>
  </si>
  <si>
    <t>An Administrative charge of #200,000 was issued to desist from the sale of unregistered products  on the 14th January, 2026</t>
  </si>
  <si>
    <t>12th October, 2026</t>
  </si>
  <si>
    <t>Hakron Rx </t>
  </si>
  <si>
    <t>No. 95, Oshodi Road, Oshodi </t>
  </si>
  <si>
    <t>14th January, 2026</t>
  </si>
  <si>
    <t>NIL</t>
  </si>
  <si>
    <t>A warning letter was issued to desist from the sale of unregistered product on the 16th January, 2026</t>
  </si>
  <si>
    <t>20th July, 2026</t>
  </si>
  <si>
    <t>Gudema Rx </t>
  </si>
  <si>
    <t>No. 35 Church Street, Oshodi </t>
  </si>
  <si>
    <t>Chard </t>
  </si>
  <si>
    <t>No. 11, Adebowole Street, Mende </t>
  </si>
  <si>
    <t>15th January, 2026</t>
  </si>
  <si>
    <t>RDC Pharmacy </t>
  </si>
  <si>
    <t>No. 7, Bush Street Anthony Lagos </t>
  </si>
  <si>
    <t>An Administrative charge of #1,000,000 was issued to desist from the sale of unregistered products  on the 16th January, 2026</t>
  </si>
  <si>
    <t>Variety Pharmacy &amp; Stores</t>
  </si>
  <si>
    <t>5 Aderibigbe shita, Maryland Lagos state. </t>
  </si>
  <si>
    <t>An Administrative charge of #1,000,000 was issued to desist from the sale of unregistered products  on the 22nd January, 2026</t>
  </si>
  <si>
    <t>Medix Pharmacy</t>
  </si>
  <si>
    <t>3, Ajose Street, Mende, Maryland Lagos state</t>
  </si>
  <si>
    <t>A warning letter was issued to desist from the sale of unregistered product on the 26th January, 2026</t>
  </si>
  <si>
    <t>Al ticare Pharmacy </t>
  </si>
  <si>
    <t>8 Bajulaiye street Shomolu </t>
  </si>
  <si>
    <t>26th January, 2026</t>
  </si>
  <si>
    <t>The meeting was adjourned</t>
  </si>
  <si>
    <t>Healthward-ed Pharmacy </t>
  </si>
  <si>
    <t>107 Bajulaiye strt Shomolu </t>
  </si>
  <si>
    <t>An Administrative charge of #200,000 was issued to desist from the sale of unregistered products  on the 13th February, 2026</t>
  </si>
  <si>
    <t>Well green Pharmacy </t>
  </si>
  <si>
    <t>47 Bajulaiye street Shomolu </t>
  </si>
  <si>
    <t>A warning letter was issued to desist from the sale of unregistered product on the 28th January, 2026</t>
  </si>
  <si>
    <t>Reinomed Pharmacy</t>
  </si>
  <si>
    <t>24 BAJULAIYE ROAD, SHOMOLU,  LAGOS STATE</t>
  </si>
  <si>
    <t>Safecare Pharmacy</t>
  </si>
  <si>
    <t> 2 ABULE-OKOTA ROAD, SHOMOLU, LAGOS STATE. </t>
  </si>
  <si>
    <t>An Administrative charge of #200,000 was issued to desist from the sale of unregistered products  on the 27th January, 2026</t>
  </si>
  <si>
    <t>Medstar Pharmacy</t>
  </si>
  <si>
    <t>16 BARIGA ROAD, SHOMOLU, LAGOS STATE. </t>
  </si>
  <si>
    <t>5th October, 2026</t>
  </si>
  <si>
    <t>Sitawell Rx </t>
  </si>
  <si>
    <t>84, ADENIRAN OGUNSANYA STREET, SURULERE, LAGOS </t>
  </si>
  <si>
    <t>28th January, 2026</t>
  </si>
  <si>
    <t>The facility was in compliance</t>
  </si>
  <si>
    <t>Dominus Rx </t>
  </si>
  <si>
    <t>5, ADENIRAN OGUNSANYA, SURULERE, LAGOS </t>
  </si>
  <si>
    <t>Healthrite Rx </t>
  </si>
  <si>
    <t>72, AKERELERE STR., SURULERE, LAGOS </t>
  </si>
  <si>
    <t>An Administrative charge of #5,000,000 was issued to desist from the sale of unregistered products  on the 5th February, 2026</t>
  </si>
  <si>
    <t>Ski Pharmacy </t>
  </si>
  <si>
    <t>183, AKERELERE ROAD, SURULERE, LAGOS </t>
  </si>
  <si>
    <t>A warning letter was issued to desist from the sale of unregistered product on the 29th January, 2026</t>
  </si>
  <si>
    <t>DRUG COAST PHARMACY </t>
  </si>
  <si>
    <t>71 IJESHA ROAD, SURULERE, LAGOS </t>
  </si>
  <si>
    <t>An Administrative charge of #200,000 was issued to desist from the sale of unregistered products  on the 30th January, 2026</t>
  </si>
  <si>
    <t>Bistol Pharmacy </t>
  </si>
  <si>
    <t>21 Simbiat Abiola way, Ikeja </t>
  </si>
  <si>
    <t>Rommy Freed Pharmacy </t>
  </si>
  <si>
    <t>7 Oriyomi  street, Ikeja </t>
  </si>
  <si>
    <t>29th January, 2026</t>
  </si>
  <si>
    <t>Alatra Pharmacy </t>
  </si>
  <si>
    <t>Rufaddas Medical Supplies</t>
  </si>
  <si>
    <t xml:space="preserve">Suite 41, Aderonke plaza, 20 Olowu street, Ikeja </t>
  </si>
  <si>
    <t>Ollies Pharmacy</t>
  </si>
  <si>
    <t xml:space="preserve">42, Olowo street, Ikeja </t>
  </si>
  <si>
    <t>A warning letter was issued to desist from the sale of unregistered product on the 2nd February, 2026</t>
  </si>
  <si>
    <t>Health Serve Plus Pharmacy</t>
  </si>
  <si>
    <t>1 Toyin street Ikeja</t>
  </si>
  <si>
    <t>Bydow Pharmacy</t>
  </si>
  <si>
    <t>Plot 124 TF, Kubioye Oniru Estate, Lekki 1. Lagos state.</t>
  </si>
  <si>
    <t>11th February, 2026</t>
  </si>
  <si>
    <t>DOZ Medical Upward Care Pharmacy</t>
  </si>
  <si>
    <t>Shop 1/2 , Dan Ville Mall, Orchid Road, Eleganza, Lekki II, Lagos State. </t>
  </si>
  <si>
    <t>6th February, 2026</t>
  </si>
  <si>
    <t>An Administrative charge of #1,000,000 was issued to desist from the sale of unregistered products  on the 9th February, 2026</t>
  </si>
  <si>
    <t>Benbol Pharmacy</t>
  </si>
  <si>
    <t> Vickie’s plaza, Lekki-Epe Expressway, Opposite Crown Estate, Sangotedo, Lagos State</t>
  </si>
  <si>
    <t>12th February, 2026</t>
  </si>
  <si>
    <t>A warning letter was issued to desist from the sale of unregistered product on the 16th February, 2026</t>
  </si>
  <si>
    <t>OKC Restore Health Pharmacy</t>
  </si>
  <si>
    <r>
      <t> </t>
    </r>
    <r>
      <rPr>
        <sz val="11"/>
        <color rgb="FF000000"/>
        <rFont val="Times New Roman"/>
        <charset val="1"/>
      </rPr>
      <t>9 Sikiru Otunba Street, Maza-Maza, Lagos state</t>
    </r>
  </si>
  <si>
    <t>9th February, 2026</t>
  </si>
  <si>
    <t>An Administrative charge of #200,000 was issued to desist from the sale of unregistered products  on the 11th February, 2026</t>
  </si>
  <si>
    <t>Seadone Pharmacy</t>
  </si>
  <si>
    <t>16, Old Ojo Road, Maza-maza, Lagos state.</t>
  </si>
  <si>
    <t>An Administrative charge of #400,000 was issued to desist from the sale of unregistered products  on the 13th February, 2026</t>
  </si>
  <si>
    <t>Tomal Medipharm Pharmacy</t>
  </si>
  <si>
    <t>NO. 126, ODOJO ROAD, MAZA-MAZA, LAGOS STATE</t>
  </si>
  <si>
    <t>A warning letter was issued to desist from the sale of unregistered product on the 13th February, 2026</t>
  </si>
  <si>
    <t>PIUS AND GINA PHARMACY</t>
  </si>
  <si>
    <t>IKEJA, LAGOS</t>
  </si>
  <si>
    <t>30TH JANUARY 2025</t>
  </si>
  <si>
    <t>A warning letter was issued to desist from the sale of unregistered product on the 6th February, 2025</t>
  </si>
  <si>
    <t>ALL DRUGS PHARMACY</t>
  </si>
  <si>
    <t>77B MOBOLAJI BANK ANTHONY WAY, IKEJA, LAGOS</t>
  </si>
  <si>
    <t>An Administrative charge was issued to desist from the sale of unregistered products  on the 3rd February, 2025</t>
  </si>
  <si>
    <t>RYANETHAN PHARMACY</t>
  </si>
  <si>
    <t>NO 12, EMINA CRESCENT, IKEJA, LAGOS</t>
  </si>
  <si>
    <t>3RD FEBRUARY 2025</t>
  </si>
  <si>
    <t>BYDOW PHARMACY</t>
  </si>
  <si>
    <t>PLOT 9, ADMIRALTY WAY, LEKKI PHASE 1, LAGOS</t>
  </si>
  <si>
    <t>4TH  FEBRUARY 2025</t>
  </si>
  <si>
    <t>A warning letter was issued to desist from the sale of unregistered product on the 5th February, 2025</t>
  </si>
  <si>
    <t>ADDMORE PHARMACY</t>
  </si>
  <si>
    <t>251 AGEGE MOTOR ROAD, MUSHIN, LAGOS</t>
  </si>
  <si>
    <t>6TH  FEBRUARY 2025</t>
  </si>
  <si>
    <t>A warning letter was issued to desist from the sale of unregistered product on the 10th March, 2025</t>
  </si>
  <si>
    <t>BENMAX PHARMACY</t>
  </si>
  <si>
    <t>54 ISOLO ROAD, MUSHIN, LAGOS</t>
  </si>
  <si>
    <t>CHILINK PHARMACY</t>
  </si>
  <si>
    <t>241 AGEGE MOTOR ROAD, MUSHIN, LAGOS</t>
  </si>
  <si>
    <t>A warning letter was issued to desist from the sale of unregistered product on the 25th February, 2025</t>
  </si>
  <si>
    <t>ETHICS PHARMACY</t>
  </si>
  <si>
    <t>NO 1 OLATUNJI STREET, OSHODI, LAGOS</t>
  </si>
  <si>
    <t>An Administrative charge was issued to desist from the sale of unregistered product  on the 7th  February, 2025</t>
  </si>
  <si>
    <t>EXPRESS PHARMACY</t>
  </si>
  <si>
    <t>223  AGEGE MOTOR ROAD, MUSHIN, LAGOS</t>
  </si>
  <si>
    <t>A warning letter was issued to desist from the sale of unregistered product on the 7th February, 2025</t>
  </si>
  <si>
    <t>SABIZ PHARMACY</t>
  </si>
  <si>
    <t>23 ADEYEMI STREET, OSHODI, LAGOS</t>
  </si>
  <si>
    <t>A warning letter was issued to desist from the sale of unregistered product on the 24th February, 2025</t>
  </si>
  <si>
    <t>GUUDS PHARMACY</t>
  </si>
  <si>
    <t>ELEGANZA BUS STOP, LEKKI, LAGOS</t>
  </si>
  <si>
    <t>27TH  FEBRUARY 2025</t>
  </si>
  <si>
    <t>A warning letter was issued to desist from the sale of unregistered product on the 3rd March, 2025</t>
  </si>
  <si>
    <t>JENNY &amp; JESSY PHARMACY</t>
  </si>
  <si>
    <t>CASTLE ROCK DRIVE, VICTORY PARK, LEKKI, LAGOS</t>
  </si>
  <si>
    <t>An Administrative charge was issued to desist from the sale of unregistered product  on the 3rd March, 2025</t>
  </si>
  <si>
    <t>UBA PHARMACY</t>
  </si>
  <si>
    <t>ORCHID PLAZA, ASHLEY PLAZA</t>
  </si>
  <si>
    <t>MASSEY VICKERS PHARMACY</t>
  </si>
  <si>
    <t>INSIDE TWINS FAJA STORE, EGBEDA, LAGOS</t>
  </si>
  <si>
    <t>5TH MARCH 2025</t>
  </si>
  <si>
    <t>A warning letter was issued to desist from the sale of unregistered product on the 6th March, 2025</t>
  </si>
  <si>
    <t>PHARMNET PHARMACY</t>
  </si>
  <si>
    <t>PHARMATON 693 COOP MULTIPURPOSE</t>
  </si>
  <si>
    <t>136 EGBEDA-ISHERI ROAD, LAGOS</t>
  </si>
  <si>
    <t>6TH MARCH 2025</t>
  </si>
  <si>
    <t>GRACE JOHNSON'S PHARMACY</t>
  </si>
  <si>
    <t>35, FAJUMOBI STREET, BY PONLE BUS STOP, EGBEDA, LAGOS</t>
  </si>
  <si>
    <t>A warning letter was issued to desist from the sale of unregistered product on the 7th March, 2025</t>
  </si>
  <si>
    <t>DRUG COAST PHARMACY</t>
  </si>
  <si>
    <t>71 IJESHA ROAD, SURULERE, LAGOS</t>
  </si>
  <si>
    <t>12TH MARCH 2025</t>
  </si>
  <si>
    <t>A warning letter was issued to desist from the sale of unregistered product on the 14th March, 2025</t>
  </si>
  <si>
    <t>SILVER BROTHERS PHARMACY</t>
  </si>
  <si>
    <t>116 IJESHA ROAD, SURULERE, LAGOS</t>
  </si>
  <si>
    <t xml:space="preserve"> OPEN </t>
  </si>
  <si>
    <t xml:space="preserve">PURE LIFE PHARMACY </t>
  </si>
  <si>
    <t>NO 146 LIGALI, AYORINDE, VICTORIA ISLAND, LAGOS</t>
  </si>
  <si>
    <t>25TH MARCH 2025</t>
  </si>
  <si>
    <t>A warning letter was issued to desist from the sale of unregistered product on the 5th May 2025</t>
  </si>
  <si>
    <t>AXEL PHARMACY</t>
  </si>
  <si>
    <t>NRC COMPOUND EBUTE METTA, LAGOS</t>
  </si>
  <si>
    <t>27TH MARCH 2025</t>
  </si>
  <si>
    <t>A warning letter was issued to desist from the sale of unregistered product on the 28th March 2025</t>
  </si>
  <si>
    <t>21ST CENTURY HEALTH SHOP &amp; PHARMACY</t>
  </si>
  <si>
    <t>22 M.E.A PLAZA, CMD ROAD, IKOSI LAGOS</t>
  </si>
  <si>
    <t>10TH APRIL 2025</t>
  </si>
  <si>
    <t>A warning letter was issued to desist from the sale of unregistered product on the 11 April 2025</t>
  </si>
  <si>
    <t>3R PHARMACARE</t>
  </si>
  <si>
    <t>46 ADEKUNLE BANJO MAGODO SHANGISHA LAGOS</t>
  </si>
  <si>
    <t>An Administrative charge was issued to desist from the sale of unregistered product  on the 14th April, 2025</t>
  </si>
  <si>
    <t>ABIDOL PHARMACY</t>
  </si>
  <si>
    <t>21 OSHO ROAD, OPEBI LINK BRIDGE IKEJA LAGOS</t>
  </si>
  <si>
    <t>23RD APRIL 2025</t>
  </si>
  <si>
    <t>A warning letter was issued to desist from the sale of unregistered product on the 24th April 2025</t>
  </si>
  <si>
    <t>ALTICARE PHARMACY</t>
  </si>
  <si>
    <t>NO 8 BAJULAYE ROAD SURULERE, LAGOS</t>
  </si>
  <si>
    <t>30TH APRIL 2025</t>
  </si>
  <si>
    <t xml:space="preserve">OPEN, ANOTHER MEETING SCHEDULED </t>
  </si>
  <si>
    <t>BELMIC PHARMACY</t>
  </si>
  <si>
    <t>19 KUDIRAT ABIOLA WAY OREGUN LAGOS</t>
  </si>
  <si>
    <t>16TH APRIL 2025</t>
  </si>
  <si>
    <t>A warning letter was issued to desist from the sale of unregistered product on the 17th April 2025</t>
  </si>
  <si>
    <t>BENGERTY PHARMACY</t>
  </si>
  <si>
    <t>3 KUDIRAT ABIOLA WAY OREGUN LAGOS</t>
  </si>
  <si>
    <t>BID PEARLS PHARMACY</t>
  </si>
  <si>
    <t>26 ODUBSI STREET BARIGA LAGOS</t>
  </si>
  <si>
    <t>28TH APRIL 2025</t>
  </si>
  <si>
    <t>A warning letter was issued to desist from the sale of unregistered product on the 2nd May 2025</t>
  </si>
  <si>
    <t>BONCET PHARMACY</t>
  </si>
  <si>
    <t>28 ADELABU STREET OFF MASHA ROAD SURULERE LAGOS</t>
  </si>
  <si>
    <t>7TH APRIL 2025</t>
  </si>
  <si>
    <t>A warning letter was issued to desist from the sale of unregistered product on the 8th April 2025</t>
  </si>
  <si>
    <t>CARECORE PHARMACY</t>
  </si>
  <si>
    <t>21 ARIKEWUYO STREET ONIPAN, LAGOS</t>
  </si>
  <si>
    <t>A warning letter was issued to desist from the sale of unregistered product on the 6th May 2025</t>
  </si>
  <si>
    <t>DIAMOND GRACE PHARMACY &amp; SUPERMARKET</t>
  </si>
  <si>
    <t>32 RAFIU BABATUNDE STREET BY TINUBU ROAD, APPLE JUNCTION, AMUWO ODOFIN, LAGOS</t>
  </si>
  <si>
    <t>Schedule for Surveillance 4th week in April</t>
  </si>
  <si>
    <t>DORGLORY PHARMACY</t>
  </si>
  <si>
    <t>3 OLANIYI STREET ORELOPE BUS STOP EGBEDA LAGOS</t>
  </si>
  <si>
    <t>15TH APRIL 2025</t>
  </si>
  <si>
    <t>DUBAS PHARMACY &amp; STORES LTD</t>
  </si>
  <si>
    <t>11 KAYODE STREET ONIPANU LAGOS</t>
  </si>
  <si>
    <t>30TH APRIL2025</t>
  </si>
  <si>
    <t xml:space="preserve">ENAVEC PHARMACY &amp; SUNDRIES </t>
  </si>
  <si>
    <t>HOUSE 26, 4TH AVENUE FESTAC LAGOS</t>
  </si>
  <si>
    <t>FLICSMED PHARMACY</t>
  </si>
  <si>
    <t>15 ABAYOMI STREET OREGUN LAGOS STATE</t>
  </si>
  <si>
    <t>A warning letter was issued to desist from the sale of unregistered product on the 22nd April 2025</t>
  </si>
  <si>
    <t>GLOBAL HEALTHCARE</t>
  </si>
  <si>
    <t>12 OLUSOJI IDOWU STREET OFF ADEKUNLE ODUNLAMI CRESCENT ILLUPEJU LAGOS</t>
  </si>
  <si>
    <t>14TH APRIL 2025</t>
  </si>
  <si>
    <t>An Administrative charge was issued to desist from the sale of unregistered product  on the 29th April, 2025</t>
  </si>
  <si>
    <t>HEALS PHARMACY</t>
  </si>
  <si>
    <t>14 KUDIRAT ABIOLA WAY OREGUN LAGOS</t>
  </si>
  <si>
    <t>HEALTH PYRAMID PHARMACY &amp; STORES</t>
  </si>
  <si>
    <t>33 ISHERI ROAD OGBA-AGUDA IKEJA LAGOS</t>
  </si>
  <si>
    <t>HENOR PHARMACY</t>
  </si>
  <si>
    <t>21 ROAD JCL FESTAC LAGOS</t>
  </si>
  <si>
    <t>9TH APRIL 2025</t>
  </si>
  <si>
    <t>JOUF HEALTH &amp; BEAUTY PHARMACY</t>
  </si>
  <si>
    <t>SKY CASTLE PLAZA, APPLE JUNCTION, EGBEDA LAGOS</t>
  </si>
  <si>
    <t>CLOSED. PRODUCTS WERE RETURNED DUE TO ERROR AS THE PRODUCTS MOPPED UP WERE ACTUALLY REGISTERED</t>
  </si>
  <si>
    <t>KAYCEE PHARMACY</t>
  </si>
  <si>
    <t>511 ROAD OPPOSITE SLOT FESTAC LAGOS</t>
  </si>
  <si>
    <t>LEADMART PHARMACY</t>
  </si>
  <si>
    <t>6TH AVENUE CANAL GATE FESTAC TOWN LAGOS</t>
  </si>
  <si>
    <t>HMR APEX PHARMACY</t>
  </si>
  <si>
    <t>32 LANRE AWOLOKUN STREET GBAGADA PHASE 2 LAGOS</t>
  </si>
  <si>
    <t>A warning letter was issued to desist from the sale of unregistered product on the 11th April 2025</t>
  </si>
  <si>
    <t>LIFE BOUNTY PHARMACY</t>
  </si>
  <si>
    <t>21 ROAD HOUSE 1 F1 CLOSE FESTAC, LAGOS</t>
  </si>
  <si>
    <t>A warning letter was issued to desist from the sale of unregistered product on the 14th April 2025</t>
  </si>
  <si>
    <t>LIMAN PHARMACY</t>
  </si>
  <si>
    <t>14 LANRE AWOLOKUN STREET GBAGADA PHASE 2 LAGOS</t>
  </si>
  <si>
    <t>A warning letter was issued to desist from the sale of unregistered product on the 10th April 2025</t>
  </si>
  <si>
    <t>MAWUCARE PHARMACY</t>
  </si>
  <si>
    <t>OWRO ROAD BARIGA LAGOS</t>
  </si>
  <si>
    <t>29TH APRIL 2025</t>
  </si>
  <si>
    <t>MEDPLUS PHARMACY</t>
  </si>
  <si>
    <t>113 OGUNLANA STREET SURULERE LAGOS</t>
  </si>
  <si>
    <t>MEDSTAR PHARMACY</t>
  </si>
  <si>
    <t>16 BARIGA ROAD SHOMOLU LAGOS</t>
  </si>
  <si>
    <t>An Administrative charge was issued to desist from the sale of unregistered product  on the 4th August, 2025</t>
  </si>
  <si>
    <t>MEDVAC PHARMACY</t>
  </si>
  <si>
    <t>3 ADELABU STREET MASHA BUS STOP SURULERE LAGOS</t>
  </si>
  <si>
    <t>MICHOFAM AND FAMILY CARE PHARMACY</t>
  </si>
  <si>
    <t>12 LANRE AWOLOKUN STREET GBAGADA PHASE 2 LAGOS</t>
  </si>
  <si>
    <t>OSBUD PHARMACY</t>
  </si>
  <si>
    <t>32 ROAD BESIDE FIRST BANK FESTAC LAGOS</t>
  </si>
  <si>
    <t>An Administrative charge was issued to desist from the sale of unregistered product  on the 25th April, 2025</t>
  </si>
  <si>
    <t>OX PHARMACY</t>
  </si>
  <si>
    <t>32 ROAD BESIDE ACCESS BANK FESTAC LAGOS</t>
  </si>
  <si>
    <t>PHARM AFFAIRS &amp; SUPERMARKET</t>
  </si>
  <si>
    <t>NO 6 COOKER ROAD ILUPEJU LAGOS</t>
  </si>
  <si>
    <t>Schedule for Surveillance 1st week in May</t>
  </si>
  <si>
    <t>RDC PHARMACY</t>
  </si>
  <si>
    <t>NO 20 OYEWOLE STREET ILLUPEJU LAGOS</t>
  </si>
  <si>
    <t>A warning letter was issued to desist from the sale of unregistered product on the 9th May 2025</t>
  </si>
  <si>
    <t>SABEST PHARMACY</t>
  </si>
  <si>
    <t xml:space="preserve">19 CHURCH STREET GBAGADA PHASE 1 LAGOS </t>
  </si>
  <si>
    <t>TOTAL PHARMACY</t>
  </si>
  <si>
    <t>9A HOSPITAL ROAD GBAGADA PHASE 1 LAGOS</t>
  </si>
  <si>
    <t>TRUE CARE PHARMACY</t>
  </si>
  <si>
    <t>59, ADEKUNLE BANJO STREET, SHANGISHA, LAGOS STATE</t>
  </si>
  <si>
    <t>VICTORY DRUGS PHARMACY</t>
  </si>
  <si>
    <t>PLOT 57A 11 ROAD FESTAC LAGOS</t>
  </si>
  <si>
    <t>ZAM ZAM PHARMACY</t>
  </si>
  <si>
    <t>32 ROAD FESTAC LAGOS</t>
  </si>
  <si>
    <t>ZEMAX PHARMACY</t>
  </si>
  <si>
    <t>MERCY SEAT PLAZA AKOWONJO ROAD EGBEDA LAGOS</t>
  </si>
  <si>
    <t xml:space="preserve">PHARM AID PHARMACY </t>
  </si>
  <si>
    <t>30 ENTRANCE EXIT JAKANDE GATE ISHERI OSUN ROAD LAGOS</t>
  </si>
  <si>
    <t>21ST MAY 2025</t>
  </si>
  <si>
    <t>A warning letter was issued to desist from the sale of unregistered product on the 26th May 2025</t>
  </si>
  <si>
    <t>PEAK PHARMACY &amp; STORES</t>
  </si>
  <si>
    <t>12 ISHERI OSUN ROAD LAGOS</t>
  </si>
  <si>
    <t>A warning letter was issued to desist from the sale of unregistered product on the 23rd May 2025</t>
  </si>
  <si>
    <t>WELLGREEN PHARMACY</t>
  </si>
  <si>
    <t>NO 47 BAJULAYE ROAD YABA LAGOS</t>
  </si>
  <si>
    <t>8TH MAY 2025</t>
  </si>
  <si>
    <t>VASTOVER DRUGS &amp; ALLIED PRODUCTS</t>
  </si>
  <si>
    <t>GBAGADA EXPRESSWAY LAGOS</t>
  </si>
  <si>
    <t>6TH MAY 2025</t>
  </si>
  <si>
    <t>TURN BY TURN PHARMACY</t>
  </si>
  <si>
    <t>12 CDAT STREET BORNO WAY OYIGBO LAGOS</t>
  </si>
  <si>
    <t>15TH MAY 2025</t>
  </si>
  <si>
    <t>A warning letter was issued to desist from the sale of unregistered product on the 21st May 2025</t>
  </si>
  <si>
    <t>TRIPLE C PHARMACY</t>
  </si>
  <si>
    <t>23 FOLAYO STREET YABA LAGOS</t>
  </si>
  <si>
    <t>A warning letter was issued to desist from the sale of unregistered product on the 14th May 2025</t>
  </si>
  <si>
    <t>THEOLAIT PHARMACY</t>
  </si>
  <si>
    <t>23 OKE AYO STREET OFF AGBOTIKUYO JUNCTION DOPEMU AGEGE LAGOS</t>
  </si>
  <si>
    <t>13TH MAY 2025</t>
  </si>
  <si>
    <t>SURPLUS PHARMACY</t>
  </si>
  <si>
    <t>NO 48 IGI OLUGBIN STREET BARIGA LAGOS</t>
  </si>
  <si>
    <t>12TH MAY 2025</t>
  </si>
  <si>
    <t>ST TOBY PHARMACY</t>
  </si>
  <si>
    <t>46 FASHORO STREET SURULERE LAGOS</t>
  </si>
  <si>
    <t>A warning letter was issued to desist from the sale of unregistered product on the 19th May 2025</t>
  </si>
  <si>
    <t>SIMSTEL PHARMACY &amp; STORES</t>
  </si>
  <si>
    <t>96 SHIPEOLU STREET PALMGROOVE LAGOS</t>
  </si>
  <si>
    <t>SHOP LIFE PHARMACY</t>
  </si>
  <si>
    <t>68 ISHERI OSUN ROAD BUCKNOR LAGOS</t>
  </si>
  <si>
    <t>ROYAL CHANNELS PHARMACY</t>
  </si>
  <si>
    <t>7TH AVENUE BESIDE 73B ROAD FESTAC LAGOS</t>
  </si>
  <si>
    <t>14TH MAY 2025</t>
  </si>
  <si>
    <t>A warning letter was issued to desist from the sale of unregistered product on the 15th May 2025</t>
  </si>
  <si>
    <t>RODJENK PHARMACY</t>
  </si>
  <si>
    <t>118, Mba Road, Oregie, Ajegunle, Lagos</t>
  </si>
  <si>
    <t xml:space="preserve">ROCASON PHARMACY </t>
  </si>
  <si>
    <t xml:space="preserve">NO 8 AKINTAN STREET LUTH ROAD MUSHIN LAGOS </t>
  </si>
  <si>
    <t>PINCO  PHARMACY</t>
  </si>
  <si>
    <t>IGI OLUGBIN STREET PEDRO ROAD BARIGA LAGOS</t>
  </si>
  <si>
    <t>OTS UNITED PHARMACY</t>
  </si>
  <si>
    <t>NO 2 AYIDE STREET ORILE AGEGE LAGOS</t>
  </si>
  <si>
    <t>OLIVA NELSON PHARMACY</t>
  </si>
  <si>
    <t>23 KELANI STREET MUSHIN LAGOS STATE</t>
  </si>
  <si>
    <t>ABEK PHARMACY</t>
  </si>
  <si>
    <t>143, IPAJA ROAD, AGEGE, LAGOS</t>
  </si>
  <si>
    <t>The unregistered products found were mopped up. The company representative was given an invitation letter.</t>
  </si>
  <si>
    <t>Contionuous Monitoring</t>
  </si>
  <si>
    <t>A warning letter was issued to the facility to desist from the sale of unregistered product on the 19th May 2025</t>
  </si>
  <si>
    <t>ACTICARE PHARMACY</t>
  </si>
  <si>
    <t>12, OLUBUMI STREET, LEKKI PHASE 1, LAGOS</t>
  </si>
  <si>
    <t>A warning letter was issued to the facility to desist from the sale of unregistered product on the 16th May 2025</t>
  </si>
  <si>
    <t>BROOKS PHARMACY</t>
  </si>
  <si>
    <t>41, ADEBAYO DOHARTY, LEKKI PHASE 1, LAGOS</t>
  </si>
  <si>
    <t>CANICE HANS PHARMACY</t>
  </si>
  <si>
    <t>10, AKINHANMI STREET, SURULERE, LAGS</t>
  </si>
  <si>
    <t>CHEC BRYNE PHARMACY</t>
  </si>
  <si>
    <t>1, FRANPAT STREET, BUCKNOR, EJIBO, LAGOS</t>
  </si>
  <si>
    <t>Only one unregistered product (Crepe Bandage) was found</t>
  </si>
  <si>
    <t>CHUKSMEAL PHARMACY</t>
  </si>
  <si>
    <t>31, MORCAS STREET, AGEGE, LAGOS</t>
  </si>
  <si>
    <t>DELRAN PHARMACY</t>
  </si>
  <si>
    <t>8, IJAOYE STREET, JIBOWU, LAGOS</t>
  </si>
  <si>
    <t>A warning letter was issued to the facility to desist from the sale of unregistered product on the 15th May 2025</t>
  </si>
  <si>
    <t>DRUG CONSULT PHARMACY</t>
  </si>
  <si>
    <t>52, SHIPEOLU STREET, PALMGROOVE, LAGOS</t>
  </si>
  <si>
    <t>A warning letter was issued to the facility to desist from the sale of unregistered product on the 9th May 2025</t>
  </si>
  <si>
    <t>EBADEL PHARMACY</t>
  </si>
  <si>
    <t>46, ISAAC JOHN STREET, YABA, LAGOS</t>
  </si>
  <si>
    <t>OPEN</t>
  </si>
  <si>
    <t>EVERONE PHARMACY</t>
  </si>
  <si>
    <t>54, DOPEMU ROAD, AGEGE, LAGOS</t>
  </si>
  <si>
    <t>EZE UGO DE BEST PHARMACY</t>
  </si>
  <si>
    <t>50, SURULERE STREET, DOPEMU, LAGOS</t>
  </si>
  <si>
    <t>A warning letter was issued to the facility to desist from the sale of unregistered product on the 21st May 2025</t>
  </si>
  <si>
    <t>FLORA TRUWORTHS PHARMACY</t>
  </si>
  <si>
    <t>LAGOS ISLAND MARKET, LAGOS</t>
  </si>
  <si>
    <t>An administrative charge of one million and five hundred thousand naira (#1,500,000) only was issued for the sale of unregistered products on 23rd May 2025</t>
  </si>
  <si>
    <t>GRACE PHARMACY</t>
  </si>
  <si>
    <t>26, CARDOSO STREET, ALONG GEN. HOSPITAL, APAPA, AJEGUNLE, LAGOS</t>
  </si>
  <si>
    <t>HALE &amp; HEARTY PHARMACY</t>
  </si>
  <si>
    <t>POSH PLAZA, ADMIRALTY WAY, LEKKI PHASE 1</t>
  </si>
  <si>
    <t>HEALTH ACE PHARMACY</t>
  </si>
  <si>
    <t>144, DOPEMU ROAD, AGEGE, LAGOS</t>
  </si>
  <si>
    <t>HEALTHYLIFE PHARMACY</t>
  </si>
  <si>
    <t>JOSH'S PLACE, PLOT 13, OLADIMEJI ALAO STREET, OFF FREEDOMWAY ROAD, LEKKI PHASE 1, LAGOS</t>
  </si>
  <si>
    <t>HENICARE PHARMACY</t>
  </si>
  <si>
    <t>24, ADARANIJO STREET, KADUPE BUS-STOP, LAGOS</t>
  </si>
  <si>
    <t>OPEN (NO CONSULTATIVE MEETING WAS HELD)</t>
  </si>
  <si>
    <t>IYK KONAVIAN PHARMACY</t>
  </si>
  <si>
    <t>18, AKINRILO STREET, BAJULAYE ROAD, SHOMOLU, LAGOS</t>
  </si>
  <si>
    <t>A warning letter was issued to the facility to desist from the sale of unregistered product on the 14th May 2025</t>
  </si>
  <si>
    <t>JANE-MADOK PHARMACY</t>
  </si>
  <si>
    <t>3, ISHERI OSUN ROAD, JAKANDE ESTATE, LAGOS</t>
  </si>
  <si>
    <t>An administrative charge of two hundred thousand naira (#200,000) only was issued for the sale of unregistered products on 23rd May 2025</t>
  </si>
  <si>
    <t>JAYBION PHARMACY</t>
  </si>
  <si>
    <t xml:space="preserve">7, 8, &amp; 9 BOLA TINUBU SHOPPING ARCADE OPP. MFM, PEN CINEMA, AGEGE, LAGOS </t>
  </si>
  <si>
    <t>JENCEE PHARMACY &amp; SUNDRIES</t>
  </si>
  <si>
    <t>PLOT 1776, 7TH AVENUE, FESTAC, LAGOS</t>
  </si>
  <si>
    <t>KRIS DANIELS PHARMACY</t>
  </si>
  <si>
    <t>2, WATER FRONT, FIRST AVENUE, FESTAC, LAGOS</t>
  </si>
  <si>
    <t>MAMS PHARMACY</t>
  </si>
  <si>
    <t>1, TOLU ROAD, OLODI-APAPA, LAGOS</t>
  </si>
  <si>
    <t>MEDRITE PHARMACY</t>
  </si>
  <si>
    <t>148, ONIWAYA ROAD DOPEMU, AGEGE, LAGOS</t>
  </si>
  <si>
    <t>OCTAVIA PHARMACY</t>
  </si>
  <si>
    <t>33, OKUTA ROAD, BARIGA, LAGOS</t>
  </si>
  <si>
    <t>OLINT PHARMACY</t>
  </si>
  <si>
    <t>BLOCK 100, VULCANIZER BUS-STOP, ISHERI, OSUN ROAD, LAGOS</t>
  </si>
  <si>
    <t>20TH MAY 2025</t>
  </si>
  <si>
    <t>A warning letter was issued to the facility to desist from the sale of unregistered product on the 23rd May 2025</t>
  </si>
  <si>
    <t>HEALTHPLUS PHARMACY</t>
  </si>
  <si>
    <t>26, ADETOKUNBO ADEMOLA STREET, VICTORIA ISLAND, LAGOS.</t>
  </si>
  <si>
    <t>30TH JUNE 2025</t>
  </si>
  <si>
    <t>The unregistered products found were mopped up. The company representative was given an invitation letter. A hold label was placed on the facility and its contents.</t>
  </si>
  <si>
    <t>ALL DAY PHARMACY</t>
  </si>
  <si>
    <t>12, SADIKU STREET ILASA, LAGOS STATE.</t>
  </si>
  <si>
    <t>14TH JULY 2025</t>
  </si>
  <si>
    <t xml:space="preserve">The unregistered products found were mopped up. The company representative was given an invitation letter. </t>
  </si>
  <si>
    <t>A warning letter was issued to desist from the sale of unregistered product on the 16th July 2025</t>
  </si>
  <si>
    <t>D&amp;M PHARMACY</t>
  </si>
  <si>
    <t>OGUDU ROAD, OJOTA, LAGOS</t>
  </si>
  <si>
    <t>23RD JULY 2025</t>
  </si>
  <si>
    <t>A warning letter was issued to desist from the sale of unregistered product on the 28th July 2025</t>
  </si>
  <si>
    <t>DEEPER CARE PHARMACY</t>
  </si>
  <si>
    <t>5B, OGUDU ROAD, OJOTA, LAGOS</t>
  </si>
  <si>
    <t>FONTANA CHEMISTRY LIMITED</t>
  </si>
  <si>
    <t>77, OGUNLANA DRIVE, SURULERE, LAGOS</t>
  </si>
  <si>
    <t>NEATLINE PHARMACY</t>
  </si>
  <si>
    <t>A warning letter was issued to desist from the sale of unregistered product on the 25th July 2025</t>
  </si>
  <si>
    <t>NETT PHARMACY</t>
  </si>
  <si>
    <t>159, AKILO ROAD, OFF SHOBOWALE JUNCTION, OGBA, AGEGE, LAGOS</t>
  </si>
  <si>
    <t>A warning letter was issued to desist from the sale of unregistered product on the 26th July 2025</t>
  </si>
  <si>
    <t>PDM PHARMACY</t>
  </si>
  <si>
    <t>1A, ALHAJI MASHA ROAD, SURULERE, LAGOS</t>
  </si>
  <si>
    <t>A warning letter was issued to desist from the sale of unregistered product on the 17th July 2025</t>
  </si>
  <si>
    <t>PERO PHARMACY</t>
  </si>
  <si>
    <t>83, OGBA ROAD, AGEGE, LAGOS</t>
  </si>
  <si>
    <t>PHARMACITY PHARMACY &amp; STORES</t>
  </si>
  <si>
    <t>114/116, OGBA ROAD, AGEGE, LAGOS</t>
  </si>
  <si>
    <t>A warning letter was issued to desist from the sale of unregistered product on the 31st July 2025</t>
  </si>
  <si>
    <t>PRO-SAFE LIFE PHARMACY</t>
  </si>
  <si>
    <t>8A, ISHAGA ROAD, MUSHIN, IDI-ARABA, LAGOS</t>
  </si>
  <si>
    <t>REMEDIA PHARMACY</t>
  </si>
  <si>
    <t>OGUDU, LAGOS</t>
  </si>
  <si>
    <t>VAS PHARMACY</t>
  </si>
  <si>
    <t>78, AJAYI STREET, SURULERE, LAGOS</t>
  </si>
  <si>
    <t>An administrative charge of two hundred thousand naira (#200,000) only was issued for the sale of unregistered products on 30th July 2025</t>
  </si>
  <si>
    <t>HAVANNAH MEDICS PHARMACY &amp; STORES</t>
  </si>
  <si>
    <t>19, OLD OJO ROAD, SATELLITE TOWN, LAGOS</t>
  </si>
  <si>
    <t>22ND AUGUST 2025</t>
  </si>
  <si>
    <t>A warning letter was issued to desist from the sale of unregistered product on the 29th August 2025</t>
  </si>
  <si>
    <t>SYLVAGENE PHARMACY</t>
  </si>
  <si>
    <t>4, ABIJA STREET, SATELLITE TOWN, LAGOS</t>
  </si>
  <si>
    <t>An administrative charge of five million naira (#5,000,000) only was issued for the sale of unregistered products on 30th July 2025</t>
  </si>
  <si>
    <t>A.F UCHENNA PHARMACY</t>
  </si>
  <si>
    <t>6, ADERINTO STREET, ISOLO, LAGOS</t>
  </si>
  <si>
    <t>16TH SEPTEMBER 2025</t>
  </si>
  <si>
    <t>Only registered products were found</t>
  </si>
  <si>
    <t>DONOMBONITAS PHARMACY</t>
  </si>
  <si>
    <t>473, IKORODU ROAD, KETU ROAD BUS-STOP, LAGOS</t>
  </si>
  <si>
    <t>25TH SEPTEMBER 2025</t>
  </si>
  <si>
    <t>A warning letter was issued to the facility to desist from the sale of unregistered products on the 9th October 2025</t>
  </si>
  <si>
    <t>GROCREST PHARMACY</t>
  </si>
  <si>
    <t>26, AGIDI ROAD, ALAPERE ROAD, KETU, LAGOS</t>
  </si>
  <si>
    <t>24TH SEPTEMBER 2025</t>
  </si>
  <si>
    <t>A warning letter was issued to the facility to desist from the sale of unregistered products on the 26th September 2025</t>
  </si>
  <si>
    <t>HERBINCO PHARMACY</t>
  </si>
  <si>
    <t>28, DEMURIN STREET, KETU, LAGOS</t>
  </si>
  <si>
    <t>MYKVILA PHARMACY</t>
  </si>
  <si>
    <t>19, AJIBOYE STREET, ALAPERE, KETU, LAGOS</t>
  </si>
  <si>
    <t>A warning letter was issued to the facility to desist from the sale of unregistered products on the 3rd October 2026</t>
  </si>
  <si>
    <t>PHARMAHUB PHARMACY</t>
  </si>
  <si>
    <t>33, IYASE STREET, OFF ADEDOYIN STREET, KOSOFE, MILE 12, LAGOS</t>
  </si>
  <si>
    <t>An andministrative charge of two hundred thousand naira (#200,000) only was issued for the sale of unregistered products on 26th September 2025</t>
  </si>
  <si>
    <t>AMEXCO PHARMACY</t>
  </si>
  <si>
    <t>1, IKOSI ROAD, KETU, LAGOS</t>
  </si>
  <si>
    <t>15TH OCTOBER 2025</t>
  </si>
  <si>
    <t>An andministrative charge of two hundred thousand naira (#200,000) only was issued for the sale of unregistered products on 16th October 2025</t>
  </si>
  <si>
    <t>CHIZZY PHARMACEUTICAL</t>
  </si>
  <si>
    <t>18, IKOSI ROAD, KETU, LAGOS</t>
  </si>
  <si>
    <t xml:space="preserve">A warning letter was issued to the facility to desist from the sales of unregistered products on the 20th October 2025 </t>
  </si>
  <si>
    <t>DRUG MATTERS PHARMACY</t>
  </si>
  <si>
    <t>ADDO ROAD, KEKERE BUS-STOP, AJAH, LAGOS</t>
  </si>
  <si>
    <t>8TH OCTOBER 2025</t>
  </si>
  <si>
    <t>An administrative charge of four hundred thousand naira (#400,000) only was issued for the sales of unregistered products on the 10th October 2025</t>
  </si>
  <si>
    <t>EMBASSY PHARMA &amp; CHEMICAL LIMITED</t>
  </si>
  <si>
    <t>41, ADEBAYO STREET, IKOYI, LAGOS</t>
  </si>
  <si>
    <t>20TH OCTOBER 2025</t>
  </si>
  <si>
    <t>Bottles of Embacef suspensions were found arranged on pallets at the warehouse</t>
  </si>
  <si>
    <t>107 cartons (6x10x70ml), 35 packs and 11 individual units of Embacef suspension were placed on hold at the warehouse</t>
  </si>
  <si>
    <t xml:space="preserve">Company should be diredted to liaise with the Investigation and Enforcement Directorate for the destruction of the recalled products. </t>
  </si>
  <si>
    <t>GHT PHARMACY</t>
  </si>
  <si>
    <t>209, ADDO ROAD, SKIDDO BUS-STOP, AJAH, LAGOS</t>
  </si>
  <si>
    <t>The unregistered products found were mopped up. The company representative was given an invitation letter</t>
  </si>
  <si>
    <t>An administrative charge of two hundred thousand (#200,000) only was issued for the sales of unregistered products on the 16th October 2025</t>
  </si>
  <si>
    <t>GLORY ZONE PHARMACY</t>
  </si>
  <si>
    <t>13, OGBOLOKAN STREET, OSHODI, LAGOS</t>
  </si>
  <si>
    <t>14TH OCTOBER 2025</t>
  </si>
  <si>
    <t>An administrative charge of two hundred thousand (#200,000) only was issued for the sales of unregistered products on the 14th October 2025</t>
  </si>
  <si>
    <t>HEALTHY YOU PHARMACY</t>
  </si>
  <si>
    <t>106, PALM AVENUE, MUSHIN, LAGOS</t>
  </si>
  <si>
    <t>A warning letter was issued to desist from the sales of unregistered products on the 17th October 2025</t>
  </si>
  <si>
    <t>MEDEXTRA PHARMACY</t>
  </si>
  <si>
    <t>ADDO ROAD, ZIBET BUS-STOP, AJAH, LAGOS</t>
  </si>
  <si>
    <t>A warning letter was issued to desist from the sales of unregistered products on the 13th October 2025</t>
  </si>
  <si>
    <t>SHOKHAD PHARMACY</t>
  </si>
  <si>
    <t>13, OLAYEYE STREET, OSHODI, LAGOS</t>
  </si>
  <si>
    <t>13TH OCTOBER 2025</t>
  </si>
  <si>
    <t>An administrative charge of two hundred thousand naira (#200,000) only was issued for the sales of unregistered products on the 14th October 2025</t>
  </si>
  <si>
    <t>WELLNEX PHARMACY</t>
  </si>
  <si>
    <t>35, SENDI CALISTUS STREET, OSHODI LAGOS</t>
  </si>
  <si>
    <t>A warning letter was issued to desist from the sales of unregistered products on the 16th October 2025</t>
  </si>
  <si>
    <t>ZENITH ZALE PHARMACY</t>
  </si>
  <si>
    <t>516, IKORODU ROAD, KETU, LAGOS</t>
  </si>
  <si>
    <t>Schedule for Surveillance 2nd week in April</t>
  </si>
  <si>
    <t>ACCESS PHARMACY</t>
  </si>
  <si>
    <t>KORODO BLOCK, OPP. IBUKUNOLA FILLING STATION, ABULE-ADO, LAGOS</t>
  </si>
  <si>
    <t>12TH NOVEMBER 2025</t>
  </si>
  <si>
    <t>A warning letter was issued to desist from the sales of unregistered products on the 18th November 2025</t>
  </si>
  <si>
    <t>CITO-RAMSGATE PHARMACY</t>
  </si>
  <si>
    <t>378, LAGOS-ABEOKUTA EXPRESSWAY, ABULE-EGBA, LAGOS</t>
  </si>
  <si>
    <t>13TH NOVEMBER 2025</t>
  </si>
  <si>
    <t>Schedule for Surveillance 1st week in April</t>
  </si>
  <si>
    <t>CIVIC PHARMACY</t>
  </si>
  <si>
    <t>176, LAGOS-ABEOKUTA EXPRESSWAY, IYANA-IPAJA, LAGOS</t>
  </si>
  <si>
    <t>A warning letter was issued to desist from the sales of unregistered products on the 17th November 2025</t>
  </si>
  <si>
    <t>DE-HUB PHARMACY</t>
  </si>
  <si>
    <t>1, SIR OTEDOLA STREET, OFF JOEL OGUNAIKE, IKEJA GRA, LAGOS</t>
  </si>
  <si>
    <t>19TH NOVEMBER 2025</t>
  </si>
  <si>
    <t>An administrative charge of one million naira (#1,000,000) only was issued for the sales of unregistered products on the 20th November 2025</t>
  </si>
  <si>
    <t>E. UBACO PHARMACEUTICALS</t>
  </si>
  <si>
    <t>1, ATIN STREET, IDUMOTA, LAGOS</t>
  </si>
  <si>
    <t>26TH NOVEMBER 2025</t>
  </si>
  <si>
    <t>ELIXR HEXX PHARMACY</t>
  </si>
  <si>
    <t>7, KUNSELA STREET, IKATE, LEKKI, LAGOS</t>
  </si>
  <si>
    <t>5TH NOVEMBER 2025</t>
  </si>
  <si>
    <t>ENDY INTERNATIONAL SERVICES LTD</t>
  </si>
  <si>
    <t>16, ATIN STREET, IDUMOTA, LAGOS</t>
  </si>
  <si>
    <t>GLADYS PHARMACY</t>
  </si>
  <si>
    <t>49, TOS BENSON ROAD, EBUTE, IKORODU, LAGOS</t>
  </si>
  <si>
    <t>25TH NOVEMBER 2025</t>
  </si>
  <si>
    <t>A warning letter was issued to desist from the sales of unregistered products on the 26th November 2025</t>
  </si>
  <si>
    <t>HELIX PHARMACY</t>
  </si>
  <si>
    <t>67, AYANGBUREN STREET, IKORODU, LAGOS</t>
  </si>
  <si>
    <t>JOSFEMARKET PHARMACY</t>
  </si>
  <si>
    <t>146, EKORO ROAD, ABULE EGBA, LAGOS</t>
  </si>
  <si>
    <t>KWIK PHARMACY</t>
  </si>
  <si>
    <t>72, TOS BINSON, GENERAL HOSPITAL ROAD, IKORODU, LAGOS</t>
  </si>
  <si>
    <t>LIFE MED PHARMACY</t>
  </si>
  <si>
    <t>52, TOS BENSON ROAD, OBASEKUNMADE, EBUTE, IKORODU, LAGOS</t>
  </si>
  <si>
    <t>LUGZ PHARMACY</t>
  </si>
  <si>
    <t>28, TOS BENSON ROAD, EBUTE, IKORODU, LAGOS</t>
  </si>
  <si>
    <t>MEDICVILLE PHARMACY</t>
  </si>
  <si>
    <t>PLOT 734, ROAD 237, FESTAC PHASE II, LAGOS</t>
  </si>
  <si>
    <t>MED-REMS PHARMACY &amp; SUPERSTORES</t>
  </si>
  <si>
    <t>KM 13, GANI ADAMS WAY, ABULE-ADO, LAGOS</t>
  </si>
  <si>
    <t>A warning letter was issued to desist from the sales of unregistered products on the 19th November 2025</t>
  </si>
  <si>
    <t>RAMSGATE PHARMACY</t>
  </si>
  <si>
    <t>2, SANTOS AVENUE, ABULE-EGBA, LAGOS</t>
  </si>
  <si>
    <t>A warning letter was issued to desist from the sales of unregistered products on the 20th November 2025</t>
  </si>
  <si>
    <t>SAMBRIGHT HEALTH SERVICES</t>
  </si>
  <si>
    <t>88, DOSUMU STREET, IDUMOTA, LAGOS</t>
  </si>
  <si>
    <t>SEH PHARMACY</t>
  </si>
  <si>
    <t>52, OLD OTA ROAD, OLOTA BUS-STOP, LAGOS</t>
  </si>
  <si>
    <t>SOLITE PHARMACY</t>
  </si>
  <si>
    <t>1, GANI ADAMS STREET, ABULE-ADO, LAGOS</t>
  </si>
  <si>
    <t>A warning letter was issued to desist from the sale of unregistered product</t>
  </si>
  <si>
    <t>FOUNTAIN MEDS PHARMACY</t>
  </si>
  <si>
    <t>69B, AMIRALTY WAY, LEKKI, LAGOS STATE</t>
  </si>
  <si>
    <t>11TH NOVEMBER 2025</t>
  </si>
  <si>
    <t>A warning letter was issued to desist from the sale of unregistered product on the 17th November 2025</t>
  </si>
  <si>
    <t>RANSOMED PHARMACY</t>
  </si>
  <si>
    <t>1, BABS OGUNWOLE STREET, OFF NEW OKO-OBA ROAD, LAGOS.</t>
  </si>
  <si>
    <t>An administrative charge of four hundred thousand naira (#400,000) only was issued for the sales of unregistered products on the 20th November 2025</t>
  </si>
  <si>
    <t>ELTIS PHARMACY</t>
  </si>
  <si>
    <t>53, TEMBLE ROAD, OLANIYI, ABULE-EGBA, LAGOS</t>
  </si>
  <si>
    <t>EJOVIL PHARMACY</t>
  </si>
  <si>
    <t>107, OLANIYI STREET, ABULE-EGBA, LAGOS</t>
  </si>
  <si>
    <t>MOCARE PHARMACY</t>
  </si>
  <si>
    <t>26, OLAYIWOLA STREET, NEW OKO-OBA, LAGOS</t>
  </si>
  <si>
    <t>ASHIFAU PHARMACY</t>
  </si>
  <si>
    <t>19, OSHIYEMI STREET, CAPP ILUPEJU, LAGOS STATE</t>
  </si>
  <si>
    <t>4TH DECEMBER 2025</t>
  </si>
  <si>
    <t>A warning letter was issued to desist from the sale of unregistered product on the 8th Devember 2025</t>
  </si>
  <si>
    <t>Pills Pius Pharamacy</t>
  </si>
  <si>
    <t xml:space="preserve">5, Wole Ariyo Street, Off Admiralty Way, Lekki Phase 1 Lagos
</t>
  </si>
  <si>
    <t>24th January 2024</t>
  </si>
  <si>
    <t xml:space="preserve">Unregistered products were not found
</t>
  </si>
  <si>
    <t>Hills Dew Pharmacy</t>
  </si>
  <si>
    <t>Bliss mall, Chris Madueke Drive, Lekki Phase 1</t>
  </si>
  <si>
    <t>Gottgabe Pharmacy</t>
  </si>
  <si>
    <t xml:space="preserve">26, Prince Adebowo Adediji Street, Lekki Phase 1
</t>
  </si>
  <si>
    <t xml:space="preserve">Unregistered products were found
</t>
  </si>
  <si>
    <t xml:space="preserve">The products were mopped up. The facility was issued an invitation letter and receipt of purchase                             </t>
  </si>
  <si>
    <t xml:space="preserve">A warning letter was issued to desist from the sale of unregistered product on 25th January, 2024
</t>
  </si>
  <si>
    <t>Uzormark Global Services LTD</t>
  </si>
  <si>
    <t xml:space="preserve">No. 50 Ashoebong Street, Idumota
</t>
  </si>
  <si>
    <t>25th January 2024</t>
  </si>
  <si>
    <t>The products were mopped up. The facility was issued an invitation letter and receipt of purchase</t>
  </si>
  <si>
    <t>Pharmfinale Pharmacy</t>
  </si>
  <si>
    <t>No. 75 Akanro Street, Ilasamaja</t>
  </si>
  <si>
    <t>A warning letter was issued to desist from the sale of unregistered product on 29th January, 2024</t>
  </si>
  <si>
    <t>Orbit Lynk Pharmacy</t>
  </si>
  <si>
    <t xml:space="preserve">No. 13 Bode Thomas Street Surulere
</t>
  </si>
  <si>
    <t>the products were mopped up. The facility was issued an invitation letter and receipt of purchase</t>
  </si>
  <si>
    <t xml:space="preserve">A warning letter was issued to desist from the sale of unregistered product on 29th January, 2024
</t>
  </si>
  <si>
    <t>Nett Pharmacy</t>
  </si>
  <si>
    <t>No. 47, Allen Avenue, Ikeja</t>
  </si>
  <si>
    <t>26th January 2024</t>
  </si>
  <si>
    <t xml:space="preserve">Unregistered products were found
</t>
  </si>
  <si>
    <t xml:space="preserve">The products were mopped up. The facility was issued an invitation letter and receipt of purchase
</t>
  </si>
  <si>
    <t>Bay Kay Pharmacy</t>
  </si>
  <si>
    <t>No. 2, Adelaja Street, Oshodi</t>
  </si>
  <si>
    <t>29th January 2024</t>
  </si>
  <si>
    <t xml:space="preserve">Dan Zege Pharmacy </t>
  </si>
  <si>
    <t>No. 2, Afanogun Street, Oshodi</t>
  </si>
  <si>
    <t xml:space="preserve">Hakron Pharmacy </t>
  </si>
  <si>
    <t>No. 95, Oshodi Road, Oshodi</t>
  </si>
  <si>
    <t>Gudema Pharmacy</t>
  </si>
  <si>
    <t>No. 35 Church Street, Oshodi</t>
  </si>
  <si>
    <t>Sabiz Pharmacy</t>
  </si>
  <si>
    <t>No. 23, Adeyemi Street, Oshodi</t>
  </si>
  <si>
    <t>Calson Pharmacy</t>
  </si>
  <si>
    <t>No. 3, Oyegoke Street, Oshodi</t>
  </si>
  <si>
    <t>Drug Zone Pharmacy</t>
  </si>
  <si>
    <t>No. 11, Church Street, Oshodi</t>
  </si>
  <si>
    <t>Thermolabile medications not appropriately stored and labeled were found</t>
  </si>
  <si>
    <t>Chev Pharmacy</t>
  </si>
  <si>
    <t>No. 13 Adeyemi Street, Oshodi</t>
  </si>
  <si>
    <t>Unregistered products were not found</t>
  </si>
  <si>
    <t>Fenomas Pharmacy</t>
  </si>
  <si>
    <t>No. 41, Daodu Street, Mafoluku Oja, Oja</t>
  </si>
  <si>
    <t>Homilis Pharmacy</t>
  </si>
  <si>
    <t>No. 9, Adesanya Street, Mafoluku Oja, Oshodi</t>
  </si>
  <si>
    <t>RDC Pharmacy</t>
  </si>
  <si>
    <t xml:space="preserve">No. 7, Bush Street Anthony Lagos
</t>
  </si>
  <si>
    <t>31st January 2024</t>
  </si>
  <si>
    <t>Wellness Hub Pharmacy</t>
  </si>
  <si>
    <t xml:space="preserve">No. 15, Adesoye  Mende Maryland
</t>
  </si>
  <si>
    <t>Filter Health Pharmacy</t>
  </si>
  <si>
    <t xml:space="preserve">No. 10, Otiba Osundu Mende Maryland
</t>
  </si>
  <si>
    <t>3 Ajose Street Mende Maryland</t>
  </si>
  <si>
    <t>Chard Pharmacy</t>
  </si>
  <si>
    <t>No. 11, Adebowole Street, Mende</t>
  </si>
  <si>
    <t>Unregistered Products were found</t>
  </si>
  <si>
    <t>Pius and Gauis Pharmacy</t>
  </si>
  <si>
    <t>No. 25, Diya, Ifako Gbagada</t>
  </si>
  <si>
    <t>5th February</t>
  </si>
  <si>
    <t xml:space="preserve">N/A
</t>
  </si>
  <si>
    <t>Springcare Pharmacy</t>
  </si>
  <si>
    <t xml:space="preserve">No. 2, Ajaji  Street, Ifako Gbagada
</t>
  </si>
  <si>
    <t>A warning letter was issued to desist from the sale of unregistered product on 12th February, 2024</t>
  </si>
  <si>
    <t>Isalu Pharmacy</t>
  </si>
  <si>
    <t>No. 55, Diya Ifako, Gbagada</t>
  </si>
  <si>
    <t>UN Dozie Pharmacy</t>
  </si>
  <si>
    <t xml:space="preserve">No. 1A, Ibrahim Onashokun, Ifako, Gbagada
</t>
  </si>
  <si>
    <t>Lumaco Pharmacy and Store</t>
  </si>
  <si>
    <t>No. 1, Toyo Street, Obalende</t>
  </si>
  <si>
    <t>6th February</t>
  </si>
  <si>
    <t>Hilly Pharmacy</t>
  </si>
  <si>
    <t>No. 2, Odo Street, Obalende</t>
  </si>
  <si>
    <t>Okolowhite Pharmacy</t>
  </si>
  <si>
    <t xml:space="preserve">No. 1, Birrd, Avenue, Sabo Yaba
</t>
  </si>
  <si>
    <t>Canice Hans Pharmacy</t>
  </si>
  <si>
    <t xml:space="preserve">No. 10, Akinhanmi Street, Surulere
</t>
  </si>
  <si>
    <t>Alpha Pharmacy</t>
  </si>
  <si>
    <t>No. 8, Afariogun Street Ajao Estate</t>
  </si>
  <si>
    <t>8th February</t>
  </si>
  <si>
    <t>3D Radiance Pharmacy</t>
  </si>
  <si>
    <t>No 47, Powal Shop Ogudu</t>
  </si>
  <si>
    <t xml:space="preserve">Unregistered products were found </t>
  </si>
  <si>
    <t>St Peter and Paul Pharmacy</t>
  </si>
  <si>
    <t>No. 20, Adisa Balogun Alaperi Ketu</t>
  </si>
  <si>
    <t>A warning letter was issued to desist from the sale of unregistered product on 14th February, 2024</t>
  </si>
  <si>
    <t>Rose Bod Pharmacy</t>
  </si>
  <si>
    <t xml:space="preserve">No. 1, Omotayo Banwo transformer bustop Ogudu
</t>
  </si>
  <si>
    <t>Drugwell Pharmacy</t>
  </si>
  <si>
    <t>No. 25, Osoloway, Ajao Estate</t>
  </si>
  <si>
    <t>Sparcod Health Care Service</t>
  </si>
  <si>
    <t xml:space="preserve">No. 1a, Omotayo banwo street Ori-oke Ogudu
</t>
  </si>
  <si>
    <t>Sophia and Williams Pharmacy</t>
  </si>
  <si>
    <t>No. 5, Prince Oyewunmi street Goodluck junction, Ogudu</t>
  </si>
  <si>
    <t>Gocrest Pharmacy</t>
  </si>
  <si>
    <t xml:space="preserve">No. 26, Agidi Road Alaperi Ketu  </t>
  </si>
  <si>
    <t xml:space="preserve">Unregistered products were not found </t>
  </si>
  <si>
    <t>Sera Pharmacy</t>
  </si>
  <si>
    <t>No. 3, David Street Ketu</t>
  </si>
  <si>
    <t>Unregistered Products were not found</t>
  </si>
  <si>
    <t>Obitex Divine Pharmacy</t>
  </si>
  <si>
    <t>No. 1, Ajelogo Road Mile 12</t>
  </si>
  <si>
    <t>MJ Touch Pharmacy</t>
  </si>
  <si>
    <t>15th February</t>
  </si>
  <si>
    <t>Pro Drug Pharmacy</t>
  </si>
  <si>
    <t>No. 7b, Asa-Afa Rofun Ajao Estate</t>
  </si>
  <si>
    <t>Sunny Lucky Pharmacy</t>
  </si>
  <si>
    <t>Ripple Pharmacy</t>
  </si>
  <si>
    <t>No. 10, Chivita Avenue Ajao Estate</t>
  </si>
  <si>
    <t xml:space="preserve">Pets shop plus </t>
  </si>
  <si>
    <t>No 306, Ikorodu road, Anthony</t>
  </si>
  <si>
    <t>22th February</t>
  </si>
  <si>
    <t>Pharmamail global</t>
  </si>
  <si>
    <t>34 Alhaja Kudirat Adenekan street, canoe bus stop Isolo</t>
  </si>
  <si>
    <t>Bio organic ltd</t>
  </si>
  <si>
    <t>The products  were mopped up. The facility was isued an invitation letter and receipt of purchase</t>
  </si>
  <si>
    <t xml:space="preserve">Ibro Pharmacy </t>
  </si>
  <si>
    <t xml:space="preserve">shop 93-94 Ebute modern market </t>
  </si>
  <si>
    <t>26th February</t>
  </si>
  <si>
    <t>Remedy Pharmacy</t>
  </si>
  <si>
    <t xml:space="preserve">6 NBC Road Ikorodu </t>
  </si>
  <si>
    <t>Ifyzol Pharmacy</t>
  </si>
  <si>
    <t xml:space="preserve">31 NBC road </t>
  </si>
  <si>
    <t xml:space="preserve">Lifemed Pharmacy </t>
  </si>
  <si>
    <t>50 Tos Benson road, Ebute</t>
  </si>
  <si>
    <t>Gladiz Pharmacy</t>
  </si>
  <si>
    <t>49 beach road Ikorodu</t>
  </si>
  <si>
    <t xml:space="preserve">Lugz Pharmacy </t>
  </si>
  <si>
    <t>38 Tos Benson road, opp. general hospital Ikorodu</t>
  </si>
  <si>
    <t xml:space="preserve">Macojo Pharmacy </t>
  </si>
  <si>
    <t>13 Tos Benson road Ikorodu</t>
  </si>
  <si>
    <t>Helix Pharmacy</t>
  </si>
  <si>
    <t>67 Ayangburan road, Ikorodu</t>
  </si>
  <si>
    <t xml:space="preserve">Roma Pharmacy </t>
  </si>
  <si>
    <t>27 Ayobunre road</t>
  </si>
  <si>
    <t>Careforte Pharmacy</t>
  </si>
  <si>
    <t>plot 299, Akin Olugbade street, Idowu Martins Victoria Island, Lagos</t>
  </si>
  <si>
    <t>6th March</t>
  </si>
  <si>
    <t>Felimat Pharmacy</t>
  </si>
  <si>
    <t>Km 173 Lagos Badagry expressway</t>
  </si>
  <si>
    <t>21st March</t>
  </si>
  <si>
    <t>Sazo Bakery</t>
  </si>
  <si>
    <t>3rd April</t>
  </si>
  <si>
    <t>Medplus Pharmacy</t>
  </si>
  <si>
    <t>30th April</t>
  </si>
  <si>
    <t>Healthward-ed Pharmacy</t>
  </si>
  <si>
    <t>107 Bajulaiye strt Shomolu</t>
  </si>
  <si>
    <t>29th April</t>
  </si>
  <si>
    <t>Al ticare Pharmacy</t>
  </si>
  <si>
    <t>8 Bajulaiye street Shomolu</t>
  </si>
  <si>
    <t>Well green Pharmacy</t>
  </si>
  <si>
    <t>47 Bajulaiye street Shomolu</t>
  </si>
  <si>
    <t>Chymedics Pharmacy</t>
  </si>
  <si>
    <t>18 Olufemi Ojo street, Shasha Akwonjo</t>
  </si>
  <si>
    <t>6th May</t>
  </si>
  <si>
    <t>Libeta Pharmacy</t>
  </si>
  <si>
    <t xml:space="preserve">C.P Coop wholesale pharm </t>
  </si>
  <si>
    <t>Giant strides MFB building, Celemical bus stop Badagry expressway Lagos</t>
  </si>
  <si>
    <t xml:space="preserve">Myfil Pharmacy </t>
  </si>
  <si>
    <t>167 Akwonjo road, Lagos</t>
  </si>
  <si>
    <t>The Charter Pharmacy</t>
  </si>
  <si>
    <t>205 Akwonjo road, Lagos</t>
  </si>
  <si>
    <t>Eagle Pharmacy</t>
  </si>
  <si>
    <t>No 43 Shasha road, Lagos</t>
  </si>
  <si>
    <t xml:space="preserve">Givanas nig ltd </t>
  </si>
  <si>
    <t xml:space="preserve">18/20 Busmon road, Apapa Lagos </t>
  </si>
  <si>
    <t xml:space="preserve">10th May </t>
  </si>
  <si>
    <t>The facility does not produce pharmaceutical products.</t>
  </si>
  <si>
    <t xml:space="preserve">Jay Kay Pharmacy </t>
  </si>
  <si>
    <t>32/33 Calcutta crescent Apapa Lagos</t>
  </si>
  <si>
    <t>Sylken Pharmacy</t>
  </si>
  <si>
    <t>20 Kofo Abayomi Avenue, Apapa Lagos</t>
  </si>
  <si>
    <t xml:space="preserve">Renee Supermarket </t>
  </si>
  <si>
    <t>Renee supermarket freedom way, Lekki Lagos</t>
  </si>
  <si>
    <t>21st May</t>
  </si>
  <si>
    <t xml:space="preserve">Switz Pharmacy </t>
  </si>
  <si>
    <t>21/22 Metro quarters, Kodesho Ikeja</t>
  </si>
  <si>
    <t>28th June</t>
  </si>
  <si>
    <t>Pharma Reach</t>
  </si>
  <si>
    <t>3 Obafemi Awolowo way, Ikeja</t>
  </si>
  <si>
    <t>Juli Pharmacy</t>
  </si>
  <si>
    <t>19 Kodesho street, Ikeja</t>
  </si>
  <si>
    <t>Nebinco Pharmacy</t>
  </si>
  <si>
    <t>G6 Obafemi Awolowo way, Ikeja</t>
  </si>
  <si>
    <t xml:space="preserve">Single  eagle pharmacy &amp; supermarket </t>
  </si>
  <si>
    <t>21 Obafemi Awolowo way Ikeja</t>
  </si>
  <si>
    <t>Jawa int'l ltd</t>
  </si>
  <si>
    <t xml:space="preserve">1st July </t>
  </si>
  <si>
    <t xml:space="preserve">Ibidunni stores </t>
  </si>
  <si>
    <t>5, Oke-arin Lagos Island</t>
  </si>
  <si>
    <t>8th July</t>
  </si>
  <si>
    <t>Unregistered product was found</t>
  </si>
  <si>
    <t xml:space="preserve">Pharma Solutions </t>
  </si>
  <si>
    <t>Murphis plaza, 27 Sanusi Fafunwa, Victoria Island Lagos</t>
  </si>
  <si>
    <t>16th July</t>
  </si>
  <si>
    <t xml:space="preserve">Medfinity Pharmacy </t>
  </si>
  <si>
    <t>49 Adeola Odeku street, VI lagos</t>
  </si>
  <si>
    <t>16th july</t>
  </si>
  <si>
    <t>Medvacc Pharmacy</t>
  </si>
  <si>
    <t>16 Karimu Kotun street, VI Lagos</t>
  </si>
  <si>
    <t>17th July</t>
  </si>
  <si>
    <t>Chemart Pharmacy</t>
  </si>
  <si>
    <t>3/5 Adeyemo Alakija street, VI Lagos</t>
  </si>
  <si>
    <t xml:space="preserve">Pedov healthcare ltd </t>
  </si>
  <si>
    <t>37 Ajibulu street, Mafoluku</t>
  </si>
  <si>
    <t>22th July</t>
  </si>
  <si>
    <t xml:space="preserve">Alatra Pharmacy </t>
  </si>
  <si>
    <t>7 Oriyomi  street, Ikeja</t>
  </si>
  <si>
    <t xml:space="preserve">Rommy Freed Pharmacy </t>
  </si>
  <si>
    <t xml:space="preserve">Bistol Pharmacy </t>
  </si>
  <si>
    <t>21 Simbiat Abiola way, Ikeja</t>
  </si>
  <si>
    <t>He Land Shine supermarket</t>
  </si>
  <si>
    <t>No1 Adenekan Plaza, Okota road</t>
  </si>
  <si>
    <t xml:space="preserve">21st August </t>
  </si>
  <si>
    <t xml:space="preserve">Hosts superstores </t>
  </si>
  <si>
    <t>142 Cele Okota road</t>
  </si>
  <si>
    <t>Pennymart Supermarket</t>
  </si>
  <si>
    <t>No26 Ago palace way, Okota Lagos</t>
  </si>
  <si>
    <t>Able Superstore</t>
  </si>
  <si>
    <t>22nd August</t>
  </si>
  <si>
    <t>Pennyexpress superstore</t>
  </si>
  <si>
    <t>122 Ago palace way, Okota Lagos</t>
  </si>
  <si>
    <t xml:space="preserve">Sundry market </t>
  </si>
  <si>
    <t>115/117 Ago palace way, Okota Lagos</t>
  </si>
  <si>
    <t xml:space="preserve">Globus market </t>
  </si>
  <si>
    <t>No64 Ago palace way Okota Lagos</t>
  </si>
  <si>
    <t>Toxz Primary &amp; stores</t>
  </si>
  <si>
    <t>40b, Coker road, Ilupeju</t>
  </si>
  <si>
    <t>28th August</t>
  </si>
  <si>
    <t xml:space="preserve">F &amp; T Pharmacy </t>
  </si>
  <si>
    <t>154 Obafemi Awolowo way, Ikeja</t>
  </si>
  <si>
    <t>Pharm Affairs Pharmacy &amp; Supermarket</t>
  </si>
  <si>
    <t>6 Coker road, Ilupeju</t>
  </si>
  <si>
    <t>No1 Supermarket</t>
  </si>
  <si>
    <t>21 coker road, Mushin Ilupeju</t>
  </si>
  <si>
    <t>SEC Pharmacy</t>
  </si>
  <si>
    <t xml:space="preserve">135 Lawanson road, Ijesha bus stop </t>
  </si>
  <si>
    <t>29th August</t>
  </si>
  <si>
    <t>The products were mopped up. The facility was issued an invitation letter and receipt of purchahse</t>
  </si>
  <si>
    <t>Healthplus Pharmacy</t>
  </si>
  <si>
    <t>shop 84 Adeniran Ogunsanya shopping mall, Adeniran Ogunsanya street, Surulere.</t>
  </si>
  <si>
    <t>346 Herbert Macaulay way, yaba</t>
  </si>
  <si>
    <t>Phase 2 Tejuosho mall, Yaba</t>
  </si>
  <si>
    <t>II Commercial Avenue, Sabo Yaba</t>
  </si>
  <si>
    <t>Vind Gold</t>
  </si>
  <si>
    <t>46 Orikoyi street, Idumota Lagos</t>
  </si>
  <si>
    <t>30th August</t>
  </si>
  <si>
    <t>Fasid Pharmacy</t>
  </si>
  <si>
    <t>Omole bus stop by traffic light, Osunsina house ikeja</t>
  </si>
  <si>
    <t>12th September</t>
  </si>
  <si>
    <t>Rubby Pharmacy</t>
  </si>
  <si>
    <t>No 73 Aino street, Ojodu Berger</t>
  </si>
  <si>
    <t>Cek Pharmacy</t>
  </si>
  <si>
    <t>No 101, Ojodu road</t>
  </si>
  <si>
    <r>
      <t>360</t>
    </r>
    <r>
      <rPr>
        <sz val="11"/>
        <color theme="1"/>
        <rFont val="Calibri"/>
        <family val="2"/>
      </rPr>
      <t>°</t>
    </r>
    <r>
      <rPr>
        <sz val="9.15"/>
        <color theme="1"/>
        <rFont val="Calibri"/>
        <family val="2"/>
      </rPr>
      <t xml:space="preserve"> </t>
    </r>
    <r>
      <rPr>
        <sz val="11"/>
        <color theme="1"/>
        <rFont val="Calibri"/>
        <family val="2"/>
        <scheme val="minor"/>
      </rPr>
      <t>Royal care Pharmacy</t>
    </r>
  </si>
  <si>
    <t>No 14 Ogunusi road, Ojodu</t>
  </si>
  <si>
    <t>Unregistered product were not found</t>
  </si>
  <si>
    <t>Audion Pharmacy</t>
  </si>
  <si>
    <t>No 1b isheri road, Ogba Lagos</t>
  </si>
  <si>
    <t>Nukai Global ltd</t>
  </si>
  <si>
    <t xml:space="preserve">No 19 Mokolu street, ogba </t>
  </si>
  <si>
    <t>Estin Pharmacy</t>
  </si>
  <si>
    <t>No6 Ijaye road, Ogba bus stop</t>
  </si>
  <si>
    <t>Juliettarrison/Healthbond pharmacy</t>
  </si>
  <si>
    <t>15 Ajanji Aina street, Ifako-gbagada Lagos</t>
  </si>
  <si>
    <t>18th September</t>
  </si>
  <si>
    <t xml:space="preserve">Addas Mall </t>
  </si>
  <si>
    <t xml:space="preserve">8/10 Hakeem Balogun street, Agidingbi, Ikeja </t>
  </si>
  <si>
    <t>26th September</t>
  </si>
  <si>
    <t>Atidam Pharmacy</t>
  </si>
  <si>
    <t>No1 Olayiwola street, off social club road, New Okoba Abule egba</t>
  </si>
  <si>
    <t xml:space="preserve">29th October </t>
  </si>
  <si>
    <t xml:space="preserve">Tito B Pharmacy </t>
  </si>
  <si>
    <t>No53 charity road, New okoba Agege</t>
  </si>
  <si>
    <t>God dey Pharmacy</t>
  </si>
  <si>
    <t>No1 charity road, Abule egba</t>
  </si>
  <si>
    <t>Golden rule Pharmacy</t>
  </si>
  <si>
    <t>24 Mosefejo road, Amukoko Lagos</t>
  </si>
  <si>
    <t>30th October</t>
  </si>
  <si>
    <t>Jeneru Pharmaceutical ltd</t>
  </si>
  <si>
    <t>109 Alaba oro road Alaba, Lagos</t>
  </si>
  <si>
    <t>Tibos Pharmacy</t>
  </si>
  <si>
    <t>35 Olumokun street, Amukoko Lagos</t>
  </si>
  <si>
    <t>Wisdom-med Pharmacy</t>
  </si>
  <si>
    <t>31 Ajose street, Amukoko Lagos</t>
  </si>
  <si>
    <t xml:space="preserve">Vatican Pharmacy </t>
  </si>
  <si>
    <t>131 Isolo road, Mushin</t>
  </si>
  <si>
    <t>7th November</t>
  </si>
  <si>
    <t xml:space="preserve">Benmax Pharmacy </t>
  </si>
  <si>
    <t>No54 Isolo road, Mushin</t>
  </si>
  <si>
    <t>Chido Pharmacy</t>
  </si>
  <si>
    <t xml:space="preserve">37 Isolo road, Mushin </t>
  </si>
  <si>
    <t>Sabest Pharmacy</t>
  </si>
  <si>
    <t>No19 church street, gbagada</t>
  </si>
  <si>
    <t>12th November</t>
  </si>
  <si>
    <t>Roche Products</t>
  </si>
  <si>
    <t>48/50 Isaac John street, Ikeja GRA Lagos</t>
  </si>
  <si>
    <t>5th December</t>
  </si>
  <si>
    <t>Exxon Pharma</t>
  </si>
  <si>
    <t>59A coker road, Ilupeju</t>
  </si>
  <si>
    <t>Pinehealth Pharmacy</t>
  </si>
  <si>
    <t>Hakeem Dickson link road, Lekki phase 1</t>
  </si>
  <si>
    <t>11th December</t>
  </si>
  <si>
    <t>Unregistered products were found.</t>
  </si>
  <si>
    <t>The products were mopped up. The facility was issued an invitation letter and receipt of purchase.</t>
  </si>
  <si>
    <t>Livewell Pharmacy</t>
  </si>
  <si>
    <t>17 Emma Abinbola cole, Lekki phase 1</t>
  </si>
  <si>
    <t>Daytona  Pharmacy</t>
  </si>
  <si>
    <t>Widdi Pharmacy</t>
  </si>
  <si>
    <t>Marwa mall, Widdi pharmacy</t>
  </si>
  <si>
    <t>Evercare Hospital</t>
  </si>
  <si>
    <t>No1 Admiralty way, Lekki phase 1</t>
  </si>
  <si>
    <t>DAILY LIFE PHARMACY</t>
  </si>
  <si>
    <t>91, BAALE STREET APAPA, LAGOS</t>
  </si>
  <si>
    <t>11TH MAY 2023</t>
  </si>
  <si>
    <t>The pharmacy was aligned to the standard of the Agency</t>
  </si>
  <si>
    <t>DRUG THEATRE PHARMACY AND STORES</t>
  </si>
  <si>
    <t>67, KIRIKIRI ROAD, BY OLUS BUS-TOP</t>
  </si>
  <si>
    <t>GEOPRIM PHARMACY LTD</t>
  </si>
  <si>
    <t>NO 11, AMERE ST., APAPA LAGOS</t>
  </si>
  <si>
    <t>ROSE MILD PHARMACEUTICAL LIMITED</t>
  </si>
  <si>
    <t>NO 1, AMORE, APAPA, LAGOS</t>
  </si>
  <si>
    <t>DOC MORRIS PHARMACY</t>
  </si>
  <si>
    <t>80, KIRIKIRI, LAGOS</t>
  </si>
  <si>
    <t>KALU MEMORIAL FOUNDATION</t>
  </si>
  <si>
    <t>16TH MAY 2023</t>
  </si>
  <si>
    <t>Expired products were found</t>
  </si>
  <si>
    <t>CARLISLE PHARMACY</t>
  </si>
  <si>
    <t>186, AWOLOWO ROAD, IKOYI</t>
  </si>
  <si>
    <t>17TH MAY 2023</t>
  </si>
  <si>
    <t>PRIMEAH PHARMACY</t>
  </si>
  <si>
    <t>59, AWOLOWO ROAD, IKOYI</t>
  </si>
  <si>
    <t>A warning letter was issued to desist from the sale of unregistered product on the 19th May, 2023</t>
  </si>
  <si>
    <t>NEMITT PHARMACY</t>
  </si>
  <si>
    <t>96, WESTERN AVENUE, OJUELEGBA, LAGOS</t>
  </si>
  <si>
    <t>22ND MAY 2023</t>
  </si>
  <si>
    <t>An Administrative charge was issued to desist from the sale of product  with labelling lapses on the 24th May, 2023</t>
  </si>
  <si>
    <t>DENRAN PHARMACY AND STORES</t>
  </si>
  <si>
    <t>8, IJA OYE STREET, JIBOWU, LAGOS</t>
  </si>
  <si>
    <t>HUSSYPLAZA, 1 HUSSY STREET, YABA, LAGOS</t>
  </si>
  <si>
    <t>An Administrative charge was issued to desist from the sale of unregistered product on the 31st  May, 2023</t>
  </si>
  <si>
    <t>47, MODUPE YOUNG, THOMAS ESTATE, AJAH, LAGOS</t>
  </si>
  <si>
    <t>13TH JUNE 2023</t>
  </si>
  <si>
    <t>TROOP PHARMACEUTICALS</t>
  </si>
  <si>
    <t>41, ONTSHE STREET, IKEJA, LAGOS</t>
  </si>
  <si>
    <t>27/07/2023</t>
  </si>
  <si>
    <t>A warning letter was issued to desist from the sale of unregistered product on the 1st August, 2023</t>
  </si>
  <si>
    <t>NO. 29, ISAAC JOHN STREET, IKEJA GRA, LAGOS STATE.</t>
  </si>
  <si>
    <r>
      <rPr>
        <sz val="12"/>
        <color theme="1"/>
        <rFont val="Times New Roman"/>
        <charset val="134"/>
      </rPr>
      <t>24</t>
    </r>
    <r>
      <rPr>
        <vertAlign val="superscript"/>
        <sz val="12"/>
        <color theme="1"/>
        <rFont val="Times New Roman"/>
        <charset val="134"/>
      </rPr>
      <t>th</t>
    </r>
    <r>
      <rPr>
        <sz val="12"/>
        <color theme="1"/>
        <rFont val="Times New Roman"/>
        <charset val="134"/>
      </rPr>
      <t xml:space="preserve"> AUGUST 2023</t>
    </r>
  </si>
  <si>
    <t>MAMA TEGA COSMETICS AND SPA, TEJUOSHO</t>
  </si>
  <si>
    <t>TEJUOHO ROAD, OJUELEGBA, LAGOS</t>
  </si>
  <si>
    <r>
      <rPr>
        <sz val="12"/>
        <color theme="1"/>
        <rFont val="Times New Roman"/>
        <charset val="134"/>
      </rPr>
      <t xml:space="preserve"> 7</t>
    </r>
    <r>
      <rPr>
        <vertAlign val="superscript"/>
        <sz val="12"/>
        <color theme="1"/>
        <rFont val="Times New Roman"/>
        <charset val="134"/>
      </rPr>
      <t>th</t>
    </r>
    <r>
      <rPr>
        <sz val="12"/>
        <color theme="1"/>
        <rFont val="Times New Roman"/>
        <charset val="134"/>
      </rPr>
      <t xml:space="preserve"> SEPTEMBER, 2023</t>
    </r>
  </si>
  <si>
    <t>A warning letter was issued to desist from the sale of unregistered product on the 8th September, 2023</t>
  </si>
  <si>
    <t>PROGNOSY PHARMACY LTD</t>
  </si>
  <si>
    <t>359,OLD ABEOKUTA ROAD,OKO-OBA, AGEGE, LAGOS STATE.</t>
  </si>
  <si>
    <r>
      <rPr>
        <sz val="12"/>
        <color theme="1"/>
        <rFont val="Times New Roman"/>
        <charset val="134"/>
      </rPr>
      <t>31</t>
    </r>
    <r>
      <rPr>
        <vertAlign val="superscript"/>
        <sz val="12"/>
        <color theme="1"/>
        <rFont val="Times New Roman"/>
        <charset val="134"/>
      </rPr>
      <t>st</t>
    </r>
    <r>
      <rPr>
        <sz val="12"/>
        <color theme="1"/>
        <rFont val="Times New Roman"/>
        <charset val="134"/>
      </rPr>
      <t xml:space="preserve"> SEPTEMBER 2023</t>
    </r>
  </si>
  <si>
    <t>A warning letter was issued to desist from the sale of unregistered product on the 4th September, 2023</t>
  </si>
  <si>
    <t>ADIBA SUPERMARKET</t>
  </si>
  <si>
    <t>46B, ADMIRALTY ROAD LEKKI, LAGOS</t>
  </si>
  <si>
    <t>15th SEPTEMBER 2023</t>
  </si>
  <si>
    <t>FREEDOM MART</t>
  </si>
  <si>
    <t>NO. 29, BLOCK 77A, ADMIRALTY ROAD, LEKKI, LAGOS</t>
  </si>
  <si>
    <t>MY MART SUPERMARKET</t>
  </si>
  <si>
    <t>17B, ADMIRALTY ROAD, LEKKI, LAGOS</t>
  </si>
  <si>
    <t>A warning letter was issued to desist from the sale of unregistered product on the 18th September, 2023</t>
  </si>
  <si>
    <t>HEALTHRITE PHARMACY</t>
  </si>
  <si>
    <t>72, AKERELERE STR., SURULERE, LAGOS</t>
  </si>
  <si>
    <t>26TH SEPTEMBER 2023</t>
  </si>
  <si>
    <t>An Administrative charge was issued to desist from the sale of unregistered product on the 26th September 2023</t>
  </si>
  <si>
    <t>SKI PHARMACY</t>
  </si>
  <si>
    <t>183, AKERELERE ROAD, SURULERE, LAGOS</t>
  </si>
  <si>
    <t>DOMINUS PHARMACY</t>
  </si>
  <si>
    <t>45, ADENIRAN OGUNSANYA, SURULERE, LAGOS</t>
  </si>
  <si>
    <t>SITAWELL PHARMACY</t>
  </si>
  <si>
    <t>84, ADENIRAN OGUNSANYA STREET, SURULERE, LAGOS</t>
  </si>
  <si>
    <t>A warning letter was issued to desist from the sale of unregistered product on the 4th October, 2023</t>
  </si>
  <si>
    <t>DISCOVERING PHARMACY</t>
  </si>
  <si>
    <t>GOLDMORE PLAZA, BESIDE CLINIX HEALTHCARE, AGO PALACE WAY, LAGOS</t>
  </si>
  <si>
    <t>28TH SEPTEMBER 2023</t>
  </si>
  <si>
    <t>BLUE SEAL PHARMACY</t>
  </si>
  <si>
    <t>FESTAC CLINIC ROAD, OFF DIAMOND ESTATE GATE, FESTAC, LAGOS</t>
  </si>
  <si>
    <t>A warning letter was issued to desist from the sale of unregistered product on the 5th October, 2023</t>
  </si>
  <si>
    <t>BLUE GATE PHARMACY</t>
  </si>
  <si>
    <t>TEHILLAH PHARMACY</t>
  </si>
  <si>
    <t xml:space="preserve">ROYAL TREAT PHARMACY </t>
  </si>
  <si>
    <t>ENAVEC PHARMACY</t>
  </si>
  <si>
    <t>IRENE CARE PHARMACY</t>
  </si>
  <si>
    <t>No 696 Agege Motor Road, Bwd Bustop Oshodi, Lagos</t>
  </si>
  <si>
    <r>
      <rPr>
        <sz val="11"/>
        <color theme="1"/>
        <rFont val="Times New Roman"/>
        <charset val="134"/>
      </rPr>
      <t>11</t>
    </r>
    <r>
      <rPr>
        <vertAlign val="superscript"/>
        <sz val="11"/>
        <color theme="1"/>
        <rFont val="Times New Roman"/>
        <charset val="134"/>
      </rPr>
      <t>th</t>
    </r>
    <r>
      <rPr>
        <sz val="11"/>
        <color theme="1"/>
        <rFont val="Times New Roman"/>
        <charset val="134"/>
      </rPr>
      <t xml:space="preserve"> OCTOBER 2023</t>
    </r>
  </si>
  <si>
    <t>HEN-BOSCO PHARMACY</t>
  </si>
  <si>
    <t>No 195, Lagos-Abeokuta Expressway Iyana Ipaja Lagos.</t>
  </si>
  <si>
    <t>176, Lagos-Abeokuta Expressway Iyana Ipaja Lagos.</t>
  </si>
  <si>
    <t>A warning letter was issued to desist from the sale of unregistered product on 20th October, 2023</t>
  </si>
  <si>
    <t>JOSTADE PHARMACY</t>
  </si>
  <si>
    <t>11th OCTOBER 2023</t>
  </si>
  <si>
    <t>AGU-JUDEA PHARMACY</t>
  </si>
  <si>
    <t>191/193, Lagos-Abeokuta Expressway, Iyana Ipaja, Lagos.</t>
  </si>
  <si>
    <t>DRUGS AND MEDICAMENTS PHARMACY</t>
  </si>
  <si>
    <t>No. 117, Lagos-Abeokuta Expressway, Iyana Ipaja, Lagos</t>
  </si>
  <si>
    <t>JUVYWAY PHARMACY</t>
  </si>
  <si>
    <t>No. 57, Alimosho Road, Iyana Ipaja, Lagos.</t>
  </si>
  <si>
    <t>OLIVE PHARMACY</t>
  </si>
  <si>
    <t>Suite 14, Carol Plaza, Alimosho Rd. Iyana Ipaja, Lagos.</t>
  </si>
  <si>
    <t>A warning letter was issued to desist from the sale of unregistered product on 30th October, 2023</t>
  </si>
  <si>
    <t>Prime Mart Super Store</t>
  </si>
  <si>
    <t>No. 38 Lagos-Abeokuta Exp. Way, Lagos</t>
  </si>
  <si>
    <t>KLS Supermarket</t>
  </si>
  <si>
    <t>No. 105 Awolowo Way, Ikeja Lagos</t>
  </si>
  <si>
    <t>13th October  2023</t>
  </si>
  <si>
    <t xml:space="preserve">                                  N/A</t>
  </si>
  <si>
    <t>A warning letter was issued to desist from the sale of unregistered product on 3rd November, 2023</t>
  </si>
  <si>
    <t>Ideal Supermarket</t>
  </si>
  <si>
    <t>KM31, Bogije Bustop Lekki-Epe express way Lagos</t>
  </si>
  <si>
    <t>16th October 2023</t>
  </si>
  <si>
    <t>NY Supermarket</t>
  </si>
  <si>
    <t xml:space="preserve">NO. 18 Admiralty Way, Lekki Phase ! Lagos
</t>
  </si>
  <si>
    <t>18th October 2023</t>
  </si>
  <si>
    <t>Prince Ebeano Supermarket</t>
  </si>
  <si>
    <t>Plot 9 Northern District, Lekki Phase 1 Lagos</t>
  </si>
  <si>
    <t>Buy Better Cosmetics</t>
  </si>
  <si>
    <t>No. 19A, Aliu Animashaun Lekki Phase ! Lagos</t>
  </si>
  <si>
    <t>SamaGod Project Nig LTD</t>
  </si>
  <si>
    <t>43 Offin Road, Lagos Island</t>
  </si>
  <si>
    <t>26th October 2023</t>
  </si>
  <si>
    <t>Dominos Stores</t>
  </si>
  <si>
    <t>11 Commercial Avenue Sabo, Yaba</t>
  </si>
  <si>
    <t>17th November 2023</t>
  </si>
  <si>
    <t>Health Plus Pharmacy</t>
  </si>
  <si>
    <t>Mall Mart Supermarket</t>
  </si>
  <si>
    <t>266 Herbert Macaulay Way, Yaba</t>
  </si>
  <si>
    <t xml:space="preserve">A warning letter was issued to desist from the sale of unregistered product </t>
  </si>
  <si>
    <t>Leaque Pharmacy</t>
  </si>
  <si>
    <t>289 Herbert Macaulay Way, Yaba</t>
  </si>
  <si>
    <t>Pharma solutions</t>
  </si>
  <si>
    <t>Herbert Macaulay Way, Yaba</t>
  </si>
  <si>
    <t>A warning letter was issued to desist from the sale of unregistered product on 27th November, 2023</t>
  </si>
  <si>
    <t>Blenco Supermarket</t>
  </si>
  <si>
    <t>Near Worldoil, ilasen Lekki-Epe Expressway Lagos</t>
  </si>
  <si>
    <t>29th November 2023</t>
  </si>
  <si>
    <t>Karma Mart</t>
  </si>
  <si>
    <t>2/4 Adeola Odeku street, Victoria Island, Lagos</t>
  </si>
  <si>
    <t xml:space="preserve">Food Corner </t>
  </si>
  <si>
    <t>1/2 Adeola Odeku s
treet, Victoria Island, Lagos</t>
  </si>
  <si>
    <t>Jojo Pet Food</t>
  </si>
  <si>
    <t>8A Adeleke Adedoyin Street off Musa Yar'Adua Street, Victoria Island</t>
  </si>
  <si>
    <t>Ngumed Pharmacy</t>
  </si>
  <si>
    <t xml:space="preserve">12 Ikotun Egbe Road, Jakande Isolo
</t>
  </si>
  <si>
    <t>7th December 2023</t>
  </si>
  <si>
    <t>Apploz E-Pharmacy</t>
  </si>
  <si>
    <t>96 Egbe Road, Opposite Ejigbo LCDA Office Lagos</t>
  </si>
  <si>
    <t>A warning letter was issued to desist from the sale of unregistered product on 11th of December 2023</t>
  </si>
  <si>
    <t>Semper Pharmacy</t>
  </si>
  <si>
    <t>Iyana-Ejigbo Bus Stop, Lagos</t>
  </si>
  <si>
    <t>A warning letter was issued to desist from the sale of unregistered product on 8th December, 2023</t>
  </si>
  <si>
    <t>Healthmaps Pharmacy</t>
  </si>
  <si>
    <t>1 Adekunjo Street, Opp Synagogue Ikotun, Lagos</t>
  </si>
  <si>
    <t>Di-Maggio Pharmaceptical LTD</t>
  </si>
  <si>
    <t>1 Egbe Road, Ikotun Lagos</t>
  </si>
  <si>
    <t>Fansef Pharmacy</t>
  </si>
  <si>
    <t>78, ikotun-idimu road, Lagos</t>
  </si>
  <si>
    <t>West Gate Life Care Pharmacy and Supermarket</t>
  </si>
  <si>
    <t>No 1 the Apostolic church CL, Isheri, Lagos</t>
  </si>
  <si>
    <t>A warning letter was issued to desist from the sale of unregistered product on 12th December, 2023</t>
  </si>
  <si>
    <t>3, OLAJIRE STREET, ILUPEJU BYPASS, ILUPEJU, LAGOS</t>
  </si>
  <si>
    <t>19TH JANUARY 2022</t>
  </si>
  <si>
    <t>Unregistered Apetamin syrup was not found</t>
  </si>
  <si>
    <t xml:space="preserve">CLOSED </t>
  </si>
  <si>
    <t>NEUCHEM PHARMACY</t>
  </si>
  <si>
    <t>A warning letter was issued to desist from the sale of unregistered product on the , 21st January, 2022</t>
  </si>
  <si>
    <t>PLOT 310, GBAGADA OWONSHOKI EXPRESSWAY</t>
  </si>
  <si>
    <t>Unregistered Apetamin and other Unregistered products were found</t>
  </si>
  <si>
    <t>The meeting was resheduled. The company was asked to come with CAPA and receipt of purchase.</t>
  </si>
  <si>
    <t>19, CHURCH STREET, GBAGADA</t>
  </si>
  <si>
    <t>The meeting was resheduled on thursday 27th January, 2022</t>
  </si>
  <si>
    <t>MEBUK PHARMACY</t>
  </si>
  <si>
    <t>A warning letter was issued to desist from the sale of unregistered product on the , 25TH January, 2022</t>
  </si>
  <si>
    <t>SPRINGCARE PHARMACY</t>
  </si>
  <si>
    <t>2, AJAYI AINA STREER, IFAKO, GBAGADA</t>
  </si>
  <si>
    <t>COME ALIVE PHARMACY</t>
  </si>
  <si>
    <t xml:space="preserve">17, AKERELE ANNEX, SOLUYI GBAGADA, LAGOS </t>
  </si>
  <si>
    <t>SHOPRITE, ADENIRAN OGUNSANYA STREET, SURULERE</t>
  </si>
  <si>
    <t>MEDUS PHARMACY</t>
  </si>
  <si>
    <t>10TH FEBUARY 2022</t>
  </si>
  <si>
    <t>ORI PHARMACY</t>
  </si>
  <si>
    <t>DEZENUS PHARMACY</t>
  </si>
  <si>
    <t>DRUG SUPREMACY PHARMACY</t>
  </si>
  <si>
    <t>1, KARUNWO STREET, IJASHE SURULERE, LAGOS</t>
  </si>
  <si>
    <t>3RD MARCH 2022</t>
  </si>
  <si>
    <t>MEDICAL SUPREMACY PHARMACY</t>
  </si>
  <si>
    <t>33, ADENIYI STREET, ITIRE, LAGOS</t>
  </si>
  <si>
    <t>3RD MARCH 2023</t>
  </si>
  <si>
    <t>Most the product displayed were registered. Pharmaceutical products were arranged properly in the shelves.</t>
  </si>
  <si>
    <t>LASE PHARMACY</t>
  </si>
  <si>
    <t>25, KAJOLA RD, BY BELLO BUSTOP, IFAKO IJAIYE, OBAWOOE, L/S</t>
  </si>
  <si>
    <t>29TH MARCH 2022</t>
  </si>
  <si>
    <t>The outlets was in full compliance with all established regulations</t>
  </si>
  <si>
    <t>DAMILOLA PHARMACY</t>
  </si>
  <si>
    <t xml:space="preserve">49, KAJAOLA RD, NSIKE, OBAWOLE ESTATE, IJU ISHAGA, LAGOS </t>
  </si>
  <si>
    <t>A warning letter was issued to desist from the sale of unregistered product on the 29th March, 2020</t>
  </si>
  <si>
    <t>XTRA THERAPEUTICS AND SUNDRIES LTD</t>
  </si>
  <si>
    <t>132, MUSHIN ROAD, ISOLO, LAGOS</t>
  </si>
  <si>
    <t>1ST APRIL 2022</t>
  </si>
  <si>
    <t>A warning letter was issued to desist from the sale of unregistered product on the 8TH April, 2020</t>
  </si>
  <si>
    <t>MATRIX PHARAMCY</t>
  </si>
  <si>
    <t>387, ADEMOLA AJASA, OMOLE PHASE 1, IKEJA, LAGOS</t>
  </si>
  <si>
    <t>7TH APRIL 2022</t>
  </si>
  <si>
    <t>A warning letter was issued to desist from the sale of unregistered product on the 11TH April, 2020</t>
  </si>
  <si>
    <t>360 DEGREE PHARAMACY</t>
  </si>
  <si>
    <t>14, OGUNNUSI ROAD, OJODU BERGER, LAGOS</t>
  </si>
  <si>
    <t>VIVA PHARMACY</t>
  </si>
  <si>
    <t>324, ADEYEMO AKAPO, OMOLE PHASE 1, OMOLE PHASE 1, IKEJA, LAGOS</t>
  </si>
  <si>
    <t>LIVING WELL PHARMACY</t>
  </si>
  <si>
    <t>4, WILMER STREET, ISHERI-MAGODO, BERGER, LAGOS</t>
  </si>
  <si>
    <t>27TH APRIL 2022</t>
  </si>
  <si>
    <t>CAREWORTH PHARMACY</t>
  </si>
  <si>
    <t>42/44, OLD OLOWORAAD, ISHERI-MAGODO, BERGER, LAGOS</t>
  </si>
  <si>
    <t>A warning letter was issued to desist from the sale of unregistered product on the 28th April, 2022</t>
  </si>
  <si>
    <t>MEDKONSULT PHARMACY</t>
  </si>
  <si>
    <t>5, OLD OLOWORA ROAD, ISHERI-MAGODO, LAGOS</t>
  </si>
  <si>
    <t>NAZA PHARMACY</t>
  </si>
  <si>
    <t>4, DIYA STREET, GBAGADA</t>
  </si>
  <si>
    <t>12TH DECEMBER 2022</t>
  </si>
  <si>
    <t>A warning letter was issued to desist from the sale of unregistered product on the 6th JANUARY, 2023</t>
  </si>
  <si>
    <t>1, OHANU STR., OWRONSHOKI, LAGOS</t>
  </si>
  <si>
    <t>PLUS &amp; CHINA PHARMACY</t>
  </si>
  <si>
    <t>25, DIYA STREET, GBAGADA</t>
  </si>
  <si>
    <t>ZOMENCE NIGERIA LTD</t>
  </si>
  <si>
    <t>170B, AGEGE MOTOR ROAD, MUSHIN, LAGOS</t>
  </si>
  <si>
    <t>22ND JUNE 2021</t>
  </si>
  <si>
    <t>The outlet is a small wholesale pharmacy located at the commerical hub of agege motor road in mushin with other bulidings beside the struct  hosing it. Banned Antimalaria Monotheraphy and inappporiately stored oxytocin injections were found on sale</t>
  </si>
  <si>
    <t>The products were mopped up and an invitation letter was issued</t>
  </si>
  <si>
    <t>Continuous Monitoring</t>
  </si>
  <si>
    <t>A compliance directive was issued to desist from the sales of unregistered products on the 7th June 2021</t>
  </si>
  <si>
    <t>ALPHA PHARMACY</t>
  </si>
  <si>
    <t>NO. 8 ASA AFARIOGUN STREET, OFF OSOLO WAY, AJAO ESTATE, ISOLO, LAGOS</t>
  </si>
  <si>
    <t>5TH MAY 2021</t>
  </si>
  <si>
    <t>The outlet is a small pharmacy situated within a supermarket ,
 located by the main road with other buildings behind and opposite it. 
Unregistered products were found at the facility for sales</t>
  </si>
  <si>
    <t>A compliance directive was issued to desist from the sales of unregistered products on the 7th June 2022</t>
  </si>
  <si>
    <t xml:space="preserve">DRUGWELL PHARMACY </t>
  </si>
  <si>
    <t>NO. 25 OSOLO WAY , AJAO ESTATE, ISOLO, LAGOS STATE .</t>
  </si>
  <si>
    <t xml:space="preserve">The outlet is a small Pharmacy situated by the main road with other buildings behind and opposite it. Unregistered products were found displayed for sales </t>
  </si>
  <si>
    <t>The products were mopped up, and an invitation letter was issued</t>
  </si>
  <si>
    <t>A compliance directive was issued to desist from the sales of unregistered products on the 7th June 2023</t>
  </si>
  <si>
    <t>ENAVEC PHARMACEUTICAL</t>
  </si>
  <si>
    <t>HOUSE 26, 4TH AVENUE, FESTAC TOWN, LAGOS</t>
  </si>
  <si>
    <t>The outlet is a big spacious, and well-organised place. Banned and unregistered products were found displayed for sale</t>
  </si>
  <si>
    <t>Banned products were mopped up, and some others were placed on hold while invitation letter was issued</t>
  </si>
  <si>
    <t>A compliance directive was issued to desist from the sales of unregistered products on the 7th June 2024</t>
  </si>
  <si>
    <t>FRANPAT PHARMACY</t>
  </si>
  <si>
    <t>31 Road, Festac Town, Lagos</t>
  </si>
  <si>
    <t>The outlet is moderate and well organized. It is located along the road with other shops beside it</t>
  </si>
  <si>
    <t>The banned products found displayed for sale were mopped up</t>
  </si>
  <si>
    <t>A compliance directive was issued to desist from the sales of unregistered products on the 7th June 2025</t>
  </si>
  <si>
    <t xml:space="preserve">KRIS DANIEL </t>
  </si>
  <si>
    <r>
      <t>1</t>
    </r>
    <r>
      <rPr>
        <vertAlign val="superscript"/>
        <sz val="12"/>
        <color theme="1"/>
        <rFont val="Times New Roman"/>
        <family val="1"/>
      </rPr>
      <t>st</t>
    </r>
    <r>
      <rPr>
        <sz val="12"/>
        <color theme="1"/>
        <rFont val="Times New Roman"/>
        <family val="1"/>
      </rPr>
      <t xml:space="preserve"> Avenue, 111 Road, Festac Town, Lagos</t>
    </r>
  </si>
  <si>
    <t>6TH MAY 2021</t>
  </si>
  <si>
    <t>The outlet is a wholesale outlet for pharmaceutical products. It is located within the premises of a shopping complex. Some registered products suspected to have been revalidated (having another date marking superimposed on the one originally printed on the product) were found displayed for sale</t>
  </si>
  <si>
    <t>The suspected products were mopped up and an invitation letter was issued</t>
  </si>
  <si>
    <t>A compliance directive was issued to desist from the sales of unregistered products on the 7th June 2026</t>
  </si>
  <si>
    <t>PHARMACARE PLACE PHARMACY</t>
  </si>
  <si>
    <t>694th Avenue, Festac Town, Lagos</t>
  </si>
  <si>
    <t>Banned and unregistered products were found displayed for sale</t>
  </si>
  <si>
    <t>The banned and unregistered products were mopped up and an invitation letter was issued</t>
  </si>
  <si>
    <t>A warning letter was issued to desist from the sales of unregistered products on the 11th May 2021</t>
  </si>
  <si>
    <t>96 Festac Access Road, Amuwo-Odofin Estate, Lagos</t>
  </si>
  <si>
    <t>A warning letter was issued to desist from the sales of unregistered products on the 10th May 2021</t>
  </si>
  <si>
    <t>WELLPLUS PHARMACY</t>
  </si>
  <si>
    <t>Marcarthy Street, Lagos Island</t>
  </si>
  <si>
    <t>ZAMZAM PHARMACY</t>
  </si>
  <si>
    <t>32 Road, House 27, Festac, Lagos State</t>
  </si>
  <si>
    <t>Unregistered products were found displayed for sale</t>
  </si>
  <si>
    <t>Unregistered products were mopped up and an invitation letter was issued</t>
  </si>
  <si>
    <t>BERLIN PHARMA AND HEALTHCARE LTD</t>
  </si>
  <si>
    <t>September</t>
  </si>
  <si>
    <t>Prescription products (Gombefenac Diclofenac Potassium) with labelling lapses</t>
  </si>
  <si>
    <t>The prescription products with labelling lapses were mopped up</t>
  </si>
  <si>
    <t>An administrative charge of Five hundred and thirty seven thousand, five hundred naira (#537,500) was issed for the sale of diclofenac with pictorials</t>
  </si>
  <si>
    <t>DEEVICK NIGERIA LIMITED</t>
  </si>
  <si>
    <t>22/24, Olokunola Crescent, Ebute, Ikorodu, Lagos</t>
  </si>
  <si>
    <t>Prescription products (Roxflam Piroxicam Capsules) with labelling lapses</t>
  </si>
  <si>
    <t>DERM'S PHARMACY</t>
  </si>
  <si>
    <t>October</t>
  </si>
  <si>
    <t>Prescription products (Derm's Piroxicam) with labelling lapses</t>
  </si>
  <si>
    <t>FRIENDSHIP PHARM LTD</t>
  </si>
  <si>
    <t>3, Opere Street, Coker, Lagos</t>
  </si>
  <si>
    <t>Prescription products (Masterfen 50 Diclofenac Potassium) with labelling lapses</t>
  </si>
  <si>
    <t>GIMBA PHARMACY</t>
  </si>
  <si>
    <t>10, Funtua Road, Birini Gwari, Kaduna State.</t>
  </si>
  <si>
    <t>Prescription products (Gimba Diclofenac) with labelling lapses</t>
  </si>
  <si>
    <t>KLUSYL INTERNATIONAL</t>
  </si>
  <si>
    <t>No. 6, Ilobido Street, Awada Obosi, Onitsha, Anambra State</t>
  </si>
  <si>
    <t>Prescription products (Difec-P Forte 550) with labelling lapses</t>
  </si>
  <si>
    <t>MC FORIS PHARMACEUTICALS</t>
  </si>
  <si>
    <t>Prescription products (Ostomed Diclofenac) with labelling lapses</t>
  </si>
  <si>
    <t>An administrative charge of One hundred and sixty eight thousand, seven hundred and fifty naira (#168,750) was issed for the sale of diclofenac with pictorials</t>
  </si>
  <si>
    <t>NASAJONES INDUSTRIES LIMITED</t>
  </si>
  <si>
    <t>No. 31/32, Office Complex Middle Road, By Ado Bayero Square, Sabon Gari, Kano, Fagge, Kano State.</t>
  </si>
  <si>
    <t>Prescription products (Nasacam Piroxicam) with labelling lapses</t>
  </si>
  <si>
    <t>A warning letter was issued to desist from the sales of prescription products with pictorials on the 29th September 2021</t>
  </si>
  <si>
    <t>PNL NIGERIA LIMITED</t>
  </si>
  <si>
    <t>17, Muyibi Street, Off Ajayi Road, Ogba, Ikeja, Lagos.</t>
  </si>
  <si>
    <t>Prescription products (Neoto Diclofenac) with labelling lapses</t>
  </si>
  <si>
    <t>ZEST PHARMACEUTICAL NIG. LTD</t>
  </si>
  <si>
    <t>No. 5, Abiodun Adeleye Street, Okota Lagos, Amuwo, Amuwo-Odofin, Lagos</t>
  </si>
  <si>
    <t>Prescription products (Zesnac Diclofenac) with labelling lapses</t>
  </si>
  <si>
    <t>An administrative charge of Six hundred and seventy five thousand, five hundred naira (#675,000) was issed for the sale of diclofenac with pictorials</t>
  </si>
  <si>
    <t>ADPHARM PHARMACEUTICALS INDUSTRIES LTD</t>
  </si>
  <si>
    <t>60, Ajao Road, Surulere, Lagos</t>
  </si>
  <si>
    <t>Prescription products (Sivofenac Diclofenac) with labelling lapses</t>
  </si>
  <si>
    <t>DORGLORY PHARM</t>
  </si>
  <si>
    <t>Prescription products (Atoprofen 400; Ibuprofen) with labelling lapses</t>
  </si>
  <si>
    <t>ELIONA PHARM. CO.</t>
  </si>
  <si>
    <t>No. 6, Akinfewa Street, Off Oshogo Street, Ogudu, Lagos.</t>
  </si>
  <si>
    <t>Prescription products (Befenac Diclofenac) with labelling lapses</t>
  </si>
  <si>
    <t>EMBASSY PHARMACEUTICAL &amp; CHEMICALS LTD</t>
  </si>
  <si>
    <t>No. 41, Ademola Street, Ikoyi, Lagos State.</t>
  </si>
  <si>
    <t>Prescription products (Labdic Relief, Ketofen; Diclofenac, Ibulap-400) with labelling lapses</t>
  </si>
  <si>
    <t>FEST PHARMACY</t>
  </si>
  <si>
    <t>No. 61, Emir Road, Sabon Gari, Kano State.</t>
  </si>
  <si>
    <t>Prescription products (Fest Diclofenac) with labelling lapses</t>
  </si>
  <si>
    <t>IBU PHARM. NIG. LTD.</t>
  </si>
  <si>
    <t>No. 1, Labiran Street, Ikenne, Ogun State</t>
  </si>
  <si>
    <t>Prescription products (Diktaz Diclofenac, Zekoram Piroxicam capsules) with labelling lapses</t>
  </si>
  <si>
    <t>ORJI PHARMACEUTICAL CO. LTD.</t>
  </si>
  <si>
    <t>Prescription products (Felmor Piroxicam, Otevo Diclofenac) with labelling lapses</t>
  </si>
  <si>
    <t>ZADIP PHARMA NIG. LTD.</t>
  </si>
  <si>
    <t>Prescription products (Nestcam Piroxicam) with labelling lapses</t>
  </si>
  <si>
    <t>PKN PHARMACEUTICAL LTD</t>
  </si>
  <si>
    <t>No. 2, Maikaram Plaza, 2nd Floor, Niger Steer, Kano State.</t>
  </si>
  <si>
    <t>November</t>
  </si>
  <si>
    <t>Prescription products (PKN Diclofenac) with labelling lapses</t>
  </si>
  <si>
    <t>ZUNAMEDIKS PHARM. LTD</t>
  </si>
  <si>
    <t>No. 16, GBC Murphy Avenue, Asaba, Delta State</t>
  </si>
  <si>
    <t>Prescription products (Real Extra Diclofenac) with labelling lapses</t>
  </si>
  <si>
    <t>MURTALA MOHAMMED INTERNATIONAL AIRPORT (MM2), IKEJA, LAGOS</t>
  </si>
  <si>
    <t>21ST JANUARY, 2020</t>
  </si>
  <si>
    <t xml:space="preserve">Unregistered product was found </t>
  </si>
  <si>
    <t>The product was mopped. An invitation letter was issued</t>
  </si>
  <si>
    <t>MEDVACC PHARMACY</t>
  </si>
  <si>
    <t>Products was neatly arranged. They were all registered products.</t>
  </si>
  <si>
    <t>LAB PHARMACY</t>
  </si>
  <si>
    <t>25B AJAO ROAD, IKEJA, LAGOS</t>
  </si>
  <si>
    <t>7TH FEBRUARY, 2020</t>
  </si>
  <si>
    <t>NO. 30 ILUPEJU BY-PASS, ILUPEJU, LAGOS</t>
  </si>
  <si>
    <t>18TH FEBRUARY 2020</t>
  </si>
  <si>
    <t>PHARM AFFAIRS PHARMACY LIMTED</t>
  </si>
  <si>
    <t>NO. 6 COKER ROAD ILLUPEJU, LAGOS</t>
  </si>
  <si>
    <t>A warning letter was issued to desist from the sale of unregistered product on the 24th february 2020</t>
  </si>
  <si>
    <t>SUPER DRUG INTERGRATED PHARMACY</t>
  </si>
  <si>
    <t>A warning letter was issued to desist from the sale of unregistered product on the 30TH March, 2020</t>
  </si>
  <si>
    <t>JAYBION NIGERIA</t>
  </si>
  <si>
    <t>SUITE 7&amp;8 BLOCK A BOLA TINUBU SHOPPING COMPLEX, PEN-CINEMA AGEGE, LAGOS</t>
  </si>
  <si>
    <t>4TH MARCH 2020</t>
  </si>
  <si>
    <t>A warning letter was issued to desist from the sale of unregistered product on the 5th March 2020</t>
  </si>
  <si>
    <t>MOOVEON PHARMACY</t>
  </si>
  <si>
    <t>30, IJU ROAD AGEGE</t>
  </si>
  <si>
    <t>MEDVALUE PHARMACY</t>
  </si>
  <si>
    <t>88, IJU ROAD, AGEGE, LAGOS</t>
  </si>
  <si>
    <t xml:space="preserve">DANOUR PHARMACY </t>
  </si>
  <si>
    <t>32, IJU ROAD, AGEGE, LAGOS</t>
  </si>
  <si>
    <t>PETMAUR PHARMACY</t>
  </si>
  <si>
    <t>BOLA TINUBU SHOPPING COMPLEX, PEN-CINEMA, AGEGE, LAGOS</t>
  </si>
  <si>
    <t>ABSA HEALTHCARE</t>
  </si>
  <si>
    <t>100 IJU ROAD, AGEGE, LAGOS</t>
  </si>
  <si>
    <t>VANTAGE MED PHARMACY</t>
  </si>
  <si>
    <t>168, IJU ROAD, AGEGE, LAGOS</t>
  </si>
  <si>
    <t>ACTION TAKEN FROM THE CONSULTATIVE MEETING</t>
  </si>
  <si>
    <t>NET PHARMACY</t>
  </si>
  <si>
    <t>2ND AVENUE, 22 ROAD JUNCTION AGBOJU MARKET</t>
  </si>
  <si>
    <t>4TH JANUARY 2019</t>
  </si>
  <si>
    <t>PHARMCARE PHARMACY</t>
  </si>
  <si>
    <t>51, ROAD, BY NITEL GATE, FESTAC, LAGOS</t>
  </si>
  <si>
    <t>5TH AVENUE FESTAC ROAD, LAGOS</t>
  </si>
  <si>
    <t>59, ADEKUNLE BANJO STREET, CMD ROAD, MAGODO LAGOS</t>
  </si>
  <si>
    <t>7TH FEBUARY 2019</t>
  </si>
  <si>
    <t>3R PHARMACY</t>
  </si>
  <si>
    <t>43, ADEKUNLE BANJO STREET, SHANGNHA-MAGODO, LAGOS</t>
  </si>
  <si>
    <t>MEDMART PHARMACY</t>
  </si>
  <si>
    <t>1, ALADELOLA STREET, IKOSI -KETU, LAGOS</t>
  </si>
  <si>
    <t xml:space="preserve">Antimalarial Monotherapy was found </t>
  </si>
  <si>
    <t>HEALTH PLUS PHARMACY</t>
  </si>
  <si>
    <t>OADIS PLAZA, CMD ROAD, MAGODO, LAGOS</t>
  </si>
  <si>
    <t xml:space="preserve">Unregistered products were found &amp; Antimalarial Monotherapy was found </t>
  </si>
  <si>
    <t>21ST CENTURY HEALTHSHOP &amp; PHARMACY</t>
  </si>
  <si>
    <t>22, CMD ROAD, SHANGONHA-MAGODO, LAGOS</t>
  </si>
  <si>
    <t>JAYKAY PHARMACY</t>
  </si>
  <si>
    <t>26TH FEBUARY 2019</t>
  </si>
  <si>
    <t>CAMCEHAN PHARMACY</t>
  </si>
  <si>
    <t>21ST MARCH 2019</t>
  </si>
  <si>
    <t>SHARBOL PHARMACY</t>
  </si>
  <si>
    <t>DUMMERICS PHARMACY</t>
  </si>
  <si>
    <t>JUBILEE PHARMACY</t>
  </si>
  <si>
    <t>MEBIK PHARMACY</t>
  </si>
  <si>
    <t>27, IJESHA ROAD, ITIRE</t>
  </si>
  <si>
    <t>27TH MARCH 2019</t>
  </si>
  <si>
    <t>SILVER  BROTHERS PHARMACY</t>
  </si>
  <si>
    <t>HIGHRISE PHARMACEUTICAL LTD</t>
  </si>
  <si>
    <t>169, IJESHA ROAD, OGUNLANA BUSTOP, SURULERE, LAGOS</t>
  </si>
  <si>
    <t>DIVINE CARE PHARMACY</t>
  </si>
  <si>
    <t>32, ENITAN STREET, ANIMANSHANU, SURULERE, LAGOS</t>
  </si>
  <si>
    <t>ISI ETIM PHARMACY</t>
  </si>
  <si>
    <t>58, ENITAN STREET, AGUDA, SURULERE, LAGOS</t>
  </si>
  <si>
    <t>LINCO STAR PHARMACY</t>
  </si>
  <si>
    <t>28, AGBEDI STREET, SURULERE, LAGOS</t>
  </si>
  <si>
    <t>TEMPARK PHARMACY</t>
  </si>
  <si>
    <t>GLOPHARM HEALTHCARE PHARMACY</t>
  </si>
  <si>
    <t>49, OLOJO DRIVE, OJO, LAGOS</t>
  </si>
  <si>
    <t>9TH APRIL 2019</t>
  </si>
  <si>
    <t>Administrative Charge of Two Hundred and  Seventy Thousand Naira was issued for investigation into the sale of unregistered product on the 11th  April 2019</t>
  </si>
  <si>
    <t>MEGA PHARMA</t>
  </si>
  <si>
    <t>13, OLOJO DRIVE, OJO, LAGOS</t>
  </si>
  <si>
    <t>CONCEPT PHARMACY</t>
  </si>
  <si>
    <t>4, COSTAIN ROAD, OFF OLOJO DRIVE, OJO ALABA, LAGOS</t>
  </si>
  <si>
    <t>A letter of warning was issued to desist from selling unregistered product on the 11th April 2019</t>
  </si>
  <si>
    <t>ERASSONS PHARMACY &amp; STROES LTD.</t>
  </si>
  <si>
    <t>295, OLD OJO ROAD, OLUTI BUS STOP, NEAR ABAJA BUS STOP, LAGOS</t>
  </si>
  <si>
    <t>24TH APRIL 2019</t>
  </si>
  <si>
    <t>CUS PHARMACY &amp; CHEMICAL CO. LTD.</t>
  </si>
  <si>
    <t>55, OLD OJO ROAD, OPPOSITE FIRST GATE, AMUMO ODOFIN, LAGOS</t>
  </si>
  <si>
    <t>Administrative Charge of Two Hundred and  Seventy Thousand Naira was issued for investigation into the sale of unregistered product on the 13th  May 2019</t>
  </si>
  <si>
    <t>PHIMAT PHARMACY</t>
  </si>
  <si>
    <t>BEFORE CLOSE 1 JUNCTION, SATELLITE TOWN, LAGOS</t>
  </si>
  <si>
    <t>1, DUPE OTEGBOLA WAY, OPPOSITE NAVY GATE, SATELLITE TOWN, LAGOS</t>
  </si>
  <si>
    <t>Administrative Charge of Two Hundred and  Seventy Thousand Naira was issued for investigation into the sale of unregistered product on the 5th  May 2019</t>
  </si>
  <si>
    <t>NICYNTH PHARMACY &amp; STORES</t>
  </si>
  <si>
    <t>54, OLD OJO ROAD, AMUWO ODOFIN, LAGOS</t>
  </si>
  <si>
    <t>Administrative Charge was issued the 25th  April 2019</t>
  </si>
  <si>
    <t xml:space="preserve">JUSTEEN PHARMACEUTICALS </t>
  </si>
  <si>
    <t>57B, COKER ROAD, ILLUPEJU, LAGOS</t>
  </si>
  <si>
    <t>23RD APRIL 2019</t>
  </si>
  <si>
    <t xml:space="preserve">Antimalarial Monotherapy was  not found </t>
  </si>
  <si>
    <t>FEMBROOK PHARAMCY</t>
  </si>
  <si>
    <t>HARTLEYS-237 KOFO ABAYOMI STR, VICTORIA ISLAND, LAGOS</t>
  </si>
  <si>
    <t>15TH MAY 2019</t>
  </si>
  <si>
    <t>The facility was asked to submit a letter of undertaking on the 16th May 2019.</t>
  </si>
  <si>
    <t>2, AKIN ADESHOLA STREET, VICTORIA ISLAND, LAGOS.</t>
  </si>
  <si>
    <t>30TH MAY 2019</t>
  </si>
  <si>
    <t>Administrative Charge of Two Hundred and  Seventy Thousand Naira was issued for investigation into the sale of unregistered product on the 30th  May 2019</t>
  </si>
  <si>
    <t>TOTEM PHARMACY</t>
  </si>
  <si>
    <t>54, ADEOLA ODEKU, VICTORIA ISLAND, LAGOS</t>
  </si>
  <si>
    <t>Administrative Charge of Two Hundred and  Seventy Thousand Naira was issued for investigation into the sale of unregistered product on the 14th  June 2019</t>
  </si>
  <si>
    <t>28, OKANLAWON IJAYE STREET, MASHA, SURULERE, LAGOS</t>
  </si>
  <si>
    <t>17TH MAY 2019</t>
  </si>
  <si>
    <t>All the products in the facility was found</t>
  </si>
  <si>
    <t>The pharmacist was advised to always ensure that only NAFDAC registered/authorized products are displayed for sale. The poison book was checked, and it was upn to date.</t>
  </si>
  <si>
    <t>VATICAN BELLS PHARMACY</t>
  </si>
  <si>
    <t>61, OGUNLANA DRIVE, SURULERE, LAGOS</t>
  </si>
  <si>
    <t xml:space="preserve">The pharmacist was advised to always ensure that only NAFDAC registered/authorized products are displayed for sale. </t>
  </si>
  <si>
    <t>45, SAKA TINUBU STR., V.I., LAGOS</t>
  </si>
  <si>
    <t>13TH JUNE 2019</t>
  </si>
  <si>
    <t>26, ADEMOLA ADETOKUNBO STREET, VICTORIA ISLAND</t>
  </si>
  <si>
    <t>TONIA PHARMACY &amp; STORES</t>
  </si>
  <si>
    <t>8A, ADEMOLA ADETOKUNBO OPP. 1400 ESTATE, V.I., LAGOS</t>
  </si>
  <si>
    <t>A letter of warning was issued to desist from selling unregistered product on the 24th June 2019</t>
  </si>
  <si>
    <t>CAREFORTE PHARMACY</t>
  </si>
  <si>
    <t>299, AKIN OLUGBADE STREET, V.I., LAGOS</t>
  </si>
  <si>
    <t>15TH OCTOBER 2019</t>
  </si>
  <si>
    <t>Administrative Charge of Two Hundred and  Seventy Thousand Naira was issued for investigation into the sale of unregistered product on the 17th October 2019</t>
  </si>
  <si>
    <t>Adler Products limited</t>
  </si>
  <si>
    <t>32, Oduyemi street, Ikeja, Lagos</t>
  </si>
  <si>
    <t>22nd January, 2018</t>
  </si>
  <si>
    <t>No retention samples of the suspected Artelumex drug was found</t>
  </si>
  <si>
    <t>The team went to Vitabiotics in search of the suspected products</t>
  </si>
  <si>
    <t>The team forwarded the samples to the Lab to ascertain the quality of products for further decision.</t>
  </si>
  <si>
    <t>Biofem Pharm Nigeria limited</t>
  </si>
  <si>
    <t>3, Olorunnibe street, Wemabod estate, Ikeja, Lagos</t>
  </si>
  <si>
    <t>16th April, 2018</t>
  </si>
  <si>
    <t xml:space="preserve">140 ampoules of RhoGAM with Batch number RVP269A1 were placed on hold and 111 were in the cold room. </t>
  </si>
  <si>
    <t>The hold label was removed.  Company was issued a letter to effect all necessary corrections on label. 29 samples were taken to the laboratory for further investigation</t>
  </si>
  <si>
    <t>company was advised to ensure implementation of steps in place to strengthen the quality assurance system</t>
  </si>
  <si>
    <t>45, SAKA TINUBU STREET VICTORIA ISLAND LAGOS</t>
  </si>
  <si>
    <t>18TH JULY 2018</t>
  </si>
  <si>
    <t>The facility stocks drugs and supermarket items. 12 unregistered products were found displayed for sale</t>
  </si>
  <si>
    <t>Administrative Charge of Two Hundred and  Seventy Thousand Naira was issued for investigation into the sale of unregistered product on the 30th July 2018</t>
  </si>
  <si>
    <t>MOPHETH PHARMACY</t>
  </si>
  <si>
    <t>23, ADEOLA ODEOKU VICTORIA ISLAND LAGOS</t>
  </si>
  <si>
    <t>The facility stocks drugs and supermarket items. Drugs that have one month to expiring date are stocked separately on the lower compartment of the shelves for easy identification. 12 unregistered products were found displayed for sale</t>
  </si>
  <si>
    <t xml:space="preserve">Administrative Charge of Two Hundred and  Seventy Thousand Naira was issued for investigation into the sale of unregistered product on the 6th August2018
</t>
  </si>
  <si>
    <t>MED EXPRESS PHARMACY</t>
  </si>
  <si>
    <t>NO, 7A ADEWALE KOLAWOLE CRESCENT OFF T.K STREET, MARUWA LEKKI, LAGOS</t>
  </si>
  <si>
    <t>The superintendent pharmacist was not on ground at the time of visit. The company is a big wholesale pharmacy and products were neatly arranged on the sheleves, which is an aberration, since products are supposed to be in cartons in a wholesale outlet. The facility buys drugs from represntatives of Drug Manufacturing Companies and Mega Distrubutors. Some Unregistered products were found displayed for sale</t>
  </si>
  <si>
    <t xml:space="preserve">Administrative Charge of Two Hundred and  Seventy Thousand Naira was issued for investigation into the sale of unregistered product on the 2nd August2018
</t>
  </si>
  <si>
    <t xml:space="preserve">NO 124 T.F KUBOYE STREET ONIRU, LEKKI LAGOS. </t>
  </si>
  <si>
    <r>
      <rPr>
        <sz val="12"/>
        <color theme="1"/>
        <rFont val="Times New Roman"/>
        <charset val="134"/>
      </rPr>
      <t>1</t>
    </r>
    <r>
      <rPr>
        <vertAlign val="superscript"/>
        <sz val="12"/>
        <color theme="1"/>
        <rFont val="Times New Roman"/>
        <charset val="134"/>
      </rPr>
      <t>st</t>
    </r>
    <r>
      <rPr>
        <sz val="12"/>
        <color theme="1"/>
        <rFont val="Times New Roman"/>
        <charset val="134"/>
      </rPr>
      <t xml:space="preserve"> August, 2018</t>
    </r>
  </si>
  <si>
    <t>The facility stocks Drugs and Supermarket items. Thirteen(13) unregistered drugs were found on shelves displayed for sale</t>
  </si>
  <si>
    <t xml:space="preserve">Administrative Charge of Two Hundred and  Seventy Thousand Naira was issued for investigation into the sale of unregistered product on the 2nd August 2018
</t>
  </si>
  <si>
    <t xml:space="preserve">HEALTHPLUS PHARMACY </t>
  </si>
  <si>
    <t>NO 121, KUBOYE STREET, ONIRU LEKKI, LAGOS</t>
  </si>
  <si>
    <t>1st August, 2018</t>
  </si>
  <si>
    <t>The facility stocks Drugs and Supermarket items. For the supermarket items, they could not provide the GLSI permit at the time of visit. The permit of import service drugs presented to inspectors was issued on 24th May 2016 and expired in May 2017. However the company presented evidence of the commencement of renewal permit dated Nov, 2017Thirteen(13) unregistered drugs were found on shelves displayed for sale</t>
  </si>
  <si>
    <t xml:space="preserve">Administrative Charge of Two Hundred and  Seventy Thousand Naira was issued for investigation into the sale of unregistered product on the 3rd August2018
</t>
  </si>
  <si>
    <t>SUCCESS STAR GLOBAL SERVICES LTD</t>
  </si>
  <si>
    <t>2 EKWOMMADU CLOSE, OFF NICK-CHUCKS STREET, IKOTUN EGBE, LAGOS</t>
  </si>
  <si>
    <t>6TH AUGUST, 2018</t>
  </si>
  <si>
    <t>water lacked manufacturing and expiry date and also batch number</t>
  </si>
  <si>
    <t>sampling was done. Inventory was taken. Consultative meeting was held.</t>
  </si>
  <si>
    <t>Company should include the batch number, manufacturing and expiry date on their products.</t>
  </si>
  <si>
    <t xml:space="preserve">ADRON Life Pharmacy </t>
  </si>
  <si>
    <t>Festac Lagos.</t>
  </si>
  <si>
    <r>
      <rPr>
        <sz val="12"/>
        <color rgb="FF00000A"/>
        <rFont val="Times New Roman"/>
        <charset val="134"/>
      </rPr>
      <t>29</t>
    </r>
    <r>
      <rPr>
        <vertAlign val="superscript"/>
        <sz val="12"/>
        <color rgb="FF00000A"/>
        <rFont val="Times New Roman"/>
        <charset val="134"/>
      </rPr>
      <t>TH</t>
    </r>
    <r>
      <rPr>
        <sz val="12"/>
        <color rgb="FF00000A"/>
        <rFont val="Times New Roman"/>
        <charset val="134"/>
      </rPr>
      <t xml:space="preserve"> November, 2018</t>
    </r>
  </si>
  <si>
    <t>No Vaccines were found.</t>
  </si>
  <si>
    <t xml:space="preserve">Tehillah Pharmacy </t>
  </si>
  <si>
    <t>Satisfactory Storage Facility</t>
  </si>
  <si>
    <t xml:space="preserve">Seed of Life Pharmacy </t>
  </si>
  <si>
    <t xml:space="preserve">Blue Seal Pharmacy </t>
  </si>
  <si>
    <t xml:space="preserve">GNC Pharmacy, Festival Mall, Diamond Estate, </t>
  </si>
  <si>
    <t xml:space="preserve">Health Plus, Festival Mall, Diamond Estate, </t>
  </si>
  <si>
    <t xml:space="preserve">Royal Treat Pharmacy, </t>
  </si>
  <si>
    <t>Unsatisfactory storage facility</t>
  </si>
  <si>
    <t xml:space="preserve">AVAN Global Pharmacy, </t>
  </si>
  <si>
    <r>
      <rPr>
        <sz val="12"/>
        <color rgb="FF00000A"/>
        <rFont val="Times New Roman"/>
        <charset val="134"/>
      </rPr>
      <t>1</t>
    </r>
    <r>
      <rPr>
        <vertAlign val="superscript"/>
        <sz val="12"/>
        <color rgb="FF00000A"/>
        <rFont val="Times New Roman"/>
        <charset val="134"/>
      </rPr>
      <t>st</t>
    </r>
    <r>
      <rPr>
        <sz val="12"/>
        <color rgb="FF00000A"/>
        <rFont val="Times New Roman"/>
        <charset val="134"/>
      </rPr>
      <t xml:space="preserve"> Avenue, Festac Lagos</t>
    </r>
  </si>
  <si>
    <t xml:space="preserve">MOPHETH Pharmacy, </t>
  </si>
  <si>
    <t>Victory Pharmacy</t>
  </si>
  <si>
    <t>Addmore Pharmaceutical</t>
  </si>
  <si>
    <t>249, Agege Motor Road, Beside FCMB Bank, Mushin, Lagos.</t>
  </si>
  <si>
    <r>
      <rPr>
        <sz val="12"/>
        <color theme="1"/>
        <rFont val="Times New Roman"/>
        <charset val="134"/>
      </rPr>
      <t>5</t>
    </r>
    <r>
      <rPr>
        <vertAlign val="superscript"/>
        <sz val="12"/>
        <color theme="1"/>
        <rFont val="Times New Roman"/>
        <charset val="134"/>
      </rPr>
      <t>th</t>
    </r>
    <r>
      <rPr>
        <sz val="12"/>
        <color theme="1"/>
        <rFont val="Times New Roman"/>
        <charset val="134"/>
      </rPr>
      <t xml:space="preserve"> December, 2018.</t>
    </r>
  </si>
  <si>
    <t>The products were mopped up and a warning letter was issued</t>
  </si>
  <si>
    <t>Cefam Pharmaceuticals</t>
  </si>
  <si>
    <t>58, Isolo Road, Mushin, Lagos.</t>
  </si>
  <si>
    <t>No unregistered product was found</t>
  </si>
  <si>
    <t>Natbam Pharmacy</t>
  </si>
  <si>
    <t>154, Isolo Road, Mushin, Lagos.</t>
  </si>
  <si>
    <t xml:space="preserve">CemCee Pharmaceuticals Ltd. </t>
  </si>
  <si>
    <t>58, Mushin Road, Isolo, Lagos.</t>
  </si>
  <si>
    <t xml:space="preserve">Torrent pharmaceuticals </t>
  </si>
  <si>
    <t>26, Goloba Street, Isolo, Lagos.</t>
  </si>
  <si>
    <t>GREENLIFE HERBAL NETWORK LTD</t>
  </si>
  <si>
    <t>NO 18, AGO PALACE WAY, OKOTA, LAGOS ISLAND</t>
  </si>
  <si>
    <t>16TH MARCH, 2017</t>
  </si>
  <si>
    <t>Unregistered products and products with labelling lapses.</t>
  </si>
  <si>
    <t xml:space="preserve">Affected products were mopped up. Invitation letter for consultative meeting issued. </t>
  </si>
  <si>
    <t>Company was asked to provide their importation documents of all products</t>
  </si>
  <si>
    <t>17TH APRIL, 2017</t>
  </si>
  <si>
    <t xml:space="preserve">Products have been registered however some still had labelling lapses. </t>
  </si>
  <si>
    <t>PHARMASOLUTIONS</t>
  </si>
  <si>
    <t>25, MONTGOMERY ROAD, YABA, LAGOS</t>
  </si>
  <si>
    <t>2ND MAY, 2017</t>
  </si>
  <si>
    <t>Some unregistered products were found</t>
  </si>
  <si>
    <t>Consultative meeting was held</t>
  </si>
  <si>
    <t>Further investigation should be done</t>
  </si>
  <si>
    <t>TRIPOD PHARMACY</t>
  </si>
  <si>
    <t>22/24 AGO PALACE WAY, OKOTA, LAGOS</t>
  </si>
  <si>
    <t xml:space="preserve">Some of unregistered drug products were found. </t>
  </si>
  <si>
    <t>Invitation letter was issued. Company is yet to show up.</t>
  </si>
  <si>
    <t>PRIMEDAY PHARMACY</t>
  </si>
  <si>
    <t>NO 2, OLUFEMI KOLAWOLE STREET, AGO ROUNADBOUT, OKOTA, LAGOS</t>
  </si>
  <si>
    <t>Unregistered drug products were found</t>
  </si>
  <si>
    <t>Invitation letter was issued</t>
  </si>
  <si>
    <t>Company was pardoned</t>
  </si>
  <si>
    <t>GSK Pharma limited</t>
  </si>
  <si>
    <t>GSK, 1, Industrial avenue, Ilupeju, Ikeja, Lagos</t>
  </si>
  <si>
    <t>9th June, 2017</t>
  </si>
  <si>
    <t>the purpose was to remove hold label. The hold label was found intact as well as the product placed on hold</t>
  </si>
  <si>
    <t>The hold label was removed</t>
  </si>
  <si>
    <t>NEMITT PHARMACEUTICALS</t>
  </si>
  <si>
    <t>95, WESTERN AVENUE, SURULERE, LAGOS</t>
  </si>
  <si>
    <t>22ND JUNE, 2017</t>
  </si>
  <si>
    <t>Sale of unregistered products</t>
  </si>
  <si>
    <t>Sampling was done. Inventory was taken.  Consulative meeting was held with the company.  Company was asked to pay adminstrative charge.</t>
  </si>
  <si>
    <t xml:space="preserve">Warning letter given to the company. </t>
  </si>
  <si>
    <t>Mecure Industries limited</t>
  </si>
  <si>
    <t>Block H, Plot 6,Debo industrial compound, oshodi, Lagos</t>
  </si>
  <si>
    <t>13th September, 2017</t>
  </si>
  <si>
    <t>purpose of the visit waa consumer complaint on laclos. The company appointed a non-licensed company with PCN to deal on prescription only medicines. 7CTNS * 100Pkt (10 * 10) capsules was not accounted for in the recall and no effoerts to retrieve them in the market.</t>
  </si>
  <si>
    <t xml:space="preserve">The company was made to pay an administrative charge of one hundred and fifty thousand naira. DER was made to follow up the lapses to ensure GMP was observed. </t>
  </si>
  <si>
    <t>PALMLINE AGENCY NIGERIA LIMITED</t>
  </si>
  <si>
    <t>NO 11, BURMA ROAD APAPA, LAGOS</t>
  </si>
  <si>
    <t>13TH SEPTEMBER, 2017</t>
  </si>
  <si>
    <t>Products in stock were expired</t>
  </si>
  <si>
    <t>The whole stock were placed on hold.</t>
  </si>
  <si>
    <t>Arrangement to be made for immediate evacuation of the products for destruction.</t>
  </si>
  <si>
    <t>TOMI'S TREAT LIMITED</t>
  </si>
  <si>
    <t>6, EFUNLEYE STREET, ADENIYI JONES, IKEJA, LAGOS</t>
  </si>
  <si>
    <t>30TH OCTOBER, 2017</t>
  </si>
  <si>
    <t>Labelling lapses</t>
  </si>
  <si>
    <t>Inventory of products without labels was taken and written to the company</t>
  </si>
  <si>
    <t>Ashmola Pharmacy</t>
  </si>
  <si>
    <t>No. 155, Isawo str, Agric. Ikorodu, Lagos.</t>
  </si>
  <si>
    <r>
      <rPr>
        <sz val="12"/>
        <color theme="1"/>
        <rFont val="Times New Roman"/>
        <charset val="134"/>
      </rPr>
      <t>29</t>
    </r>
    <r>
      <rPr>
        <vertAlign val="superscript"/>
        <sz val="12"/>
        <color theme="1"/>
        <rFont val="Times New Roman"/>
        <charset val="134"/>
      </rPr>
      <t>TH</t>
    </r>
    <r>
      <rPr>
        <sz val="12"/>
        <color theme="1"/>
        <rFont val="Times New Roman"/>
        <charset val="134"/>
      </rPr>
      <t xml:space="preserve"> August, 2016</t>
    </r>
  </si>
  <si>
    <t>There were no expired products as at the time of the visit but thermo-labile products were not stored properly.</t>
  </si>
  <si>
    <t>Mega Mart</t>
  </si>
  <si>
    <t>142/144 Isawo str, Agric. Ikorodu</t>
  </si>
  <si>
    <t>There were no expired products and all products stocked were in good storage condition.</t>
  </si>
  <si>
    <t>Teslon Pharmacy</t>
  </si>
  <si>
    <t>No, 159 Isawo road, Ikorodu.</t>
  </si>
  <si>
    <t>There were no expired products and thermo-labile products were stored properly.</t>
  </si>
  <si>
    <t>Ejemen Pharmacy</t>
  </si>
  <si>
    <t>No. 176 Isawo str Agric. Ikorodu</t>
  </si>
  <si>
    <t xml:space="preserve"> thermo-labile products were not stored properly and some expired products were found. </t>
  </si>
  <si>
    <t xml:space="preserve"> The products were mopped up and violation letter was issued. </t>
  </si>
  <si>
    <t>Pedro Medicine Store</t>
  </si>
  <si>
    <t>No. 3, Bawala Street, Pedro, Gbagada, Lagos.</t>
  </si>
  <si>
    <r>
      <rPr>
        <sz val="12"/>
        <color theme="1"/>
        <rFont val="Times New Roman"/>
        <charset val="134"/>
      </rPr>
      <t>14</t>
    </r>
    <r>
      <rPr>
        <vertAlign val="superscript"/>
        <sz val="12"/>
        <color theme="1"/>
        <rFont val="Times New Roman"/>
        <charset val="134"/>
      </rPr>
      <t>TH</t>
    </r>
    <r>
      <rPr>
        <sz val="12"/>
        <color theme="1"/>
        <rFont val="Times New Roman"/>
        <charset val="134"/>
      </rPr>
      <t xml:space="preserve"> October, 2016</t>
    </r>
  </si>
  <si>
    <t>The facility stored registered products that are in good storage condition.</t>
  </si>
  <si>
    <t>June Joseph Pharmacy</t>
  </si>
  <si>
    <t>No. 43, Shogbami Street, Gbagada</t>
  </si>
  <si>
    <t>14TH October, 2016</t>
  </si>
  <si>
    <t>Naza Pharmacy</t>
  </si>
  <si>
    <t>No. 1, Ohamu Street, Olojojo, Oworonshoki, Lagos</t>
  </si>
  <si>
    <t>There were no expired products as at the time of the visit and thermo-labile products were stored properly.</t>
  </si>
  <si>
    <t>Cossan Pharmacy</t>
  </si>
  <si>
    <t>38/40, Oworo Road, Oworonshoki, Lagos</t>
  </si>
  <si>
    <t xml:space="preserve">some expired products and products with labelling lapses </t>
  </si>
  <si>
    <t>Classic Pharmacy</t>
  </si>
  <si>
    <t>32, Agboyi Road, Ogudu Ori-Oke Bus Stop, Ogudu, Lagos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</si>
</sst>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charset val="134"/>
      <scheme val="minor"/>
    </font>
    <font>
      <sz val="11"/>
      <color theme="1"/>
      <name val="Calibri"/>
      <family val="2"/>
      <scheme val="minor"/>
    </font>
    <font>
      <b/>
      <sz val="11"/>
      <color theme="1"/>
      <name val="Calibri"/>
      <charset val="134"/>
      <scheme val="minor"/>
    </font>
    <font>
      <b/>
      <sz val="12"/>
      <color theme="1"/>
      <name val="Times New Roman"/>
      <charset val="134"/>
    </font>
    <font>
      <sz val="12"/>
      <color theme="1"/>
      <name val="Times New Roman"/>
      <charset val="134"/>
    </font>
    <font>
      <sz val="11"/>
      <color theme="1"/>
      <name val="Times New Roman"/>
      <charset val="134"/>
    </font>
    <font>
      <sz val="12"/>
      <color rgb="FF00000A"/>
      <name val="Times New Roman"/>
      <charset val="134"/>
    </font>
    <font>
      <b/>
      <sz val="11"/>
      <color theme="1"/>
      <name val="Times New Roman"/>
      <charset val="134"/>
    </font>
    <font>
      <vertAlign val="superscript"/>
      <sz val="12"/>
      <color theme="1"/>
      <name val="Times New Roman"/>
      <charset val="134"/>
    </font>
    <font>
      <vertAlign val="superscript"/>
      <sz val="12"/>
      <color rgb="FF00000A"/>
      <name val="Times New Roman"/>
      <charset val="134"/>
    </font>
    <font>
      <vertAlign val="superscript"/>
      <sz val="11"/>
      <color theme="1"/>
      <name val="Times New Roman"/>
      <charset val="134"/>
    </font>
    <font>
      <sz val="11"/>
      <color theme="1"/>
      <name val="Calibri"/>
      <family val="2"/>
    </font>
    <font>
      <sz val="9.15"/>
      <color theme="1"/>
      <name val="Calibri"/>
      <family val="2"/>
    </font>
    <font>
      <b/>
      <sz val="11"/>
      <color theme="1"/>
      <name val="Times New Roman"/>
    </font>
    <font>
      <sz val="11"/>
      <color theme="1"/>
      <name val="Times New Roman"/>
    </font>
    <font>
      <sz val="12"/>
      <color rgb="FF000000"/>
      <name val="Times New Roman"/>
      <charset val="1"/>
    </font>
    <font>
      <sz val="11"/>
      <color rgb="FF000000"/>
      <name val="Calibri"/>
      <family val="2"/>
    </font>
    <font>
      <sz val="11"/>
      <color theme="1"/>
      <name val="Calibri"/>
      <family val="2"/>
      <charset val="134"/>
      <scheme val="minor"/>
    </font>
    <font>
      <sz val="12"/>
      <color theme="1"/>
      <name val="Times New Roman"/>
      <family val="1"/>
    </font>
    <font>
      <sz val="11"/>
      <color theme="1"/>
      <name val="Times New Roman"/>
      <family val="1"/>
    </font>
    <font>
      <vertAlign val="superscript"/>
      <sz val="12"/>
      <color theme="1"/>
      <name val="Times New Roman"/>
      <family val="1"/>
    </font>
    <font>
      <sz val="8"/>
      <name val="Calibri"/>
      <family val="2"/>
      <scheme val="minor"/>
    </font>
    <font>
      <sz val="11"/>
      <color rgb="FF000000"/>
      <name val="Calibri"/>
      <charset val="1"/>
    </font>
    <font>
      <sz val="7"/>
      <color rgb="FF000000"/>
      <name val="Times New Roman"/>
      <family val="1"/>
    </font>
    <font>
      <sz val="11"/>
      <color rgb="FF000000"/>
      <name val="Aptos"/>
      <family val="2"/>
    </font>
    <font>
      <sz val="7"/>
      <color rgb="FF000000"/>
      <name val="Times New Roman"/>
    </font>
    <font>
      <sz val="11"/>
      <color rgb="FF000000"/>
      <name val="Aptos"/>
    </font>
    <font>
      <sz val="11"/>
      <name val="Aptos"/>
      <charset val="1"/>
    </font>
    <font>
      <sz val="12"/>
      <color rgb="FF000000"/>
      <name val="Times New Roman"/>
    </font>
    <font>
      <b/>
      <sz val="11"/>
      <color rgb="FF000000"/>
      <name val="Times New Roman"/>
    </font>
    <font>
      <sz val="11"/>
      <color rgb="FF000000"/>
      <name val="Times New Roman"/>
      <charset val="1"/>
    </font>
  </fonts>
  <fills count="4">
    <fill>
      <patternFill patternType="none"/>
    </fill>
    <fill>
      <patternFill patternType="gray125"/>
    </fill>
    <fill>
      <patternFill patternType="solid">
        <fgColor theme="0" tint="-0.14999847407452621"/>
        <bgColor theme="0" tint="-0.14999847407452621"/>
      </patternFill>
    </fill>
    <fill>
      <patternFill patternType="solid">
        <fgColor rgb="FFD9D9D9"/>
        <bgColor rgb="FFD9D9D9"/>
      </patternFill>
    </fill>
  </fills>
  <borders count="9">
    <border>
      <left/>
      <right/>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medium">
        <color indexed="64"/>
      </left>
      <right style="medium">
        <color indexed="64"/>
      </right>
      <top/>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7">
    <xf numFmtId="0" fontId="0" fillId="0" borderId="0" xfId="0"/>
    <xf numFmtId="0" fontId="2" fillId="0" borderId="1" xfId="0" applyFont="1" applyBorder="1" applyAlignment="1">
      <alignment wrapText="1"/>
    </xf>
    <xf numFmtId="0" fontId="2" fillId="0" borderId="1" xfId="0" applyFont="1" applyBorder="1" applyAlignment="1">
      <alignment horizontal="center" wrapText="1"/>
    </xf>
    <xf numFmtId="0" fontId="2" fillId="0" borderId="1" xfId="0" applyFont="1" applyBorder="1"/>
    <xf numFmtId="0" fontId="3" fillId="0" borderId="0" xfId="0" applyFont="1" applyAlignment="1">
      <alignment vertical="center" wrapText="1"/>
    </xf>
    <xf numFmtId="0" fontId="4" fillId="0" borderId="0" xfId="0" applyFont="1" applyAlignment="1">
      <alignment wrapText="1"/>
    </xf>
    <xf numFmtId="0" fontId="4" fillId="0" borderId="0" xfId="0" applyFont="1"/>
    <xf numFmtId="0" fontId="4" fillId="0" borderId="0" xfId="0" applyFont="1" applyAlignment="1">
      <alignment horizontal="justify" vertical="center"/>
    </xf>
    <xf numFmtId="0" fontId="3" fillId="0" borderId="0" xfId="0" applyFont="1" applyAlignment="1">
      <alignment horizontal="justify" vertical="center" wrapText="1"/>
    </xf>
    <xf numFmtId="0" fontId="0" fillId="0" borderId="0" xfId="0" applyAlignment="1">
      <alignment wrapText="1"/>
    </xf>
    <xf numFmtId="0" fontId="4" fillId="0" borderId="2" xfId="0" applyFont="1" applyBorder="1" applyAlignment="1">
      <alignment wrapText="1"/>
    </xf>
    <xf numFmtId="0" fontId="3" fillId="0" borderId="0" xfId="0" applyFont="1" applyAlignment="1">
      <alignment vertical="center"/>
    </xf>
    <xf numFmtId="0" fontId="3" fillId="0" borderId="0" xfId="0" applyFont="1" applyAlignment="1">
      <alignment horizontal="justify" vertical="center"/>
    </xf>
    <xf numFmtId="0" fontId="0" fillId="0" borderId="0" xfId="0" applyAlignment="1">
      <alignment vertical="center"/>
    </xf>
    <xf numFmtId="0" fontId="4" fillId="0" borderId="3" xfId="0" applyFont="1" applyBorder="1" applyAlignment="1">
      <alignment horizontal="center" wrapText="1"/>
    </xf>
    <xf numFmtId="0" fontId="4" fillId="0" borderId="4" xfId="0" applyFont="1" applyBorder="1" applyAlignment="1">
      <alignment wrapText="1"/>
    </xf>
    <xf numFmtId="0" fontId="4" fillId="0" borderId="1" xfId="0" applyFont="1" applyBorder="1" applyAlignment="1">
      <alignment horizontal="center" wrapText="1"/>
    </xf>
    <xf numFmtId="0" fontId="0" fillId="0" borderId="0" xfId="0" applyAlignment="1">
      <alignment vertical="top" wrapText="1"/>
    </xf>
    <xf numFmtId="0" fontId="0" fillId="0" borderId="0" xfId="0" applyAlignment="1">
      <alignment horizontal="left" vertical="center" wrapText="1"/>
    </xf>
    <xf numFmtId="0" fontId="0" fillId="0" borderId="4" xfId="0" applyBorder="1" applyAlignment="1">
      <alignment wrapText="1"/>
    </xf>
    <xf numFmtId="0" fontId="0" fillId="0" borderId="0" xfId="0" applyAlignment="1">
      <alignment vertical="top"/>
    </xf>
    <xf numFmtId="0" fontId="2" fillId="0" borderId="4" xfId="0" applyFont="1" applyBorder="1" applyAlignment="1">
      <alignment vertical="top" wrapText="1"/>
    </xf>
    <xf numFmtId="0" fontId="2" fillId="0" borderId="4" xfId="0" applyFont="1" applyBorder="1" applyAlignment="1">
      <alignment horizontal="center" vertical="top" wrapText="1"/>
    </xf>
    <xf numFmtId="0" fontId="2" fillId="0" borderId="4" xfId="0" applyFont="1" applyBorder="1" applyAlignment="1">
      <alignment vertical="top"/>
    </xf>
    <xf numFmtId="0" fontId="2" fillId="0" borderId="0" xfId="0" applyFont="1" applyAlignment="1">
      <alignment vertical="top"/>
    </xf>
    <xf numFmtId="0" fontId="0" fillId="0" borderId="0" xfId="0" applyAlignment="1">
      <alignment horizontal="left" vertical="top" wrapText="1"/>
    </xf>
    <xf numFmtId="0" fontId="0" fillId="0" borderId="0" xfId="0" applyAlignment="1">
      <alignment horizontal="center" vertical="top" wrapText="1"/>
    </xf>
    <xf numFmtId="0" fontId="5" fillId="0" borderId="0" xfId="0" applyFont="1" applyAlignment="1">
      <alignment vertical="top" wrapText="1"/>
    </xf>
    <xf numFmtId="0" fontId="4" fillId="0" borderId="0" xfId="0" applyFont="1" applyAlignment="1">
      <alignment vertical="top" wrapText="1"/>
    </xf>
    <xf numFmtId="0" fontId="4" fillId="0" borderId="0" xfId="0" applyFont="1" applyAlignment="1">
      <alignment vertical="top"/>
    </xf>
    <xf numFmtId="0" fontId="4" fillId="0" borderId="0" xfId="0" applyFont="1" applyAlignment="1">
      <alignment horizontal="justify" vertical="top"/>
    </xf>
    <xf numFmtId="0" fontId="0" fillId="0" borderId="4" xfId="0" applyBorder="1" applyAlignment="1">
      <alignment vertical="top" wrapText="1"/>
    </xf>
    <xf numFmtId="0" fontId="6" fillId="0" borderId="0" xfId="0" applyFont="1" applyAlignment="1">
      <alignment vertical="top"/>
    </xf>
    <xf numFmtId="0" fontId="6" fillId="0" borderId="0" xfId="0" applyFont="1" applyAlignment="1">
      <alignment vertical="top" wrapText="1"/>
    </xf>
    <xf numFmtId="0" fontId="2" fillId="0" borderId="4" xfId="0" applyFont="1" applyBorder="1" applyAlignment="1">
      <alignment wrapText="1"/>
    </xf>
    <xf numFmtId="0" fontId="2" fillId="0" borderId="4" xfId="0" applyFont="1" applyBorder="1" applyAlignment="1">
      <alignment horizontal="center" wrapText="1"/>
    </xf>
    <xf numFmtId="0" fontId="2" fillId="0" borderId="4" xfId="0" applyFont="1" applyBorder="1"/>
    <xf numFmtId="0" fontId="2" fillId="0" borderId="0" xfId="0" applyFont="1"/>
    <xf numFmtId="0" fontId="0" fillId="0" borderId="0" xfId="0" applyAlignment="1">
      <alignment horizontal="center"/>
    </xf>
    <xf numFmtId="0" fontId="0" fillId="0" borderId="0" xfId="0" applyAlignment="1">
      <alignment horizontal="center" wrapText="1"/>
    </xf>
    <xf numFmtId="14" fontId="0" fillId="0" borderId="0" xfId="0" applyNumberFormat="1" applyAlignment="1">
      <alignment wrapText="1"/>
    </xf>
    <xf numFmtId="0" fontId="7" fillId="0" borderId="4" xfId="0" applyFont="1" applyBorder="1" applyAlignment="1">
      <alignment wrapText="1"/>
    </xf>
    <xf numFmtId="0" fontId="7" fillId="0" borderId="4" xfId="0" applyFont="1" applyBorder="1" applyAlignment="1">
      <alignment horizontal="center" wrapText="1"/>
    </xf>
    <xf numFmtId="0" fontId="7" fillId="0" borderId="4" xfId="0" applyFont="1" applyBorder="1"/>
    <xf numFmtId="0" fontId="7" fillId="0" borderId="0" xfId="0" applyFont="1" applyAlignment="1">
      <alignment wrapText="1"/>
    </xf>
    <xf numFmtId="0" fontId="5" fillId="0" borderId="0" xfId="0" applyFont="1"/>
    <xf numFmtId="0" fontId="5" fillId="0" borderId="0" xfId="0" applyFont="1" applyAlignment="1">
      <alignment wrapText="1"/>
    </xf>
    <xf numFmtId="0" fontId="5" fillId="0" borderId="0" xfId="0" applyFont="1" applyAlignment="1">
      <alignment horizontal="center" wrapText="1"/>
    </xf>
    <xf numFmtId="0" fontId="5" fillId="0" borderId="0" xfId="0" applyFont="1" applyAlignment="1">
      <alignment horizontal="center"/>
    </xf>
    <xf numFmtId="0" fontId="5" fillId="0" borderId="0" xfId="0" applyFont="1" applyAlignment="1">
      <alignment horizontal="justify"/>
    </xf>
    <xf numFmtId="0" fontId="4" fillId="0" borderId="0" xfId="0" applyFont="1" applyAlignment="1">
      <alignment horizontal="justify"/>
    </xf>
    <xf numFmtId="0" fontId="5" fillId="0" borderId="0" xfId="0" applyFont="1" applyAlignment="1">
      <alignment horizontal="center" vertical="center" wrapText="1"/>
    </xf>
    <xf numFmtId="0" fontId="5" fillId="0" borderId="0" xfId="0" applyFont="1" applyAlignment="1">
      <alignment horizontal="center" vertical="center"/>
    </xf>
    <xf numFmtId="16" fontId="5" fillId="0" borderId="0" xfId="0" applyNumberFormat="1" applyFont="1" applyAlignment="1">
      <alignment wrapText="1"/>
    </xf>
    <xf numFmtId="0" fontId="7" fillId="0" borderId="0" xfId="0" applyFont="1"/>
    <xf numFmtId="3" fontId="0" fillId="0" borderId="0" xfId="0" applyNumberFormat="1"/>
    <xf numFmtId="14" fontId="0" fillId="0" borderId="0" xfId="0" applyNumberFormat="1"/>
    <xf numFmtId="16" fontId="0" fillId="0" borderId="0" xfId="0" applyNumberFormat="1"/>
    <xf numFmtId="0" fontId="13" fillId="0" borderId="4" xfId="0" applyFont="1" applyBorder="1" applyAlignment="1">
      <alignment wrapText="1"/>
    </xf>
    <xf numFmtId="0" fontId="13" fillId="0" borderId="4" xfId="0" applyFont="1" applyBorder="1" applyAlignment="1">
      <alignment horizontal="center" wrapText="1"/>
    </xf>
    <xf numFmtId="0" fontId="13" fillId="0" borderId="4" xfId="0" applyFont="1" applyBorder="1"/>
    <xf numFmtId="0" fontId="13" fillId="0" borderId="0" xfId="0" applyFont="1" applyAlignment="1">
      <alignment wrapText="1"/>
    </xf>
    <xf numFmtId="0" fontId="13" fillId="0" borderId="0" xfId="0" applyFont="1"/>
    <xf numFmtId="0" fontId="14" fillId="0" borderId="0" xfId="0" applyFont="1"/>
    <xf numFmtId="0" fontId="14" fillId="0" borderId="0" xfId="0" applyFont="1" applyAlignment="1">
      <alignment wrapText="1"/>
    </xf>
    <xf numFmtId="0" fontId="0" fillId="2" borderId="0" xfId="0" applyFill="1" applyAlignment="1">
      <alignment wrapText="1"/>
    </xf>
    <xf numFmtId="0" fontId="0" fillId="2" borderId="0" xfId="0" applyFill="1" applyAlignment="1">
      <alignment horizontal="right"/>
    </xf>
    <xf numFmtId="0" fontId="0" fillId="0" borderId="0" xfId="0" applyAlignment="1">
      <alignment horizontal="right"/>
    </xf>
    <xf numFmtId="0" fontId="15" fillId="0" borderId="0" xfId="0" applyFont="1"/>
    <xf numFmtId="0" fontId="16" fillId="3" borderId="0" xfId="0" applyFont="1" applyFill="1" applyAlignment="1">
      <alignment wrapText="1"/>
    </xf>
    <xf numFmtId="0" fontId="16" fillId="3" borderId="0" xfId="0" applyFont="1" applyFill="1"/>
    <xf numFmtId="0" fontId="16" fillId="0" borderId="0" xfId="0" applyFont="1" applyAlignment="1">
      <alignment wrapText="1"/>
    </xf>
    <xf numFmtId="0" fontId="16" fillId="0" borderId="0" xfId="0" applyFont="1"/>
    <xf numFmtId="0" fontId="16" fillId="0" borderId="5" xfId="0" applyFont="1" applyBorder="1" applyAlignment="1">
      <alignment wrapText="1"/>
    </xf>
    <xf numFmtId="0" fontId="16" fillId="0" borderId="5" xfId="0" applyFont="1" applyBorder="1"/>
    <xf numFmtId="0" fontId="17" fillId="0" borderId="0" xfId="0" applyFont="1" applyAlignment="1">
      <alignment vertical="top"/>
    </xf>
    <xf numFmtId="0" fontId="18" fillId="0" borderId="0" xfId="0" applyFont="1"/>
    <xf numFmtId="0" fontId="17" fillId="0" borderId="0" xfId="0" applyFont="1" applyAlignment="1">
      <alignment vertical="top" wrapText="1"/>
    </xf>
    <xf numFmtId="0" fontId="17" fillId="0" borderId="0" xfId="0" applyFont="1" applyAlignment="1">
      <alignment horizontal="left" vertical="top" wrapText="1"/>
    </xf>
    <xf numFmtId="0" fontId="19" fillId="0" borderId="0" xfId="0" applyFont="1" applyAlignment="1">
      <alignment horizontal="left" wrapText="1"/>
    </xf>
    <xf numFmtId="0" fontId="17" fillId="0" borderId="0" xfId="0" applyFont="1"/>
    <xf numFmtId="0" fontId="22" fillId="0" borderId="0" xfId="0" applyFont="1" applyAlignment="1">
      <alignment wrapText="1"/>
    </xf>
    <xf numFmtId="0" fontId="22" fillId="0" borderId="0" xfId="0" applyFont="1" applyAlignment="1">
      <alignment vertical="top"/>
    </xf>
    <xf numFmtId="0" fontId="22" fillId="0" borderId="0" xfId="0" applyFont="1"/>
    <xf numFmtId="0" fontId="0" fillId="0" borderId="0" xfId="0" applyAlignment="1">
      <alignment horizontal="right" wrapText="1"/>
    </xf>
    <xf numFmtId="0" fontId="1" fillId="0" borderId="0" xfId="0" applyFont="1"/>
    <xf numFmtId="0" fontId="1" fillId="0" borderId="0" xfId="0" applyFont="1" applyAlignment="1">
      <alignment wrapText="1"/>
    </xf>
    <xf numFmtId="0" fontId="1" fillId="0" borderId="0" xfId="0" applyFont="1" applyAlignment="1">
      <alignment vertical="top" wrapText="1"/>
    </xf>
    <xf numFmtId="0" fontId="24" fillId="0" borderId="6" xfId="0" applyFont="1" applyBorder="1" applyAlignment="1">
      <alignment wrapText="1"/>
    </xf>
    <xf numFmtId="0" fontId="24" fillId="0" borderId="7" xfId="0" applyFont="1" applyBorder="1" applyAlignment="1">
      <alignment wrapText="1"/>
    </xf>
    <xf numFmtId="0" fontId="27" fillId="0" borderId="8" xfId="0" applyFont="1" applyBorder="1"/>
    <xf numFmtId="0" fontId="27" fillId="0" borderId="8" xfId="0" applyFont="1" applyBorder="1" applyAlignment="1">
      <alignment wrapText="1"/>
    </xf>
    <xf numFmtId="0" fontId="28" fillId="0" borderId="0" xfId="0" applyFont="1" applyAlignment="1">
      <alignment wrapText="1"/>
    </xf>
    <xf numFmtId="0" fontId="15" fillId="0" borderId="0" xfId="0" applyFont="1" applyAlignment="1">
      <alignment wrapText="1"/>
    </xf>
    <xf numFmtId="0" fontId="29" fillId="0" borderId="0" xfId="0" applyFont="1" applyAlignment="1">
      <alignment wrapText="1"/>
    </xf>
    <xf numFmtId="0" fontId="24" fillId="0" borderId="0" xfId="0" applyFont="1" applyAlignment="1">
      <alignment wrapText="1"/>
    </xf>
    <xf numFmtId="0" fontId="30" fillId="0" borderId="0" xfId="0" applyFont="1" applyAlignment="1">
      <alignment wrapText="1"/>
    </xf>
  </cellXfs>
  <cellStyles count="1">
    <cellStyle name="Normal" xfId="0" builtinId="0"/>
  </cellStyles>
  <dxfs count="50">
    <dxf>
      <font>
        <b val="0"/>
        <i val="0"/>
        <strike val="0"/>
        <u val="none"/>
        <sz val="11"/>
        <color theme="1"/>
        <name val="Calibri"/>
        <charset val="134"/>
        <scheme val="none"/>
      </font>
      <alignment wrapText="1"/>
    </dxf>
    <dxf>
      <font>
        <b val="0"/>
        <i val="0"/>
        <strike val="0"/>
        <u val="none"/>
        <sz val="11"/>
        <color theme="1"/>
        <name val="Calibri"/>
        <charset val="134"/>
        <scheme val="none"/>
      </font>
      <alignment wrapText="1"/>
    </dxf>
    <dxf>
      <font>
        <b val="0"/>
        <i val="0"/>
        <strike val="0"/>
        <u val="none"/>
        <sz val="11"/>
        <color theme="1"/>
        <name val="Calibri"/>
        <charset val="134"/>
        <scheme val="none"/>
      </font>
      <alignment wrapText="1"/>
    </dxf>
    <dxf>
      <font>
        <b val="0"/>
        <i val="0"/>
        <strike val="0"/>
        <u val="none"/>
        <sz val="12"/>
        <color theme="1"/>
        <name val="Times New Roman"/>
        <charset val="134"/>
        <scheme val="none"/>
      </font>
      <alignment wrapText="1"/>
    </dxf>
    <dxf>
      <font>
        <b/>
        <i val="0"/>
        <strike val="0"/>
        <u val="none"/>
        <sz val="12"/>
        <color theme="1"/>
        <name val="Times New Roman"/>
        <charset val="134"/>
        <scheme val="none"/>
      </font>
      <alignment horizontal="justify" vertical="center"/>
    </dxf>
    <dxf>
      <font>
        <b val="0"/>
        <i val="0"/>
        <strike val="0"/>
        <u val="none"/>
        <sz val="12"/>
        <color theme="1"/>
        <name val="Times New Roman"/>
        <charset val="134"/>
        <scheme val="none"/>
      </font>
      <alignment wrapText="1"/>
      <border>
        <left style="thin">
          <color auto="1"/>
        </left>
        <right style="thin">
          <color auto="1"/>
        </right>
        <top style="thin">
          <color auto="1"/>
        </top>
        <bottom style="thin">
          <color auto="1"/>
        </bottom>
      </border>
    </dxf>
    <dxf>
      <alignment vertical="center"/>
    </dxf>
    <dxf>
      <alignment vertical="top"/>
    </dxf>
    <dxf>
      <alignment vertical="top" wrapText="1"/>
    </dxf>
    <dxf>
      <font>
        <b val="0"/>
        <i val="0"/>
        <strike val="0"/>
        <u val="none"/>
        <sz val="12"/>
        <color theme="1"/>
        <name val="Times New Roman"/>
        <charset val="134"/>
        <scheme val="none"/>
      </font>
      <alignment vertical="top"/>
    </dxf>
    <dxf>
      <font>
        <b val="0"/>
        <i val="0"/>
        <strike val="0"/>
        <u val="none"/>
        <sz val="12"/>
        <color theme="1"/>
        <name val="Times New Roman"/>
        <charset val="134"/>
        <scheme val="none"/>
      </font>
      <alignment vertical="top"/>
    </dxf>
    <dxf>
      <font>
        <b val="0"/>
        <i val="0"/>
        <strike val="0"/>
        <u val="none"/>
        <sz val="12"/>
        <color theme="1"/>
        <name val="Times New Roman"/>
        <charset val="134"/>
        <scheme val="none"/>
      </font>
      <alignment horizontal="justify"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left"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A705022-11EA-4A85-B3E7-508B8A08464F}" name="Table812" displayName="Table812" ref="A1:J161" totalsRowShown="0">
  <autoFilter ref="A1:J161" xr:uid="{3A705022-11EA-4A85-B3E7-508B8A08464F}"/>
  <tableColumns count="10">
    <tableColumn id="1" xr3:uid="{B4E0D01C-35CB-4592-9194-39E09E864479}" name="S/N">
      <calculatedColumnFormula>ROW() - ROW(Table812[[#Headers],[S/N]])</calculatedColumnFormula>
    </tableColumn>
    <tableColumn id="2" xr3:uid="{195A0D90-47DA-4C8E-B09A-9CE88F9B0544}" name="NAME"/>
    <tableColumn id="3" xr3:uid="{7F3C3D26-7C15-4AE0-A072-F33921F64F84}" name="LOCATION ADDRESS"/>
    <tableColumn id="4" xr3:uid="{18D23A6C-4E67-4998-B544-627F3AB500DB}" name="DATE OF LAST VISIT"/>
    <tableColumn id="5" xr3:uid="{32774B90-9AEA-418E-AF61-C97E56889D8D}" name="OBSERVATION" dataDxfId="49"/>
    <tableColumn id="6" xr3:uid="{CE348FAC-77A5-4AE2-A521-F486A70C644D}" name="ACTION TAKEN"/>
    <tableColumn id="7" xr3:uid="{33AE7530-B974-49C4-87C2-E716333831B8}" name="RECOMMENDATION"/>
    <tableColumn id="8" xr3:uid="{A41E8E30-C9B5-4B3E-ADC0-FD58071D3300}" name="ADMINISTRATIVE CHARGE"/>
    <tableColumn id="9" xr3:uid="{386D4CD4-27AB-4B19-BD93-342102FF0F59}" name="WARNING LETTER"/>
    <tableColumn id="10" xr3:uid="{F74C7381-1F60-4127-A147-C77506BA41E2}" name="REMAR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e9" displayName="Table9" ref="B1:J133" totalsRowShown="0">
  <autoFilter ref="B1:J133" xr:uid="{00000000-0009-0000-0100-000009000000}"/>
  <tableColumns count="9">
    <tableColumn id="2" xr3:uid="{00000000-0010-0000-0000-000002000000}" name="NAME"/>
    <tableColumn id="3" xr3:uid="{00000000-0010-0000-0000-000003000000}" name="LOCATION ADDRESS" dataDxfId="48"/>
    <tableColumn id="4" xr3:uid="{00000000-0010-0000-0000-000004000000}" name="DATE OF LAST VISIT"/>
    <tableColumn id="5" xr3:uid="{00000000-0010-0000-0000-000005000000}" name="OBSERVATION" dataDxfId="47"/>
    <tableColumn id="6" xr3:uid="{00000000-0010-0000-0000-000006000000}" name="ACTION TAKEN" dataDxfId="46"/>
    <tableColumn id="7" xr3:uid="{00000000-0010-0000-0000-000007000000}" name="RECOMMENDATION"/>
    <tableColumn id="8" xr3:uid="{00000000-0010-0000-0000-000008000000}" name="ADMINISTRATIVE CHARGE"/>
    <tableColumn id="9" xr3:uid="{00000000-0010-0000-0000-000009000000}" name="WARNING LETTER"/>
    <tableColumn id="10" xr3:uid="{00000000-0010-0000-0000-00000A000000}" name="REMAR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Table8" displayName="Table8" ref="A1:J62" totalsRowShown="0">
  <autoFilter ref="A1:J62" xr:uid="{00000000-0009-0000-0100-000008000000}"/>
  <tableColumns count="10">
    <tableColumn id="1" xr3:uid="{00000000-0010-0000-0100-000001000000}" name="S/N"/>
    <tableColumn id="2" xr3:uid="{00000000-0010-0000-0100-000002000000}" name="NAME"/>
    <tableColumn id="3" xr3:uid="{00000000-0010-0000-0100-000003000000}" name="LOCATION ADDRESS"/>
    <tableColumn id="4" xr3:uid="{00000000-0010-0000-0100-000004000000}" name="DATE OF LAST VISIT"/>
    <tableColumn id="5" xr3:uid="{00000000-0010-0000-0100-000005000000}" name="OBSERVATION" dataDxfId="45"/>
    <tableColumn id="6" xr3:uid="{00000000-0010-0000-0100-000006000000}" name="ACTION TAKEN"/>
    <tableColumn id="7" xr3:uid="{00000000-0010-0000-0100-000007000000}" name="RECOMMENDATION"/>
    <tableColumn id="8" xr3:uid="{00000000-0010-0000-0100-000008000000}" name="ADMINISTRATIVE CHARGE"/>
    <tableColumn id="9" xr3:uid="{00000000-0010-0000-0100-000009000000}" name="WARNING LETTER"/>
    <tableColumn id="10" xr3:uid="{00000000-0010-0000-0100-00000A000000}" name="REMARK"/>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A1:J27" totalsRowShown="0">
  <autoFilter ref="A1:J27" xr:uid="{00000000-0009-0000-0100-000007000000}"/>
  <tableColumns count="10">
    <tableColumn id="1" xr3:uid="{00000000-0010-0000-0200-000001000000}" name="S/N"/>
    <tableColumn id="2" xr3:uid="{00000000-0010-0000-0200-000002000000}" name="NAME" dataDxfId="44"/>
    <tableColumn id="3" xr3:uid="{00000000-0010-0000-0200-000003000000}" name="LOCATION ADDRESS" dataDxfId="43"/>
    <tableColumn id="4" xr3:uid="{00000000-0010-0000-0200-000004000000}" name="DATE OF LAST VISIT" dataDxfId="42"/>
    <tableColumn id="5" xr3:uid="{00000000-0010-0000-0200-000005000000}" name="OBSERVATION" dataDxfId="41"/>
    <tableColumn id="6" xr3:uid="{00000000-0010-0000-0200-000006000000}" name="ACTION TAKEN" dataDxfId="40"/>
    <tableColumn id="7" xr3:uid="{00000000-0010-0000-0200-000007000000}" name="RECOMMENDATION" dataDxfId="39"/>
    <tableColumn id="8" xr3:uid="{00000000-0010-0000-0200-000008000000}" name="ADMINISTRATIVE CHARGE"/>
    <tableColumn id="9" xr3:uid="{00000000-0010-0000-0200-000009000000}" name="WARNING LETTER"/>
    <tableColumn id="10" xr3:uid="{00000000-0010-0000-0200-00000A000000}" name="REMARK"/>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J31" totalsRowShown="0" dataDxfId="38">
  <autoFilter ref="A1:J31" xr:uid="{00000000-0009-0000-0100-000006000000}"/>
  <tableColumns count="10">
    <tableColumn id="1" xr3:uid="{00000000-0010-0000-0300-000001000000}" name="S/N" dataDxfId="37">
      <calculatedColumnFormula>ROW() - ROW(Table6[[#Headers],[S/N]])</calculatedColumnFormula>
    </tableColumn>
    <tableColumn id="2" xr3:uid="{00000000-0010-0000-0300-000002000000}" name="NAME" dataDxfId="36"/>
    <tableColumn id="3" xr3:uid="{00000000-0010-0000-0300-000003000000}" name="LOCATION ADDRESS" dataDxfId="35"/>
    <tableColumn id="4" xr3:uid="{00000000-0010-0000-0300-000004000000}" name="DATE OF LAST VISIT" dataDxfId="34"/>
    <tableColumn id="5" xr3:uid="{00000000-0010-0000-0300-000005000000}" name="OBSERVATION" dataDxfId="33"/>
    <tableColumn id="6" xr3:uid="{00000000-0010-0000-0300-000006000000}" name="ACTION TAKEN" dataDxfId="32"/>
    <tableColumn id="7" xr3:uid="{00000000-0010-0000-0300-000007000000}" name="RECOMMENDATION" dataDxfId="31"/>
    <tableColumn id="8" xr3:uid="{00000000-0010-0000-0300-000008000000}" name="ADMINISTRATIVE CHARGE" dataDxfId="30"/>
    <tableColumn id="9" xr3:uid="{2565E9E7-1844-4DDA-8DF5-957E4B3164C1}" name="WARNING LETTER" dataDxfId="29"/>
    <tableColumn id="10" xr3:uid="{8F785CFF-87F6-4BA8-B077-A210615AFC77}" name="REMARK" dataDxfId="28"/>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J14" totalsRowShown="0">
  <autoFilter ref="A1:J14" xr:uid="{00000000-0009-0000-0100-000005000000}"/>
  <tableColumns count="10">
    <tableColumn id="1" xr3:uid="{00000000-0010-0000-0400-000001000000}" name="S/N" dataDxfId="27"/>
    <tableColumn id="2" xr3:uid="{00000000-0010-0000-0400-000002000000}" name="NAME" dataDxfId="26"/>
    <tableColumn id="3" xr3:uid="{00000000-0010-0000-0400-000003000000}" name="LOCATION ADDRESS" dataDxfId="25"/>
    <tableColumn id="4" xr3:uid="{00000000-0010-0000-0400-000004000000}" name="DATE OF LAST VISIT" dataDxfId="24"/>
    <tableColumn id="5" xr3:uid="{00000000-0010-0000-0400-000005000000}" name="OBSERVATION" dataDxfId="23"/>
    <tableColumn id="6" xr3:uid="{00000000-0010-0000-0400-000006000000}" name="ACTION TAKEN" dataDxfId="22"/>
    <tableColumn id="7" xr3:uid="{00000000-0010-0000-0400-000007000000}" name="RECOMMENDATION" dataDxfId="21"/>
    <tableColumn id="8" xr3:uid="{00000000-0010-0000-0400-000008000000}" name="ADMINISTRATIVE CHARGE"/>
    <tableColumn id="9" xr3:uid="{00000000-0010-0000-0400-000009000000}" name="WARNING LETTER"/>
    <tableColumn id="10" xr3:uid="{00000000-0010-0000-0400-00000A000000}" name="REMARK"/>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Table4" displayName="Table4" ref="A1:H43" totalsRowShown="0">
  <autoFilter ref="A1:H43" xr:uid="{00000000-0009-0000-0100-000004000000}"/>
  <tableColumns count="8">
    <tableColumn id="1" xr3:uid="{00000000-0010-0000-0500-000001000000}" name="S/N" dataDxfId="20"/>
    <tableColumn id="2" xr3:uid="{00000000-0010-0000-0500-000002000000}" name="NAME" dataDxfId="19"/>
    <tableColumn id="3" xr3:uid="{00000000-0010-0000-0500-000003000000}" name="LOCATION ADDRESS" dataDxfId="18"/>
    <tableColumn id="4" xr3:uid="{00000000-0010-0000-0500-000004000000}" name="DATE OF LAST VISIT" dataDxfId="17"/>
    <tableColumn id="5" xr3:uid="{00000000-0010-0000-0500-000005000000}" name="OBSERVATION" dataDxfId="16"/>
    <tableColumn id="6" xr3:uid="{00000000-0010-0000-0500-000006000000}" name="ACTION TAKEN" dataDxfId="15"/>
    <tableColumn id="7" xr3:uid="{00000000-0010-0000-0500-000007000000}" name="RECOMMENDATION" dataDxfId="14"/>
    <tableColumn id="8" xr3:uid="{00000000-0010-0000-0500-000008000000}" name="ACTION TAKEN FROM THE CONSULTATIVE MEETING" dataDxfId="13"/>
  </tableColumns>
  <tableStyleInfo name="TableStyleMedium2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3" displayName="Table3" ref="A1:H25" totalsRowShown="0">
  <autoFilter ref="A1:H25" xr:uid="{00000000-0009-0000-0100-000003000000}"/>
  <tableColumns count="8">
    <tableColumn id="1" xr3:uid="{00000000-0010-0000-0600-000001000000}" name="S/N" dataDxfId="12"/>
    <tableColumn id="2" xr3:uid="{00000000-0010-0000-0600-000002000000}" name="NAME" dataDxfId="11"/>
    <tableColumn id="3" xr3:uid="{00000000-0010-0000-0600-000003000000}" name="LOCATION ADDRESS" dataDxfId="10"/>
    <tableColumn id="4" xr3:uid="{00000000-0010-0000-0600-000004000000}" name="DATE OF LAST VISIT" dataDxfId="9"/>
    <tableColumn id="5" xr3:uid="{00000000-0010-0000-0600-000005000000}" name="OBSERVATION"/>
    <tableColumn id="6" xr3:uid="{00000000-0010-0000-0600-000006000000}" name="ACTION TAKEN"/>
    <tableColumn id="7" xr3:uid="{00000000-0010-0000-0600-000007000000}" name="RECOMMENDATION" dataDxfId="8"/>
    <tableColumn id="8" xr3:uid="{00000000-0010-0000-0600-000008000000}" name="ACTION TAKEN FROM THE CONSULTATIVE MEETING" dataDxfId="7"/>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7000000}" name="Table2" displayName="Table2" ref="A1:G15" totalsRowShown="0">
  <autoFilter ref="A1:G15" xr:uid="{00000000-0009-0000-0100-000002000000}"/>
  <tableColumns count="7">
    <tableColumn id="1" xr3:uid="{00000000-0010-0000-0700-000001000000}" name="S/N" dataDxfId="6"/>
    <tableColumn id="2" xr3:uid="{00000000-0010-0000-0700-000002000000}" name="NAME"/>
    <tableColumn id="3" xr3:uid="{00000000-0010-0000-0700-000003000000}" name="LOCATION ADDRESS"/>
    <tableColumn id="4" xr3:uid="{00000000-0010-0000-0700-000004000000}" name="DATE OF LAST VISIT"/>
    <tableColumn id="5" xr3:uid="{00000000-0010-0000-0700-000005000000}" name="OBSERVATION"/>
    <tableColumn id="6" xr3:uid="{00000000-0010-0000-0700-000006000000}" name="ACTION TAKEN"/>
    <tableColumn id="7" xr3:uid="{00000000-0010-0000-0700-000007000000}" name="RECOMMENDATION" dataDxfId="5"/>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8000000}" name="Table1" displayName="Table1" ref="A1:G11" totalsRowShown="0">
  <autoFilter ref="A1:G11" xr:uid="{00000000-0009-0000-0100-000001000000}"/>
  <tableColumns count="7">
    <tableColumn id="1" xr3:uid="{00000000-0010-0000-0800-000001000000}" name="S/N"/>
    <tableColumn id="2" xr3:uid="{00000000-0010-0000-0800-000002000000}" name="NAME" dataDxfId="4"/>
    <tableColumn id="3" xr3:uid="{00000000-0010-0000-0800-000003000000}" name="LOCATION ADDRESS" dataDxfId="3"/>
    <tableColumn id="4" xr3:uid="{00000000-0010-0000-0800-000004000000}" name="DATE OF LAST VISIT" dataDxfId="2"/>
    <tableColumn id="5" xr3:uid="{00000000-0010-0000-0800-000005000000}" name="OBSERVATION"/>
    <tableColumn id="6" xr3:uid="{00000000-0010-0000-0800-000006000000}" name="ACTION TAKEN" dataDxfId="1"/>
    <tableColumn id="7" xr3:uid="{00000000-0010-0000-0800-000007000000}" name="RECOMMENDATION"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BF46-1B0F-4333-B3A2-375F7DFCDD22}">
  <dimension ref="A1:K33"/>
  <sheetViews>
    <sheetView tabSelected="1" topLeftCell="B23" workbookViewId="0">
      <selection activeCell="H26" sqref="H26"/>
    </sheetView>
  </sheetViews>
  <sheetFormatPr defaultRowHeight="13.5"/>
  <cols>
    <col min="1" max="1" width="9.25" customWidth="1"/>
    <col min="2" max="2" width="23.25" customWidth="1"/>
    <col min="3" max="3" width="21.75" customWidth="1"/>
    <col min="4" max="4" width="15.25" customWidth="1"/>
    <col min="5" max="5" width="14.875" customWidth="1"/>
    <col min="6" max="6" width="17.5" customWidth="1"/>
    <col min="7" max="7" width="19" customWidth="1"/>
    <col min="8" max="8" width="24.75" customWidth="1"/>
    <col min="9" max="9" width="18.25" customWidth="1"/>
    <col min="10" max="10" width="18.75" customWidth="1"/>
  </cols>
  <sheetData>
    <row r="1" spans="1:11" ht="43.5">
      <c r="A1" s="58" t="s">
        <v>0</v>
      </c>
      <c r="B1" s="58" t="s">
        <v>1</v>
      </c>
      <c r="C1" s="58" t="s">
        <v>2</v>
      </c>
      <c r="D1" s="59" t="s">
        <v>3</v>
      </c>
      <c r="E1" s="58" t="s">
        <v>4</v>
      </c>
      <c r="F1" s="60" t="s">
        <v>5</v>
      </c>
      <c r="G1" s="58" t="s">
        <v>6</v>
      </c>
      <c r="H1" s="61" t="s">
        <v>7</v>
      </c>
      <c r="I1" s="62" t="s">
        <v>8</v>
      </c>
      <c r="J1" s="62" t="s">
        <v>9</v>
      </c>
      <c r="K1" s="94" t="s">
        <v>10</v>
      </c>
    </row>
    <row r="2" spans="1:11" ht="82.5">
      <c r="A2">
        <v>1</v>
      </c>
      <c r="B2" s="88" t="s">
        <v>11</v>
      </c>
      <c r="C2" s="89" t="s">
        <v>12</v>
      </c>
      <c r="D2" t="s">
        <v>13</v>
      </c>
      <c r="E2" s="65" t="s">
        <v>14</v>
      </c>
      <c r="F2" s="9" t="s">
        <v>15</v>
      </c>
      <c r="G2" s="9" t="s">
        <v>16</v>
      </c>
      <c r="H2" s="65" t="s">
        <v>17</v>
      </c>
      <c r="I2" t="s">
        <v>18</v>
      </c>
      <c r="J2" t="s">
        <v>19</v>
      </c>
      <c r="K2" s="9" t="s">
        <v>20</v>
      </c>
    </row>
    <row r="3" spans="1:11" ht="66" customHeight="1">
      <c r="A3">
        <v>2</v>
      </c>
      <c r="B3" s="88" t="s">
        <v>21</v>
      </c>
      <c r="C3" s="89" t="s">
        <v>22</v>
      </c>
      <c r="D3" t="s">
        <v>13</v>
      </c>
      <c r="E3" s="65" t="s">
        <v>14</v>
      </c>
      <c r="F3" s="9" t="s">
        <v>15</v>
      </c>
      <c r="G3" s="9" t="s">
        <v>16</v>
      </c>
      <c r="H3" s="65" t="s">
        <v>23</v>
      </c>
      <c r="I3" t="s">
        <v>18</v>
      </c>
      <c r="J3" t="s">
        <v>19</v>
      </c>
      <c r="K3" s="9" t="s">
        <v>24</v>
      </c>
    </row>
    <row r="4" spans="1:11" ht="66" customHeight="1">
      <c r="A4">
        <v>3</v>
      </c>
      <c r="B4" s="95" t="s">
        <v>25</v>
      </c>
      <c r="C4" s="95" t="s">
        <v>26</v>
      </c>
      <c r="D4" t="s">
        <v>27</v>
      </c>
      <c r="E4" s="65" t="s">
        <v>14</v>
      </c>
      <c r="F4" s="9" t="s">
        <v>15</v>
      </c>
      <c r="G4" s="9" t="s">
        <v>16</v>
      </c>
      <c r="H4" s="65" t="s">
        <v>28</v>
      </c>
      <c r="I4" t="s">
        <v>18</v>
      </c>
      <c r="J4" t="s">
        <v>19</v>
      </c>
      <c r="K4" s="9" t="s">
        <v>29</v>
      </c>
    </row>
    <row r="5" spans="1:11" ht="99">
      <c r="A5">
        <v>4</v>
      </c>
      <c r="B5" s="90" t="s">
        <v>30</v>
      </c>
      <c r="C5" s="91" t="s">
        <v>31</v>
      </c>
      <c r="D5" t="s">
        <v>32</v>
      </c>
      <c r="E5" s="65" t="s">
        <v>14</v>
      </c>
      <c r="F5" s="9" t="s">
        <v>15</v>
      </c>
      <c r="G5" s="9" t="s">
        <v>16</v>
      </c>
      <c r="H5" t="s">
        <v>33</v>
      </c>
      <c r="I5" s="9" t="s">
        <v>34</v>
      </c>
      <c r="J5" t="s">
        <v>19</v>
      </c>
      <c r="K5" s="9" t="s">
        <v>35</v>
      </c>
    </row>
    <row r="6" spans="1:11" ht="66">
      <c r="A6">
        <v>5</v>
      </c>
      <c r="B6" s="90" t="s">
        <v>36</v>
      </c>
      <c r="C6" s="91" t="s">
        <v>37</v>
      </c>
      <c r="D6" t="s">
        <v>32</v>
      </c>
      <c r="E6" s="65" t="s">
        <v>14</v>
      </c>
      <c r="F6" s="9" t="s">
        <v>15</v>
      </c>
      <c r="G6" s="9" t="s">
        <v>16</v>
      </c>
      <c r="H6" t="s">
        <v>33</v>
      </c>
      <c r="I6" t="s">
        <v>33</v>
      </c>
    </row>
    <row r="7" spans="1:11" ht="99">
      <c r="A7">
        <v>6</v>
      </c>
      <c r="B7" s="90" t="s">
        <v>38</v>
      </c>
      <c r="C7" s="91" t="s">
        <v>39</v>
      </c>
      <c r="D7" t="s">
        <v>40</v>
      </c>
      <c r="E7" s="65" t="s">
        <v>14</v>
      </c>
      <c r="F7" s="9" t="s">
        <v>15</v>
      </c>
      <c r="G7" s="9" t="s">
        <v>16</v>
      </c>
      <c r="H7" t="s">
        <v>18</v>
      </c>
      <c r="I7" s="9" t="s">
        <v>34</v>
      </c>
      <c r="J7" t="s">
        <v>19</v>
      </c>
    </row>
    <row r="8" spans="1:11" ht="82.5">
      <c r="A8">
        <v>7</v>
      </c>
      <c r="B8" s="90" t="s">
        <v>41</v>
      </c>
      <c r="C8" s="91" t="s">
        <v>42</v>
      </c>
      <c r="D8" t="s">
        <v>40</v>
      </c>
      <c r="E8" s="65" t="s">
        <v>14</v>
      </c>
      <c r="F8" s="9" t="s">
        <v>15</v>
      </c>
      <c r="G8" s="9" t="s">
        <v>16</v>
      </c>
      <c r="H8" s="65" t="s">
        <v>43</v>
      </c>
      <c r="I8" t="s">
        <v>18</v>
      </c>
    </row>
    <row r="9" spans="1:11" ht="82.5">
      <c r="A9">
        <v>8</v>
      </c>
      <c r="B9" s="9" t="s">
        <v>44</v>
      </c>
      <c r="C9" s="92" t="s">
        <v>45</v>
      </c>
      <c r="D9" t="s">
        <v>40</v>
      </c>
      <c r="E9" s="65" t="s">
        <v>14</v>
      </c>
      <c r="F9" s="9" t="s">
        <v>15</v>
      </c>
      <c r="G9" s="9" t="s">
        <v>16</v>
      </c>
      <c r="H9" s="65" t="s">
        <v>46</v>
      </c>
      <c r="I9" t="s">
        <v>18</v>
      </c>
    </row>
    <row r="10" spans="1:11" ht="99">
      <c r="A10">
        <v>9</v>
      </c>
      <c r="B10" t="s">
        <v>47</v>
      </c>
      <c r="C10" s="93" t="s">
        <v>48</v>
      </c>
      <c r="D10" t="s">
        <v>40</v>
      </c>
      <c r="E10" s="65" t="s">
        <v>14</v>
      </c>
      <c r="F10" s="9" t="s">
        <v>15</v>
      </c>
      <c r="G10" s="9" t="s">
        <v>16</v>
      </c>
      <c r="H10" t="s">
        <v>18</v>
      </c>
      <c r="I10" s="9" t="s">
        <v>49</v>
      </c>
    </row>
    <row r="11" spans="1:11" ht="66">
      <c r="A11">
        <v>10</v>
      </c>
      <c r="B11" s="90" t="s">
        <v>50</v>
      </c>
      <c r="C11" s="91" t="s">
        <v>51</v>
      </c>
      <c r="D11" t="s">
        <v>52</v>
      </c>
      <c r="E11" s="65" t="s">
        <v>14</v>
      </c>
      <c r="F11" s="9" t="s">
        <v>15</v>
      </c>
      <c r="G11" s="9" t="s">
        <v>16</v>
      </c>
      <c r="H11" t="s">
        <v>33</v>
      </c>
      <c r="I11" t="s">
        <v>33</v>
      </c>
      <c r="J11" s="9" t="s">
        <v>53</v>
      </c>
    </row>
    <row r="12" spans="1:11" ht="82.5">
      <c r="A12">
        <v>11</v>
      </c>
      <c r="B12" s="90" t="s">
        <v>54</v>
      </c>
      <c r="C12" s="91" t="s">
        <v>55</v>
      </c>
      <c r="D12" t="s">
        <v>52</v>
      </c>
      <c r="E12" s="65" t="s">
        <v>14</v>
      </c>
      <c r="F12" s="9" t="s">
        <v>15</v>
      </c>
      <c r="G12" s="9" t="s">
        <v>16</v>
      </c>
      <c r="H12" s="65" t="s">
        <v>56</v>
      </c>
      <c r="I12" t="s">
        <v>18</v>
      </c>
      <c r="J12" t="s">
        <v>19</v>
      </c>
    </row>
    <row r="13" spans="1:11" ht="99">
      <c r="A13">
        <v>12</v>
      </c>
      <c r="B13" s="90" t="s">
        <v>57</v>
      </c>
      <c r="C13" s="91" t="s">
        <v>58</v>
      </c>
      <c r="D13" t="s">
        <v>52</v>
      </c>
      <c r="E13" s="65" t="s">
        <v>14</v>
      </c>
      <c r="F13" s="9" t="s">
        <v>15</v>
      </c>
      <c r="G13" s="9" t="s">
        <v>16</v>
      </c>
      <c r="H13" t="s">
        <v>18</v>
      </c>
      <c r="I13" s="9" t="s">
        <v>59</v>
      </c>
      <c r="J13" t="s">
        <v>19</v>
      </c>
    </row>
    <row r="14" spans="1:11" ht="99">
      <c r="A14">
        <v>13</v>
      </c>
      <c r="B14" t="s">
        <v>60</v>
      </c>
      <c r="C14" s="93" t="s">
        <v>61</v>
      </c>
      <c r="D14" t="s">
        <v>52</v>
      </c>
      <c r="E14" s="65" t="s">
        <v>14</v>
      </c>
      <c r="F14" s="9" t="s">
        <v>15</v>
      </c>
      <c r="G14" s="9" t="s">
        <v>16</v>
      </c>
      <c r="H14" t="s">
        <v>18</v>
      </c>
      <c r="I14" s="9" t="s">
        <v>49</v>
      </c>
    </row>
    <row r="15" spans="1:11" ht="82.5">
      <c r="A15">
        <v>14</v>
      </c>
      <c r="B15" t="s">
        <v>62</v>
      </c>
      <c r="C15" s="93" t="s">
        <v>63</v>
      </c>
      <c r="D15" t="s">
        <v>52</v>
      </c>
      <c r="E15" s="65" t="s">
        <v>14</v>
      </c>
      <c r="F15" s="9" t="s">
        <v>15</v>
      </c>
      <c r="G15" s="9" t="s">
        <v>16</v>
      </c>
      <c r="H15" s="65" t="s">
        <v>64</v>
      </c>
      <c r="I15" t="s">
        <v>18</v>
      </c>
    </row>
    <row r="16" spans="1:11" ht="66">
      <c r="A16">
        <v>15</v>
      </c>
      <c r="B16" t="s">
        <v>65</v>
      </c>
      <c r="C16" s="93" t="s">
        <v>66</v>
      </c>
      <c r="D16" t="s">
        <v>52</v>
      </c>
      <c r="E16" s="65" t="s">
        <v>14</v>
      </c>
      <c r="F16" s="9" t="s">
        <v>15</v>
      </c>
      <c r="G16" s="9" t="s">
        <v>16</v>
      </c>
      <c r="H16" t="s">
        <v>33</v>
      </c>
      <c r="I16" t="s">
        <v>33</v>
      </c>
      <c r="K16" s="9" t="s">
        <v>67</v>
      </c>
    </row>
    <row r="17" spans="1:10" ht="43.5">
      <c r="A17">
        <v>16</v>
      </c>
      <c r="B17" s="91" t="s">
        <v>68</v>
      </c>
      <c r="C17" s="91" t="s">
        <v>69</v>
      </c>
      <c r="D17" t="s">
        <v>70</v>
      </c>
      <c r="E17" s="9" t="s">
        <v>71</v>
      </c>
      <c r="F17" t="s">
        <v>33</v>
      </c>
      <c r="G17" t="s">
        <v>33</v>
      </c>
      <c r="H17" t="s">
        <v>33</v>
      </c>
      <c r="I17" t="s">
        <v>33</v>
      </c>
      <c r="J17" s="66" t="s">
        <v>19</v>
      </c>
    </row>
    <row r="18" spans="1:10" ht="43.5">
      <c r="A18">
        <v>17</v>
      </c>
      <c r="B18" s="91" t="s">
        <v>72</v>
      </c>
      <c r="C18" s="91" t="s">
        <v>73</v>
      </c>
      <c r="D18" t="s">
        <v>70</v>
      </c>
      <c r="E18" s="9" t="s">
        <v>71</v>
      </c>
      <c r="F18" t="s">
        <v>33</v>
      </c>
      <c r="G18" t="s">
        <v>33</v>
      </c>
      <c r="H18" t="s">
        <v>33</v>
      </c>
      <c r="I18" t="s">
        <v>33</v>
      </c>
      <c r="J18" s="66" t="s">
        <v>19</v>
      </c>
    </row>
    <row r="19" spans="1:10" ht="82.5">
      <c r="A19">
        <v>18</v>
      </c>
      <c r="B19" s="91" t="s">
        <v>74</v>
      </c>
      <c r="C19" s="91" t="s">
        <v>75</v>
      </c>
      <c r="D19" t="s">
        <v>70</v>
      </c>
      <c r="E19" s="65" t="s">
        <v>14</v>
      </c>
      <c r="F19" s="9" t="s">
        <v>15</v>
      </c>
      <c r="G19" s="9" t="s">
        <v>16</v>
      </c>
      <c r="H19" s="65" t="s">
        <v>76</v>
      </c>
      <c r="I19" t="s">
        <v>33</v>
      </c>
      <c r="J19" s="66" t="s">
        <v>19</v>
      </c>
    </row>
    <row r="20" spans="1:10" ht="99">
      <c r="A20">
        <v>19</v>
      </c>
      <c r="B20" s="91" t="s">
        <v>77</v>
      </c>
      <c r="C20" s="91" t="s">
        <v>78</v>
      </c>
      <c r="D20" t="s">
        <v>70</v>
      </c>
      <c r="E20" s="65" t="s">
        <v>14</v>
      </c>
      <c r="F20" s="9" t="s">
        <v>15</v>
      </c>
      <c r="G20" s="9" t="s">
        <v>16</v>
      </c>
      <c r="H20" t="s">
        <v>18</v>
      </c>
      <c r="I20" s="9" t="s">
        <v>79</v>
      </c>
      <c r="J20" s="66" t="s">
        <v>19</v>
      </c>
    </row>
    <row r="21" spans="1:10" ht="82.5">
      <c r="A21">
        <v>20</v>
      </c>
      <c r="B21" s="91" t="s">
        <v>80</v>
      </c>
      <c r="C21" s="91" t="s">
        <v>81</v>
      </c>
      <c r="D21" t="s">
        <v>70</v>
      </c>
      <c r="E21" s="65" t="s">
        <v>14</v>
      </c>
      <c r="F21" s="9" t="s">
        <v>15</v>
      </c>
      <c r="G21" s="9" t="s">
        <v>16</v>
      </c>
      <c r="H21" s="65" t="s">
        <v>82</v>
      </c>
      <c r="I21" t="s">
        <v>18</v>
      </c>
      <c r="J21" s="66" t="s">
        <v>19</v>
      </c>
    </row>
    <row r="22" spans="1:10" ht="66">
      <c r="A22">
        <v>21</v>
      </c>
      <c r="B22" s="90" t="s">
        <v>83</v>
      </c>
      <c r="C22" s="91" t="s">
        <v>84</v>
      </c>
      <c r="D22" t="s">
        <v>70</v>
      </c>
      <c r="E22" s="65" t="s">
        <v>14</v>
      </c>
      <c r="F22" s="9" t="s">
        <v>15</v>
      </c>
      <c r="G22" s="9" t="s">
        <v>16</v>
      </c>
    </row>
    <row r="23" spans="1:10" ht="66">
      <c r="A23">
        <v>22</v>
      </c>
      <c r="B23" s="90" t="s">
        <v>85</v>
      </c>
      <c r="C23" s="91" t="s">
        <v>86</v>
      </c>
      <c r="D23" t="s">
        <v>87</v>
      </c>
      <c r="E23" s="65" t="s">
        <v>14</v>
      </c>
      <c r="F23" s="9" t="s">
        <v>15</v>
      </c>
      <c r="G23" s="9" t="s">
        <v>16</v>
      </c>
    </row>
    <row r="24" spans="1:10" ht="66">
      <c r="A24">
        <v>23</v>
      </c>
      <c r="B24" s="90" t="s">
        <v>88</v>
      </c>
      <c r="C24" s="91" t="s">
        <v>86</v>
      </c>
      <c r="D24" t="s">
        <v>87</v>
      </c>
      <c r="E24" s="65" t="s">
        <v>14</v>
      </c>
      <c r="F24" s="9" t="s">
        <v>15</v>
      </c>
      <c r="G24" s="9" t="s">
        <v>16</v>
      </c>
    </row>
    <row r="25" spans="1:10" ht="66">
      <c r="A25">
        <v>24</v>
      </c>
      <c r="B25" t="s">
        <v>89</v>
      </c>
      <c r="C25" s="9" t="s">
        <v>90</v>
      </c>
      <c r="D25" t="s">
        <v>87</v>
      </c>
      <c r="E25" s="65" t="s">
        <v>14</v>
      </c>
      <c r="F25" s="9" t="s">
        <v>15</v>
      </c>
      <c r="G25" s="9" t="s">
        <v>16</v>
      </c>
    </row>
    <row r="26" spans="1:10" ht="99">
      <c r="A26">
        <v>25</v>
      </c>
      <c r="B26" t="s">
        <v>91</v>
      </c>
      <c r="C26" t="s">
        <v>92</v>
      </c>
      <c r="D26" t="s">
        <v>87</v>
      </c>
      <c r="E26" s="65" t="s">
        <v>14</v>
      </c>
      <c r="F26" s="9" t="s">
        <v>15</v>
      </c>
      <c r="G26" s="9" t="s">
        <v>16</v>
      </c>
      <c r="H26" t="s">
        <v>18</v>
      </c>
      <c r="I26" s="9" t="s">
        <v>93</v>
      </c>
      <c r="J26" t="s">
        <v>19</v>
      </c>
    </row>
    <row r="27" spans="1:10" ht="66">
      <c r="A27">
        <v>26</v>
      </c>
      <c r="B27" t="s">
        <v>94</v>
      </c>
      <c r="C27" t="s">
        <v>95</v>
      </c>
      <c r="D27" t="s">
        <v>87</v>
      </c>
      <c r="E27" s="65" t="s">
        <v>14</v>
      </c>
      <c r="F27" s="9" t="s">
        <v>15</v>
      </c>
      <c r="G27" s="9" t="s">
        <v>16</v>
      </c>
    </row>
    <row r="28" spans="1:10" ht="66">
      <c r="A28">
        <v>27</v>
      </c>
      <c r="B28" t="s">
        <v>96</v>
      </c>
      <c r="C28" s="9" t="s">
        <v>97</v>
      </c>
      <c r="D28" t="s">
        <v>98</v>
      </c>
      <c r="E28" s="65" t="s">
        <v>14</v>
      </c>
      <c r="F28" s="9" t="s">
        <v>15</v>
      </c>
      <c r="G28" s="9" t="s">
        <v>16</v>
      </c>
      <c r="H28" t="s">
        <v>33</v>
      </c>
      <c r="I28" t="s">
        <v>33</v>
      </c>
      <c r="J28" s="66" t="s">
        <v>19</v>
      </c>
    </row>
    <row r="29" spans="1:10" ht="82.5">
      <c r="A29">
        <v>28</v>
      </c>
      <c r="B29" s="9" t="s">
        <v>99</v>
      </c>
      <c r="C29" s="96" t="s">
        <v>100</v>
      </c>
      <c r="D29" t="s">
        <v>101</v>
      </c>
      <c r="E29" s="65" t="s">
        <v>14</v>
      </c>
      <c r="F29" s="9" t="s">
        <v>15</v>
      </c>
      <c r="G29" s="9" t="s">
        <v>16</v>
      </c>
      <c r="H29" s="65" t="s">
        <v>102</v>
      </c>
      <c r="I29" t="s">
        <v>18</v>
      </c>
      <c r="J29" s="66" t="s">
        <v>19</v>
      </c>
    </row>
    <row r="30" spans="1:10" ht="99">
      <c r="A30">
        <v>29</v>
      </c>
      <c r="B30" t="s">
        <v>103</v>
      </c>
      <c r="C30" s="96" t="s">
        <v>104</v>
      </c>
      <c r="D30" t="s">
        <v>105</v>
      </c>
      <c r="E30" s="65" t="s">
        <v>14</v>
      </c>
      <c r="F30" s="9" t="s">
        <v>15</v>
      </c>
      <c r="G30" s="9" t="s">
        <v>16</v>
      </c>
      <c r="H30" t="s">
        <v>18</v>
      </c>
      <c r="I30" s="9" t="s">
        <v>106</v>
      </c>
      <c r="J30" s="66" t="s">
        <v>19</v>
      </c>
    </row>
    <row r="31" spans="1:10" ht="82.5">
      <c r="A31">
        <v>30</v>
      </c>
      <c r="B31" t="s">
        <v>107</v>
      </c>
      <c r="C31" s="93" t="s">
        <v>108</v>
      </c>
      <c r="D31" t="s">
        <v>109</v>
      </c>
      <c r="E31" s="65" t="s">
        <v>14</v>
      </c>
      <c r="F31" s="9" t="s">
        <v>15</v>
      </c>
      <c r="G31" s="9" t="s">
        <v>16</v>
      </c>
      <c r="H31" s="65" t="s">
        <v>110</v>
      </c>
      <c r="I31" t="s">
        <v>18</v>
      </c>
      <c r="J31" s="66" t="s">
        <v>19</v>
      </c>
    </row>
    <row r="32" spans="1:10" ht="82.5">
      <c r="A32">
        <v>31</v>
      </c>
      <c r="B32" t="s">
        <v>111</v>
      </c>
      <c r="C32" s="96" t="s">
        <v>112</v>
      </c>
      <c r="D32" t="s">
        <v>109</v>
      </c>
      <c r="E32" s="65" t="s">
        <v>14</v>
      </c>
      <c r="F32" s="9" t="s">
        <v>15</v>
      </c>
      <c r="G32" s="9" t="s">
        <v>16</v>
      </c>
      <c r="H32" s="65" t="s">
        <v>113</v>
      </c>
      <c r="I32" t="s">
        <v>18</v>
      </c>
      <c r="J32" s="66" t="s">
        <v>19</v>
      </c>
    </row>
    <row r="33" spans="1:10" ht="99">
      <c r="A33">
        <v>32</v>
      </c>
      <c r="B33" t="s">
        <v>114</v>
      </c>
      <c r="C33" s="96" t="s">
        <v>115</v>
      </c>
      <c r="D33" t="s">
        <v>109</v>
      </c>
      <c r="E33" s="65" t="s">
        <v>14</v>
      </c>
      <c r="F33" s="9" t="s">
        <v>15</v>
      </c>
      <c r="G33" s="9" t="s">
        <v>16</v>
      </c>
      <c r="H33" t="s">
        <v>18</v>
      </c>
      <c r="I33" s="9" t="s">
        <v>116</v>
      </c>
      <c r="J33" s="66"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78D08-17F0-4D6A-ABE4-B2637544E771}">
  <dimension ref="A1:J206"/>
  <sheetViews>
    <sheetView topLeftCell="D14" workbookViewId="0">
      <selection activeCell="I15" sqref="I15"/>
    </sheetView>
  </sheetViews>
  <sheetFormatPr defaultRowHeight="14.45"/>
  <cols>
    <col min="2" max="2" width="30.375" bestFit="1" customWidth="1"/>
    <col min="3" max="3" width="41.125" bestFit="1" customWidth="1"/>
    <col min="4" max="4" width="22.125" bestFit="1" customWidth="1"/>
    <col min="5" max="5" width="31.25" bestFit="1" customWidth="1"/>
    <col min="6" max="6" width="18.875" bestFit="1" customWidth="1"/>
    <col min="7" max="7" width="20.5" bestFit="1" customWidth="1"/>
    <col min="8" max="8" width="23.125" bestFit="1" customWidth="1"/>
    <col min="9" max="9" width="22" bestFit="1" customWidth="1"/>
    <col min="10" max="10" width="10.625" customWidth="1"/>
  </cols>
  <sheetData>
    <row r="1" spans="1:10" ht="28.5">
      <c r="A1" s="58" t="s">
        <v>0</v>
      </c>
      <c r="B1" s="58" t="s">
        <v>1</v>
      </c>
      <c r="C1" s="58" t="s">
        <v>2</v>
      </c>
      <c r="D1" s="59" t="s">
        <v>3</v>
      </c>
      <c r="E1" s="58" t="s">
        <v>4</v>
      </c>
      <c r="F1" s="60" t="s">
        <v>5</v>
      </c>
      <c r="G1" s="58" t="s">
        <v>6</v>
      </c>
      <c r="H1" s="61" t="s">
        <v>7</v>
      </c>
      <c r="I1" s="62" t="s">
        <v>8</v>
      </c>
      <c r="J1" s="62" t="s">
        <v>9</v>
      </c>
    </row>
    <row r="2" spans="1:10" ht="72.599999999999994">
      <c r="A2" s="63">
        <f>ROW() - ROW(Table812[[#Headers],[S/N]])</f>
        <v>1</v>
      </c>
      <c r="B2" t="s">
        <v>117</v>
      </c>
      <c r="C2" t="s">
        <v>118</v>
      </c>
      <c r="D2" t="s">
        <v>119</v>
      </c>
      <c r="E2" s="65" t="s">
        <v>14</v>
      </c>
      <c r="F2" s="9" t="s">
        <v>15</v>
      </c>
      <c r="G2" s="9" t="s">
        <v>16</v>
      </c>
      <c r="H2" t="s">
        <v>18</v>
      </c>
      <c r="I2" s="9" t="s">
        <v>120</v>
      </c>
      <c r="J2" s="66" t="s">
        <v>19</v>
      </c>
    </row>
    <row r="3" spans="1:10" ht="72.599999999999994">
      <c r="A3" s="63">
        <f>ROW() - ROW(Table812[[#Headers],[S/N]])</f>
        <v>2</v>
      </c>
      <c r="B3" t="s">
        <v>121</v>
      </c>
      <c r="C3" t="s">
        <v>122</v>
      </c>
      <c r="D3" t="s">
        <v>119</v>
      </c>
      <c r="E3" s="65" t="s">
        <v>14</v>
      </c>
      <c r="F3" s="9" t="s">
        <v>15</v>
      </c>
      <c r="G3" s="9" t="s">
        <v>16</v>
      </c>
      <c r="H3" s="65" t="s">
        <v>123</v>
      </c>
      <c r="I3" t="s">
        <v>18</v>
      </c>
      <c r="J3" s="66" t="s">
        <v>19</v>
      </c>
    </row>
    <row r="4" spans="1:10" ht="72.599999999999994">
      <c r="A4" s="63">
        <f>ROW() - ROW(Table812[[#Headers],[S/N]])</f>
        <v>3</v>
      </c>
      <c r="B4" t="s">
        <v>124</v>
      </c>
      <c r="C4" t="s">
        <v>125</v>
      </c>
      <c r="D4" t="s">
        <v>126</v>
      </c>
      <c r="E4" s="65" t="s">
        <v>14</v>
      </c>
      <c r="F4" s="9" t="s">
        <v>15</v>
      </c>
      <c r="G4" s="9" t="s">
        <v>16</v>
      </c>
      <c r="H4" t="s">
        <v>18</v>
      </c>
      <c r="I4" s="9" t="s">
        <v>120</v>
      </c>
      <c r="J4" s="66" t="s">
        <v>19</v>
      </c>
    </row>
    <row r="5" spans="1:10" ht="72.599999999999994">
      <c r="A5" s="63">
        <f>ROW() - ROW(Table812[[#Headers],[S/N]])</f>
        <v>4</v>
      </c>
      <c r="B5" t="s">
        <v>127</v>
      </c>
      <c r="C5" t="s">
        <v>128</v>
      </c>
      <c r="D5" t="s">
        <v>129</v>
      </c>
      <c r="E5" s="65" t="s">
        <v>14</v>
      </c>
      <c r="F5" s="9" t="s">
        <v>15</v>
      </c>
      <c r="G5" s="9" t="s">
        <v>16</v>
      </c>
      <c r="H5" t="s">
        <v>18</v>
      </c>
      <c r="I5" s="9" t="s">
        <v>130</v>
      </c>
      <c r="J5" s="66" t="s">
        <v>19</v>
      </c>
    </row>
    <row r="6" spans="1:10" ht="72.599999999999994">
      <c r="A6" s="63">
        <f>ROW() - ROW(Table812[[#Headers],[S/N]])</f>
        <v>5</v>
      </c>
      <c r="B6" t="s">
        <v>131</v>
      </c>
      <c r="C6" t="s">
        <v>132</v>
      </c>
      <c r="D6" t="s">
        <v>133</v>
      </c>
      <c r="E6" s="65" t="s">
        <v>14</v>
      </c>
      <c r="F6" s="9" t="s">
        <v>15</v>
      </c>
      <c r="G6" s="9" t="s">
        <v>16</v>
      </c>
      <c r="H6" t="s">
        <v>18</v>
      </c>
      <c r="I6" s="9" t="s">
        <v>134</v>
      </c>
      <c r="J6" s="66" t="s">
        <v>19</v>
      </c>
    </row>
    <row r="7" spans="1:10" ht="72.599999999999994">
      <c r="A7" s="63">
        <f>ROW() - ROW(Table812[[#Headers],[S/N]])</f>
        <v>6</v>
      </c>
      <c r="B7" t="s">
        <v>135</v>
      </c>
      <c r="C7" t="s">
        <v>136</v>
      </c>
      <c r="D7" t="s">
        <v>133</v>
      </c>
      <c r="E7" s="65" t="s">
        <v>14</v>
      </c>
      <c r="F7" s="9" t="s">
        <v>15</v>
      </c>
      <c r="G7" s="9" t="s">
        <v>16</v>
      </c>
      <c r="H7" t="s">
        <v>18</v>
      </c>
      <c r="I7" s="9" t="s">
        <v>130</v>
      </c>
      <c r="J7" s="66" t="s">
        <v>19</v>
      </c>
    </row>
    <row r="8" spans="1:10" ht="72.599999999999994">
      <c r="A8" s="63">
        <f>ROW() - ROW(Table812[[#Headers],[S/N]])</f>
        <v>7</v>
      </c>
      <c r="B8" t="s">
        <v>137</v>
      </c>
      <c r="C8" t="s">
        <v>138</v>
      </c>
      <c r="D8" t="s">
        <v>133</v>
      </c>
      <c r="E8" s="65" t="s">
        <v>14</v>
      </c>
      <c r="F8" s="9" t="s">
        <v>15</v>
      </c>
      <c r="G8" s="9" t="s">
        <v>16</v>
      </c>
      <c r="H8" t="s">
        <v>18</v>
      </c>
      <c r="I8" s="9" t="s">
        <v>139</v>
      </c>
      <c r="J8" s="66" t="s">
        <v>19</v>
      </c>
    </row>
    <row r="9" spans="1:10" ht="72.599999999999994">
      <c r="A9" s="63">
        <f>ROW() - ROW(Table812[[#Headers],[S/N]])</f>
        <v>8</v>
      </c>
      <c r="B9" t="s">
        <v>140</v>
      </c>
      <c r="C9" t="s">
        <v>141</v>
      </c>
      <c r="D9" t="s">
        <v>133</v>
      </c>
      <c r="E9" s="65" t="s">
        <v>14</v>
      </c>
      <c r="F9" s="9" t="s">
        <v>15</v>
      </c>
      <c r="G9" s="9" t="s">
        <v>16</v>
      </c>
      <c r="H9" s="65" t="s">
        <v>142</v>
      </c>
      <c r="I9" t="s">
        <v>18</v>
      </c>
      <c r="J9" s="66" t="s">
        <v>19</v>
      </c>
    </row>
    <row r="10" spans="1:10" ht="72.599999999999994">
      <c r="A10" s="63">
        <f>ROW() - ROW(Table812[[#Headers],[S/N]])</f>
        <v>9</v>
      </c>
      <c r="B10" t="s">
        <v>143</v>
      </c>
      <c r="C10" t="s">
        <v>144</v>
      </c>
      <c r="D10" t="s">
        <v>133</v>
      </c>
      <c r="E10" s="65" t="s">
        <v>14</v>
      </c>
      <c r="F10" s="9" t="s">
        <v>15</v>
      </c>
      <c r="G10" s="9" t="s">
        <v>16</v>
      </c>
      <c r="H10" t="s">
        <v>18</v>
      </c>
      <c r="I10" s="9" t="s">
        <v>145</v>
      </c>
      <c r="J10" s="66" t="s">
        <v>19</v>
      </c>
    </row>
    <row r="11" spans="1:10" ht="72.599999999999994">
      <c r="A11" s="63">
        <f>ROW() - ROW(Table812[[#Headers],[S/N]])</f>
        <v>10</v>
      </c>
      <c r="B11" t="s">
        <v>146</v>
      </c>
      <c r="C11" t="s">
        <v>147</v>
      </c>
      <c r="D11" t="s">
        <v>133</v>
      </c>
      <c r="E11" s="65" t="s">
        <v>14</v>
      </c>
      <c r="F11" s="9" t="s">
        <v>15</v>
      </c>
      <c r="G11" s="9" t="s">
        <v>16</v>
      </c>
      <c r="H11" t="s">
        <v>18</v>
      </c>
      <c r="I11" s="9" t="s">
        <v>148</v>
      </c>
      <c r="J11" s="66" t="s">
        <v>19</v>
      </c>
    </row>
    <row r="12" spans="1:10" ht="72.599999999999994">
      <c r="A12" s="63">
        <f>ROW() - ROW(Table812[[#Headers],[S/N]])</f>
        <v>11</v>
      </c>
      <c r="B12" t="s">
        <v>149</v>
      </c>
      <c r="C12" t="s">
        <v>150</v>
      </c>
      <c r="D12" t="s">
        <v>151</v>
      </c>
      <c r="E12" s="65" t="s">
        <v>14</v>
      </c>
      <c r="F12" s="9" t="s">
        <v>15</v>
      </c>
      <c r="G12" s="9" t="s">
        <v>16</v>
      </c>
      <c r="H12" t="s">
        <v>18</v>
      </c>
      <c r="I12" s="9" t="s">
        <v>152</v>
      </c>
      <c r="J12" s="66" t="s">
        <v>19</v>
      </c>
    </row>
    <row r="13" spans="1:10" ht="72.599999999999994">
      <c r="A13" s="63">
        <f>ROW() - ROW(Table812[[#Headers],[S/N]])</f>
        <v>12</v>
      </c>
      <c r="B13" t="s">
        <v>153</v>
      </c>
      <c r="C13" t="s">
        <v>154</v>
      </c>
      <c r="D13" t="s">
        <v>151</v>
      </c>
      <c r="E13" s="65" t="s">
        <v>14</v>
      </c>
      <c r="F13" s="9" t="s">
        <v>15</v>
      </c>
      <c r="G13" s="9" t="s">
        <v>16</v>
      </c>
      <c r="H13" s="65" t="s">
        <v>155</v>
      </c>
      <c r="I13" t="s">
        <v>18</v>
      </c>
      <c r="J13" s="66" t="s">
        <v>19</v>
      </c>
    </row>
    <row r="14" spans="1:10" ht="72.599999999999994">
      <c r="A14" s="63">
        <f>ROW() - ROW(Table812[[#Headers],[S/N]])</f>
        <v>13</v>
      </c>
      <c r="B14" t="s">
        <v>156</v>
      </c>
      <c r="C14" t="s">
        <v>157</v>
      </c>
      <c r="D14" t="s">
        <v>151</v>
      </c>
      <c r="E14" s="65" t="s">
        <v>14</v>
      </c>
      <c r="F14" s="9" t="s">
        <v>15</v>
      </c>
      <c r="G14" s="9" t="s">
        <v>16</v>
      </c>
      <c r="H14" s="65" t="s">
        <v>155</v>
      </c>
      <c r="I14" t="s">
        <v>18</v>
      </c>
      <c r="J14" s="66" t="s">
        <v>19</v>
      </c>
    </row>
    <row r="15" spans="1:10" ht="72.599999999999994">
      <c r="A15" s="63">
        <f>ROW() - ROW(Table812[[#Headers],[S/N]])</f>
        <v>14</v>
      </c>
      <c r="B15" t="s">
        <v>158</v>
      </c>
      <c r="C15" t="s">
        <v>159</v>
      </c>
      <c r="D15" t="s">
        <v>160</v>
      </c>
      <c r="E15" s="65" t="s">
        <v>14</v>
      </c>
      <c r="F15" s="9" t="s">
        <v>15</v>
      </c>
      <c r="G15" s="9" t="s">
        <v>16</v>
      </c>
      <c r="H15" t="s">
        <v>18</v>
      </c>
      <c r="I15" s="9" t="s">
        <v>161</v>
      </c>
      <c r="J15" s="66" t="s">
        <v>19</v>
      </c>
    </row>
    <row r="16" spans="1:10">
      <c r="A16" s="63">
        <f>ROW() - ROW(Table812[[#Headers],[S/N]])</f>
        <v>15</v>
      </c>
      <c r="B16" t="s">
        <v>162</v>
      </c>
      <c r="D16" t="s">
        <v>160</v>
      </c>
      <c r="J16" s="67"/>
    </row>
    <row r="17" spans="1:10">
      <c r="A17" s="63">
        <f>ROW() - ROW(Table812[[#Headers],[S/N]])</f>
        <v>16</v>
      </c>
      <c r="B17" t="s">
        <v>163</v>
      </c>
      <c r="C17" t="s">
        <v>164</v>
      </c>
      <c r="D17" t="s">
        <v>165</v>
      </c>
      <c r="E17" s="9" t="s">
        <v>71</v>
      </c>
      <c r="F17" t="s">
        <v>33</v>
      </c>
      <c r="G17" t="s">
        <v>33</v>
      </c>
      <c r="H17" t="s">
        <v>33</v>
      </c>
      <c r="I17" t="s">
        <v>33</v>
      </c>
      <c r="J17" s="66" t="s">
        <v>19</v>
      </c>
    </row>
    <row r="18" spans="1:10" ht="72.599999999999994">
      <c r="A18" s="63">
        <f>ROW() - ROW(Table812[[#Headers],[S/N]])</f>
        <v>17</v>
      </c>
      <c r="B18" t="s">
        <v>166</v>
      </c>
      <c r="C18" t="s">
        <v>167</v>
      </c>
      <c r="D18" t="s">
        <v>165</v>
      </c>
      <c r="E18" s="65" t="s">
        <v>14</v>
      </c>
      <c r="F18" s="9" t="s">
        <v>15</v>
      </c>
      <c r="G18" s="9" t="s">
        <v>16</v>
      </c>
      <c r="H18" t="s">
        <v>18</v>
      </c>
      <c r="I18" s="9" t="s">
        <v>168</v>
      </c>
      <c r="J18" s="66" t="s">
        <v>19</v>
      </c>
    </row>
    <row r="19" spans="1:10" ht="72.599999999999994">
      <c r="A19" s="63">
        <f>ROW() - ROW(Table812[[#Headers],[S/N]])</f>
        <v>18</v>
      </c>
      <c r="B19" t="s">
        <v>169</v>
      </c>
      <c r="C19" t="s">
        <v>170</v>
      </c>
      <c r="D19" t="s">
        <v>171</v>
      </c>
      <c r="E19" s="65" t="s">
        <v>14</v>
      </c>
      <c r="F19" s="9" t="s">
        <v>15</v>
      </c>
      <c r="G19" s="9" t="s">
        <v>16</v>
      </c>
      <c r="H19" t="s">
        <v>18</v>
      </c>
      <c r="I19" s="9" t="s">
        <v>172</v>
      </c>
      <c r="J19" s="66" t="s">
        <v>19</v>
      </c>
    </row>
    <row r="20" spans="1:10" ht="57.95">
      <c r="A20" s="63">
        <f>ROW() - ROW(Table812[[#Headers],[S/N]])</f>
        <v>19</v>
      </c>
      <c r="B20" t="s">
        <v>173</v>
      </c>
      <c r="C20" t="s">
        <v>174</v>
      </c>
      <c r="D20" t="s">
        <v>171</v>
      </c>
      <c r="E20" s="65" t="s">
        <v>14</v>
      </c>
      <c r="F20" s="9" t="s">
        <v>15</v>
      </c>
      <c r="G20" s="9" t="s">
        <v>16</v>
      </c>
      <c r="J20" s="67" t="s">
        <v>175</v>
      </c>
    </row>
    <row r="21" spans="1:10" ht="72.599999999999994">
      <c r="A21" s="63">
        <f>ROW() - ROW(Table812[[#Headers],[S/N]])</f>
        <v>20</v>
      </c>
      <c r="B21" t="s">
        <v>176</v>
      </c>
      <c r="C21" t="s">
        <v>177</v>
      </c>
      <c r="D21" t="s">
        <v>178</v>
      </c>
      <c r="E21" s="65" t="s">
        <v>14</v>
      </c>
      <c r="F21" s="9" t="s">
        <v>15</v>
      </c>
      <c r="G21" s="9" t="s">
        <v>16</v>
      </c>
      <c r="H21" t="s">
        <v>18</v>
      </c>
      <c r="I21" s="9" t="s">
        <v>179</v>
      </c>
      <c r="J21" s="66" t="s">
        <v>19</v>
      </c>
    </row>
    <row r="22" spans="1:10" ht="72.599999999999994">
      <c r="A22" s="63">
        <f>ROW() - ROW(Table812[[#Headers],[S/N]])</f>
        <v>21</v>
      </c>
      <c r="B22" t="s">
        <v>180</v>
      </c>
      <c r="C22" t="s">
        <v>181</v>
      </c>
      <c r="D22" t="s">
        <v>182</v>
      </c>
      <c r="E22" s="65" t="s">
        <v>14</v>
      </c>
      <c r="F22" s="9" t="s">
        <v>15</v>
      </c>
      <c r="G22" s="9" t="s">
        <v>16</v>
      </c>
      <c r="H22" t="s">
        <v>18</v>
      </c>
      <c r="I22" s="9" t="s">
        <v>183</v>
      </c>
      <c r="J22" s="66" t="s">
        <v>19</v>
      </c>
    </row>
    <row r="23" spans="1:10" ht="72.599999999999994">
      <c r="A23" s="63">
        <f>ROW() - ROW(Table812[[#Headers],[S/N]])</f>
        <v>22</v>
      </c>
      <c r="B23" t="s">
        <v>184</v>
      </c>
      <c r="C23" t="s">
        <v>185</v>
      </c>
      <c r="D23" t="s">
        <v>186</v>
      </c>
      <c r="E23" s="65" t="s">
        <v>14</v>
      </c>
      <c r="F23" s="9" t="s">
        <v>15</v>
      </c>
      <c r="G23" s="9" t="s">
        <v>16</v>
      </c>
      <c r="H23" t="s">
        <v>18</v>
      </c>
      <c r="I23" s="9" t="s">
        <v>187</v>
      </c>
      <c r="J23" s="66" t="s">
        <v>19</v>
      </c>
    </row>
    <row r="24" spans="1:10" ht="72.599999999999994">
      <c r="A24" s="63">
        <f>ROW() - ROW(Table812[[#Headers],[S/N]])</f>
        <v>23</v>
      </c>
      <c r="B24" t="s">
        <v>188</v>
      </c>
      <c r="C24" t="s">
        <v>189</v>
      </c>
      <c r="D24" t="s">
        <v>186</v>
      </c>
      <c r="E24" s="65" t="s">
        <v>14</v>
      </c>
      <c r="F24" s="9" t="s">
        <v>15</v>
      </c>
      <c r="G24" s="9" t="s">
        <v>16</v>
      </c>
      <c r="H24" s="65" t="s">
        <v>190</v>
      </c>
      <c r="I24" t="s">
        <v>18</v>
      </c>
      <c r="J24" s="66" t="s">
        <v>19</v>
      </c>
    </row>
    <row r="25" spans="1:10" ht="72.599999999999994">
      <c r="A25" s="63">
        <f>ROW() - ROW(Table812[[#Headers],[S/N]])</f>
        <v>24</v>
      </c>
      <c r="B25" t="s">
        <v>191</v>
      </c>
      <c r="C25" t="s">
        <v>192</v>
      </c>
      <c r="D25" t="s">
        <v>193</v>
      </c>
      <c r="E25" s="65" t="s">
        <v>14</v>
      </c>
      <c r="F25" s="9" t="s">
        <v>15</v>
      </c>
      <c r="G25" s="9" t="s">
        <v>16</v>
      </c>
      <c r="H25" t="s">
        <v>18</v>
      </c>
      <c r="I25" s="9" t="s">
        <v>194</v>
      </c>
      <c r="J25" s="66" t="s">
        <v>19</v>
      </c>
    </row>
    <row r="26" spans="1:10" ht="57.95">
      <c r="A26" s="63">
        <f>ROW() - ROW(Table812[[#Headers],[S/N]])</f>
        <v>25</v>
      </c>
      <c r="B26" t="s">
        <v>195</v>
      </c>
      <c r="C26" t="s">
        <v>196</v>
      </c>
      <c r="D26" t="s">
        <v>197</v>
      </c>
      <c r="E26" s="65" t="s">
        <v>14</v>
      </c>
      <c r="F26" s="9" t="s">
        <v>15</v>
      </c>
      <c r="G26" s="9" t="s">
        <v>16</v>
      </c>
      <c r="J26" s="66" t="s">
        <v>198</v>
      </c>
    </row>
    <row r="27" spans="1:10" ht="72.599999999999994">
      <c r="A27" s="63">
        <f>ROW() - ROW(Table812[[#Headers],[S/N]])</f>
        <v>26</v>
      </c>
      <c r="B27" t="s">
        <v>199</v>
      </c>
      <c r="C27" t="s">
        <v>200</v>
      </c>
      <c r="D27" t="s">
        <v>201</v>
      </c>
      <c r="E27" s="65" t="s">
        <v>14</v>
      </c>
      <c r="F27" s="9" t="s">
        <v>15</v>
      </c>
      <c r="G27" s="9" t="s">
        <v>16</v>
      </c>
      <c r="H27" t="s">
        <v>18</v>
      </c>
      <c r="I27" s="9" t="s">
        <v>202</v>
      </c>
      <c r="J27" s="66" t="s">
        <v>19</v>
      </c>
    </row>
    <row r="28" spans="1:10" ht="72.599999999999994">
      <c r="A28" s="63">
        <f>ROW() - ROW(Table812[[#Headers],[S/N]])</f>
        <v>27</v>
      </c>
      <c r="B28" t="s">
        <v>203</v>
      </c>
      <c r="C28" t="s">
        <v>204</v>
      </c>
      <c r="D28" t="s">
        <v>201</v>
      </c>
      <c r="E28" s="65" t="s">
        <v>14</v>
      </c>
      <c r="F28" s="9" t="s">
        <v>15</v>
      </c>
      <c r="G28" s="9" t="s">
        <v>16</v>
      </c>
      <c r="H28" t="s">
        <v>18</v>
      </c>
      <c r="I28" s="9" t="s">
        <v>202</v>
      </c>
      <c r="J28" s="66" t="s">
        <v>19</v>
      </c>
    </row>
    <row r="29" spans="1:10" ht="72.599999999999994">
      <c r="A29" s="63">
        <f>ROW() - ROW(Table812[[#Headers],[S/N]])</f>
        <v>28</v>
      </c>
      <c r="B29" t="s">
        <v>205</v>
      </c>
      <c r="C29" t="s">
        <v>206</v>
      </c>
      <c r="D29" t="s">
        <v>207</v>
      </c>
      <c r="E29" s="65" t="s">
        <v>14</v>
      </c>
      <c r="F29" s="9" t="s">
        <v>15</v>
      </c>
      <c r="G29" s="9" t="s">
        <v>16</v>
      </c>
      <c r="H29" t="s">
        <v>18</v>
      </c>
      <c r="I29" s="9" t="s">
        <v>208</v>
      </c>
      <c r="J29" s="66" t="s">
        <v>19</v>
      </c>
    </row>
    <row r="30" spans="1:10" ht="72.599999999999994">
      <c r="A30" s="63">
        <f>ROW() - ROW(Table812[[#Headers],[S/N]])</f>
        <v>29</v>
      </c>
      <c r="B30" t="s">
        <v>209</v>
      </c>
      <c r="C30" t="s">
        <v>210</v>
      </c>
      <c r="D30" t="s">
        <v>211</v>
      </c>
      <c r="E30" s="65" t="s">
        <v>14</v>
      </c>
      <c r="F30" s="9" t="s">
        <v>15</v>
      </c>
      <c r="G30" s="9" t="s">
        <v>16</v>
      </c>
      <c r="H30" t="s">
        <v>18</v>
      </c>
      <c r="I30" s="9" t="s">
        <v>212</v>
      </c>
      <c r="J30" s="66" t="s">
        <v>19</v>
      </c>
    </row>
    <row r="31" spans="1:10" ht="72.599999999999994">
      <c r="A31" s="63">
        <f>ROW() - ROW(Table812[[#Headers],[S/N]])</f>
        <v>30</v>
      </c>
      <c r="B31" t="s">
        <v>213</v>
      </c>
      <c r="C31" t="s">
        <v>214</v>
      </c>
      <c r="D31" t="s">
        <v>197</v>
      </c>
      <c r="E31" s="65" t="s">
        <v>14</v>
      </c>
      <c r="F31" s="9" t="s">
        <v>15</v>
      </c>
      <c r="G31" s="9" t="s">
        <v>16</v>
      </c>
      <c r="H31" t="s">
        <v>18</v>
      </c>
      <c r="I31" s="9" t="s">
        <v>215</v>
      </c>
      <c r="J31" s="66" t="s">
        <v>19</v>
      </c>
    </row>
    <row r="32" spans="1:10" ht="72.599999999999994">
      <c r="A32" s="64">
        <f>ROW() - ROW(Table812[[#Headers],[S/N]])</f>
        <v>31</v>
      </c>
      <c r="B32" s="9" t="s">
        <v>216</v>
      </c>
      <c r="C32" s="9" t="s">
        <v>217</v>
      </c>
      <c r="D32" t="s">
        <v>211</v>
      </c>
      <c r="E32" s="65" t="s">
        <v>14</v>
      </c>
      <c r="F32" s="9" t="s">
        <v>15</v>
      </c>
      <c r="G32" s="9" t="s">
        <v>16</v>
      </c>
      <c r="H32" t="s">
        <v>18</v>
      </c>
      <c r="I32" s="9" t="s">
        <v>215</v>
      </c>
      <c r="J32" s="81" t="s">
        <v>218</v>
      </c>
    </row>
    <row r="33" spans="1:10">
      <c r="A33" s="64">
        <f>ROW() - ROW(Table812[[#Headers],[S/N]])</f>
        <v>32</v>
      </c>
      <c r="B33" t="s">
        <v>219</v>
      </c>
      <c r="C33" t="s">
        <v>220</v>
      </c>
      <c r="D33" t="s">
        <v>221</v>
      </c>
      <c r="E33" s="9" t="s">
        <v>71</v>
      </c>
      <c r="F33" t="s">
        <v>33</v>
      </c>
      <c r="G33" t="s">
        <v>33</v>
      </c>
      <c r="H33" t="s">
        <v>33</v>
      </c>
      <c r="I33" t="s">
        <v>33</v>
      </c>
      <c r="J33" s="66" t="s">
        <v>19</v>
      </c>
    </row>
    <row r="34" spans="1:10" ht="72.599999999999994">
      <c r="A34" s="63">
        <f>ROW() - ROW(Table812[[#Headers],[S/N]])</f>
        <v>33</v>
      </c>
      <c r="B34" t="s">
        <v>222</v>
      </c>
      <c r="C34" t="s">
        <v>223</v>
      </c>
      <c r="D34" t="s">
        <v>224</v>
      </c>
      <c r="E34" s="65" t="s">
        <v>14</v>
      </c>
      <c r="F34" s="9" t="s">
        <v>15</v>
      </c>
      <c r="G34" s="9" t="s">
        <v>16</v>
      </c>
      <c r="H34" t="s">
        <v>18</v>
      </c>
      <c r="I34" s="9" t="s">
        <v>208</v>
      </c>
      <c r="J34" s="66" t="s">
        <v>19</v>
      </c>
    </row>
    <row r="35" spans="1:10" ht="72.599999999999994">
      <c r="A35" s="63">
        <f>ROW() - ROW(Table812[[#Headers],[S/N]])</f>
        <v>34</v>
      </c>
      <c r="B35" t="s">
        <v>225</v>
      </c>
      <c r="C35" t="s">
        <v>226</v>
      </c>
      <c r="D35" t="s">
        <v>186</v>
      </c>
      <c r="E35" s="65" t="s">
        <v>14</v>
      </c>
      <c r="F35" s="9" t="s">
        <v>15</v>
      </c>
      <c r="G35" s="9" t="s">
        <v>16</v>
      </c>
      <c r="H35" s="65" t="s">
        <v>190</v>
      </c>
      <c r="I35" t="s">
        <v>18</v>
      </c>
      <c r="J35" s="81" t="s">
        <v>218</v>
      </c>
    </row>
    <row r="36" spans="1:10" ht="72.599999999999994">
      <c r="A36" s="63">
        <f>ROW() - ROW(Table812[[#Headers],[S/N]])</f>
        <v>35</v>
      </c>
      <c r="B36" t="s">
        <v>227</v>
      </c>
      <c r="C36" t="s">
        <v>228</v>
      </c>
      <c r="D36" t="s">
        <v>201</v>
      </c>
      <c r="E36" s="65" t="s">
        <v>14</v>
      </c>
      <c r="F36" s="9" t="s">
        <v>15</v>
      </c>
      <c r="G36" s="9" t="s">
        <v>16</v>
      </c>
      <c r="H36" t="s">
        <v>18</v>
      </c>
      <c r="I36" s="9" t="s">
        <v>229</v>
      </c>
      <c r="J36" s="66" t="s">
        <v>19</v>
      </c>
    </row>
    <row r="37" spans="1:10" ht="72.599999999999994">
      <c r="A37" s="63">
        <f>ROW() - ROW(Table812[[#Headers],[S/N]])</f>
        <v>36</v>
      </c>
      <c r="B37" t="s">
        <v>230</v>
      </c>
      <c r="C37" t="s">
        <v>231</v>
      </c>
      <c r="D37" t="s">
        <v>232</v>
      </c>
      <c r="E37" s="65" t="s">
        <v>14</v>
      </c>
      <c r="F37" s="9" t="s">
        <v>15</v>
      </c>
      <c r="G37" s="9" t="s">
        <v>16</v>
      </c>
      <c r="H37" s="65" t="s">
        <v>233</v>
      </c>
      <c r="I37" t="s">
        <v>18</v>
      </c>
      <c r="J37" s="66" t="s">
        <v>19</v>
      </c>
    </row>
    <row r="38" spans="1:10" ht="72.599999999999994">
      <c r="A38" s="63">
        <f>ROW() - ROW(Table812[[#Headers],[S/N]])</f>
        <v>37</v>
      </c>
      <c r="B38" t="s">
        <v>234</v>
      </c>
      <c r="C38" t="s">
        <v>235</v>
      </c>
      <c r="D38" t="s">
        <v>201</v>
      </c>
      <c r="E38" s="65" t="s">
        <v>14</v>
      </c>
      <c r="F38" s="9" t="s">
        <v>15</v>
      </c>
      <c r="G38" s="9" t="s">
        <v>16</v>
      </c>
      <c r="H38" t="s">
        <v>18</v>
      </c>
      <c r="I38" s="9" t="s">
        <v>229</v>
      </c>
      <c r="J38" s="66" t="s">
        <v>19</v>
      </c>
    </row>
    <row r="39" spans="1:10" ht="57.95">
      <c r="A39" s="63">
        <f>ROW() - ROW(Table812[[#Headers],[S/N]])</f>
        <v>38</v>
      </c>
      <c r="B39" t="s">
        <v>236</v>
      </c>
      <c r="C39" t="s">
        <v>237</v>
      </c>
      <c r="D39" t="s">
        <v>193</v>
      </c>
      <c r="E39" s="65" t="s">
        <v>14</v>
      </c>
      <c r="F39" s="9" t="s">
        <v>15</v>
      </c>
      <c r="G39" s="9" t="s">
        <v>16</v>
      </c>
      <c r="J39" s="67" t="s">
        <v>175</v>
      </c>
    </row>
    <row r="40" spans="1:10" ht="72.599999999999994">
      <c r="A40" s="63">
        <f>ROW() - ROW(Table812[[#Headers],[S/N]])</f>
        <v>39</v>
      </c>
      <c r="B40" t="s">
        <v>238</v>
      </c>
      <c r="C40" t="s">
        <v>239</v>
      </c>
      <c r="D40" t="s">
        <v>240</v>
      </c>
      <c r="E40" s="9" t="s">
        <v>71</v>
      </c>
      <c r="F40" t="s">
        <v>33</v>
      </c>
      <c r="G40" t="s">
        <v>33</v>
      </c>
      <c r="H40" t="s">
        <v>33</v>
      </c>
      <c r="I40" t="s">
        <v>33</v>
      </c>
      <c r="J40" s="81" t="s">
        <v>218</v>
      </c>
    </row>
    <row r="41" spans="1:10" ht="188.45">
      <c r="A41" s="63">
        <f>ROW() - ROW(Table812[[#Headers],[S/N]])</f>
        <v>40</v>
      </c>
      <c r="B41" t="s">
        <v>241</v>
      </c>
      <c r="C41" t="s">
        <v>242</v>
      </c>
      <c r="D41" t="s">
        <v>211</v>
      </c>
      <c r="E41" s="65" t="s">
        <v>14</v>
      </c>
      <c r="F41" s="9" t="s">
        <v>15</v>
      </c>
      <c r="G41" s="9" t="s">
        <v>16</v>
      </c>
      <c r="H41" t="s">
        <v>33</v>
      </c>
      <c r="I41" t="s">
        <v>33</v>
      </c>
      <c r="J41" s="84" t="s">
        <v>243</v>
      </c>
    </row>
    <row r="42" spans="1:10" ht="72.599999999999994">
      <c r="A42" s="63">
        <f>ROW() - ROW(Table812[[#Headers],[S/N]])</f>
        <v>41</v>
      </c>
      <c r="B42" t="s">
        <v>244</v>
      </c>
      <c r="C42" t="s">
        <v>245</v>
      </c>
      <c r="D42" t="s">
        <v>240</v>
      </c>
      <c r="E42" s="65" t="s">
        <v>14</v>
      </c>
      <c r="F42" s="9" t="s">
        <v>15</v>
      </c>
      <c r="G42" s="9" t="s">
        <v>16</v>
      </c>
      <c r="J42" s="81" t="s">
        <v>218</v>
      </c>
    </row>
    <row r="43" spans="1:10" ht="72.599999999999994">
      <c r="A43" s="63">
        <f>ROW() - ROW(Table812[[#Headers],[S/N]])</f>
        <v>42</v>
      </c>
      <c r="B43" t="s">
        <v>246</v>
      </c>
      <c r="C43" t="s">
        <v>247</v>
      </c>
      <c r="D43" t="s">
        <v>211</v>
      </c>
      <c r="E43" s="65" t="s">
        <v>14</v>
      </c>
      <c r="F43" s="9" t="s">
        <v>15</v>
      </c>
      <c r="G43" s="9" t="s">
        <v>16</v>
      </c>
      <c r="H43" t="s">
        <v>18</v>
      </c>
      <c r="I43" s="9" t="s">
        <v>212</v>
      </c>
      <c r="J43" s="81" t="s">
        <v>218</v>
      </c>
    </row>
    <row r="44" spans="1:10" ht="72.599999999999994">
      <c r="A44" s="63">
        <f>ROW() - ROW(Table812[[#Headers],[S/N]])</f>
        <v>43</v>
      </c>
      <c r="B44" t="s">
        <v>248</v>
      </c>
      <c r="C44" t="s">
        <v>249</v>
      </c>
      <c r="D44" t="s">
        <v>240</v>
      </c>
      <c r="E44" s="65" t="s">
        <v>14</v>
      </c>
      <c r="F44" s="9" t="s">
        <v>15</v>
      </c>
      <c r="G44" s="9" t="s">
        <v>16</v>
      </c>
      <c r="H44" t="s">
        <v>18</v>
      </c>
      <c r="I44" s="9" t="s">
        <v>250</v>
      </c>
      <c r="J44" s="66" t="s">
        <v>19</v>
      </c>
    </row>
    <row r="45" spans="1:10" ht="72.599999999999994">
      <c r="A45" s="63">
        <f>ROW() - ROW(Table812[[#Headers],[S/N]])</f>
        <v>44</v>
      </c>
      <c r="B45" t="s">
        <v>251</v>
      </c>
      <c r="C45" t="s">
        <v>252</v>
      </c>
      <c r="D45" t="s">
        <v>186</v>
      </c>
      <c r="E45" s="65" t="s">
        <v>14</v>
      </c>
      <c r="F45" s="9" t="s">
        <v>15</v>
      </c>
      <c r="G45" t="s">
        <v>16</v>
      </c>
      <c r="H45" t="s">
        <v>18</v>
      </c>
      <c r="I45" s="9" t="s">
        <v>253</v>
      </c>
      <c r="J45" s="81" t="s">
        <v>218</v>
      </c>
    </row>
    <row r="46" spans="1:10" ht="72.599999999999994">
      <c r="A46" s="63">
        <f>ROW() - ROW(Table812[[#Headers],[S/N]])</f>
        <v>45</v>
      </c>
      <c r="B46" t="s">
        <v>254</v>
      </c>
      <c r="C46" t="s">
        <v>255</v>
      </c>
      <c r="D46" t="s">
        <v>240</v>
      </c>
      <c r="E46" s="65" t="s">
        <v>14</v>
      </c>
      <c r="F46" s="9" t="s">
        <v>15</v>
      </c>
      <c r="G46" t="s">
        <v>16</v>
      </c>
      <c r="H46" t="s">
        <v>18</v>
      </c>
      <c r="I46" s="9" t="s">
        <v>256</v>
      </c>
      <c r="J46" s="66" t="s">
        <v>19</v>
      </c>
    </row>
    <row r="47" spans="1:10">
      <c r="A47" s="63">
        <f>ROW() - ROW(Table812[[#Headers],[S/N]])</f>
        <v>46</v>
      </c>
      <c r="B47" t="s">
        <v>257</v>
      </c>
      <c r="C47" t="s">
        <v>258</v>
      </c>
      <c r="D47" t="s">
        <v>259</v>
      </c>
      <c r="E47" s="9" t="s">
        <v>71</v>
      </c>
      <c r="F47" t="s">
        <v>33</v>
      </c>
      <c r="G47" t="s">
        <v>33</v>
      </c>
      <c r="H47" t="s">
        <v>33</v>
      </c>
      <c r="I47" t="s">
        <v>33</v>
      </c>
      <c r="J47" s="66" t="s">
        <v>19</v>
      </c>
    </row>
    <row r="48" spans="1:10" ht="57.95">
      <c r="A48" s="63">
        <f>ROW() - ROW(Table812[[#Headers],[S/N]])</f>
        <v>47</v>
      </c>
      <c r="B48" t="s">
        <v>260</v>
      </c>
      <c r="C48" t="s">
        <v>261</v>
      </c>
      <c r="D48" t="s">
        <v>211</v>
      </c>
      <c r="E48" s="65" t="s">
        <v>14</v>
      </c>
      <c r="F48" s="9" t="s">
        <v>15</v>
      </c>
      <c r="G48" t="s">
        <v>16</v>
      </c>
      <c r="H48" t="s">
        <v>33</v>
      </c>
      <c r="I48" t="s">
        <v>33</v>
      </c>
      <c r="J48" s="66" t="s">
        <v>19</v>
      </c>
    </row>
    <row r="49" spans="1:10" ht="72.599999999999994">
      <c r="A49" s="63">
        <f>ROW() - ROW(Table812[[#Headers],[S/N]])</f>
        <v>48</v>
      </c>
      <c r="B49" t="s">
        <v>262</v>
      </c>
      <c r="C49" t="s">
        <v>263</v>
      </c>
      <c r="D49" t="s">
        <v>197</v>
      </c>
      <c r="E49" s="65" t="s">
        <v>14</v>
      </c>
      <c r="F49" s="9" t="s">
        <v>15</v>
      </c>
      <c r="G49" t="s">
        <v>16</v>
      </c>
      <c r="H49" s="65" t="s">
        <v>264</v>
      </c>
      <c r="I49" t="s">
        <v>18</v>
      </c>
      <c r="J49" s="66" t="s">
        <v>19</v>
      </c>
    </row>
    <row r="50" spans="1:10">
      <c r="A50" s="63">
        <f>ROW() - ROW(Table812[[#Headers],[S/N]])</f>
        <v>49</v>
      </c>
      <c r="B50" t="s">
        <v>265</v>
      </c>
      <c r="C50" t="s">
        <v>266</v>
      </c>
      <c r="D50" t="s">
        <v>211</v>
      </c>
      <c r="E50" s="9" t="s">
        <v>71</v>
      </c>
      <c r="F50" t="s">
        <v>33</v>
      </c>
      <c r="G50" t="s">
        <v>33</v>
      </c>
      <c r="H50" t="s">
        <v>33</v>
      </c>
      <c r="I50" t="s">
        <v>33</v>
      </c>
      <c r="J50" s="66" t="s">
        <v>19</v>
      </c>
    </row>
    <row r="51" spans="1:10" ht="72.599999999999994">
      <c r="A51" s="63">
        <f>ROW() - ROW(Table812[[#Headers],[S/N]])</f>
        <v>50</v>
      </c>
      <c r="B51" t="s">
        <v>267</v>
      </c>
      <c r="C51" t="s">
        <v>268</v>
      </c>
      <c r="D51" t="s">
        <v>240</v>
      </c>
      <c r="E51" s="65" t="s">
        <v>14</v>
      </c>
      <c r="F51" s="9" t="s">
        <v>15</v>
      </c>
      <c r="G51" t="s">
        <v>16</v>
      </c>
      <c r="H51" t="s">
        <v>18</v>
      </c>
      <c r="I51" s="9" t="s">
        <v>253</v>
      </c>
      <c r="J51" s="66" t="s">
        <v>19</v>
      </c>
    </row>
    <row r="52" spans="1:10" ht="72.599999999999994">
      <c r="A52" s="63">
        <f>ROW() - ROW(Table812[[#Headers],[S/N]])</f>
        <v>51</v>
      </c>
      <c r="B52" t="s">
        <v>269</v>
      </c>
      <c r="C52" t="s">
        <v>270</v>
      </c>
      <c r="D52" t="s">
        <v>240</v>
      </c>
      <c r="E52" s="65" t="s">
        <v>14</v>
      </c>
      <c r="F52" s="9" t="s">
        <v>15</v>
      </c>
      <c r="G52" t="s">
        <v>16</v>
      </c>
      <c r="H52" s="65" t="s">
        <v>271</v>
      </c>
      <c r="I52" t="s">
        <v>18</v>
      </c>
      <c r="J52" s="81" t="s">
        <v>218</v>
      </c>
    </row>
    <row r="53" spans="1:10" ht="72.599999999999994">
      <c r="A53" s="63">
        <f>ROW() - ROW(Table812[[#Headers],[S/N]])</f>
        <v>52</v>
      </c>
      <c r="B53" t="s">
        <v>272</v>
      </c>
      <c r="C53" t="s">
        <v>273</v>
      </c>
      <c r="D53" t="s">
        <v>240</v>
      </c>
      <c r="E53" s="65" t="s">
        <v>14</v>
      </c>
      <c r="F53" s="9" t="s">
        <v>15</v>
      </c>
      <c r="G53" t="s">
        <v>16</v>
      </c>
      <c r="H53" t="s">
        <v>33</v>
      </c>
      <c r="I53" t="s">
        <v>33</v>
      </c>
      <c r="J53" s="81" t="s">
        <v>218</v>
      </c>
    </row>
    <row r="54" spans="1:10" ht="72.599999999999994">
      <c r="A54" s="63">
        <f>ROW() - ROW(Table812[[#Headers],[S/N]])</f>
        <v>53</v>
      </c>
      <c r="B54" t="s">
        <v>274</v>
      </c>
      <c r="C54" t="s">
        <v>275</v>
      </c>
      <c r="D54" t="s">
        <v>197</v>
      </c>
      <c r="E54" s="65" t="s">
        <v>14</v>
      </c>
      <c r="F54" s="9" t="s">
        <v>15</v>
      </c>
      <c r="G54" t="s">
        <v>16</v>
      </c>
      <c r="H54" t="s">
        <v>18</v>
      </c>
      <c r="I54" s="9" t="s">
        <v>179</v>
      </c>
      <c r="J54" s="81" t="s">
        <v>276</v>
      </c>
    </row>
    <row r="55" spans="1:10" ht="72.599999999999994">
      <c r="A55" s="63">
        <f>ROW() - ROW(Table812[[#Headers],[S/N]])</f>
        <v>54</v>
      </c>
      <c r="B55" t="s">
        <v>277</v>
      </c>
      <c r="C55" t="s">
        <v>278</v>
      </c>
      <c r="D55" t="s">
        <v>197</v>
      </c>
      <c r="E55" s="65" t="s">
        <v>14</v>
      </c>
      <c r="F55" s="9" t="s">
        <v>15</v>
      </c>
      <c r="G55" t="s">
        <v>16</v>
      </c>
      <c r="H55" t="s">
        <v>18</v>
      </c>
      <c r="I55" s="9" t="s">
        <v>279</v>
      </c>
      <c r="J55" s="66" t="s">
        <v>19</v>
      </c>
    </row>
    <row r="56" spans="1:10">
      <c r="A56" s="63">
        <f>ROW() - ROW(Table812[[#Headers],[S/N]])</f>
        <v>55</v>
      </c>
      <c r="B56" t="s">
        <v>280</v>
      </c>
      <c r="C56" t="s">
        <v>281</v>
      </c>
      <c r="D56" t="s">
        <v>240</v>
      </c>
      <c r="E56" s="9" t="s">
        <v>71</v>
      </c>
      <c r="F56" t="s">
        <v>33</v>
      </c>
      <c r="G56" t="s">
        <v>33</v>
      </c>
      <c r="H56" t="s">
        <v>33</v>
      </c>
      <c r="I56" t="s">
        <v>33</v>
      </c>
      <c r="J56" s="66" t="s">
        <v>19</v>
      </c>
    </row>
    <row r="57" spans="1:10" ht="72.599999999999994">
      <c r="A57" s="63">
        <f>ROW() - ROW(Table812[[#Headers],[S/N]])</f>
        <v>56</v>
      </c>
      <c r="B57" t="s">
        <v>282</v>
      </c>
      <c r="C57" t="s">
        <v>283</v>
      </c>
      <c r="D57" t="s">
        <v>240</v>
      </c>
      <c r="E57" s="65" t="s">
        <v>14</v>
      </c>
      <c r="F57" s="9" t="s">
        <v>15</v>
      </c>
      <c r="G57" t="s">
        <v>16</v>
      </c>
      <c r="H57" t="s">
        <v>18</v>
      </c>
      <c r="I57" s="9" t="s">
        <v>202</v>
      </c>
      <c r="J57" s="66" t="s">
        <v>19</v>
      </c>
    </row>
    <row r="58" spans="1:10" ht="72.599999999999994">
      <c r="A58" s="63">
        <f>ROW() - ROW(Table812[[#Headers],[S/N]])</f>
        <v>57</v>
      </c>
      <c r="B58" t="s">
        <v>284</v>
      </c>
      <c r="C58" s="68" t="s">
        <v>285</v>
      </c>
      <c r="D58" t="s">
        <v>240</v>
      </c>
      <c r="E58" s="65" t="s">
        <v>14</v>
      </c>
      <c r="F58" s="9" t="s">
        <v>15</v>
      </c>
      <c r="G58" t="s">
        <v>16</v>
      </c>
      <c r="H58" t="s">
        <v>18</v>
      </c>
      <c r="I58" s="9" t="s">
        <v>253</v>
      </c>
      <c r="J58" s="66" t="s">
        <v>19</v>
      </c>
    </row>
    <row r="59" spans="1:10" ht="72.599999999999994">
      <c r="A59" s="63">
        <f>ROW() - ROW(Table812[[#Headers],[S/N]])</f>
        <v>58</v>
      </c>
      <c r="B59" t="s">
        <v>286</v>
      </c>
      <c r="C59" t="s">
        <v>287</v>
      </c>
      <c r="D59" t="s">
        <v>240</v>
      </c>
      <c r="E59" s="65" t="s">
        <v>14</v>
      </c>
      <c r="F59" s="9" t="s">
        <v>15</v>
      </c>
      <c r="G59" t="s">
        <v>16</v>
      </c>
      <c r="H59" t="s">
        <v>18</v>
      </c>
      <c r="I59" s="9" t="s">
        <v>250</v>
      </c>
      <c r="J59" s="81" t="s">
        <v>218</v>
      </c>
    </row>
    <row r="60" spans="1:10" ht="72.599999999999994">
      <c r="A60" s="63">
        <f>ROW() - ROW(Table812[[#Headers],[S/N]])</f>
        <v>59</v>
      </c>
      <c r="B60" t="s">
        <v>288</v>
      </c>
      <c r="C60" t="s">
        <v>289</v>
      </c>
      <c r="D60" t="s">
        <v>240</v>
      </c>
      <c r="E60" s="65" t="s">
        <v>14</v>
      </c>
      <c r="F60" s="9" t="s">
        <v>15</v>
      </c>
      <c r="G60" t="s">
        <v>16</v>
      </c>
      <c r="H60" t="s">
        <v>18</v>
      </c>
      <c r="I60" s="9" t="s">
        <v>250</v>
      </c>
      <c r="J60" s="81" t="s">
        <v>218</v>
      </c>
    </row>
    <row r="61" spans="1:10" ht="72.599999999999994">
      <c r="A61" s="63">
        <f>ROW() - ROW(Table812[[#Headers],[S/N]])</f>
        <v>60</v>
      </c>
      <c r="B61" t="s">
        <v>290</v>
      </c>
      <c r="C61" t="s">
        <v>291</v>
      </c>
      <c r="D61" t="s">
        <v>240</v>
      </c>
      <c r="E61" s="65" t="s">
        <v>14</v>
      </c>
      <c r="F61" s="9" t="s">
        <v>15</v>
      </c>
      <c r="G61" t="s">
        <v>16</v>
      </c>
      <c r="H61" t="s">
        <v>18</v>
      </c>
      <c r="I61" s="9" t="s">
        <v>202</v>
      </c>
      <c r="J61" s="66" t="s">
        <v>19</v>
      </c>
    </row>
    <row r="62" spans="1:10" ht="72.599999999999994">
      <c r="A62">
        <f>ROW() - ROW(Table812[[#Headers],[S/N]])</f>
        <v>61</v>
      </c>
      <c r="B62" t="s">
        <v>292</v>
      </c>
      <c r="C62" t="s">
        <v>293</v>
      </c>
      <c r="D62" t="s">
        <v>294</v>
      </c>
      <c r="E62" s="65" t="s">
        <v>14</v>
      </c>
      <c r="F62" s="9" t="s">
        <v>15</v>
      </c>
      <c r="G62" t="s">
        <v>16</v>
      </c>
      <c r="H62" t="s">
        <v>18</v>
      </c>
      <c r="I62" s="9" t="s">
        <v>295</v>
      </c>
      <c r="J62" s="66" t="s">
        <v>19</v>
      </c>
    </row>
    <row r="63" spans="1:10" ht="72.599999999999994">
      <c r="A63">
        <f>ROW() - ROW(Table812[[#Headers],[S/N]])</f>
        <v>62</v>
      </c>
      <c r="B63" t="s">
        <v>296</v>
      </c>
      <c r="C63" t="s">
        <v>297</v>
      </c>
      <c r="D63" t="s">
        <v>294</v>
      </c>
      <c r="E63" s="65" t="s">
        <v>14</v>
      </c>
      <c r="F63" s="9" t="s">
        <v>15</v>
      </c>
      <c r="G63" t="s">
        <v>16</v>
      </c>
      <c r="H63" t="s">
        <v>18</v>
      </c>
      <c r="I63" s="9" t="s">
        <v>298</v>
      </c>
      <c r="J63" s="66" t="s">
        <v>19</v>
      </c>
    </row>
    <row r="64" spans="1:10" ht="72.599999999999994">
      <c r="A64">
        <f>ROW() - ROW(Table812[[#Headers],[S/N]])</f>
        <v>63</v>
      </c>
      <c r="B64" t="s">
        <v>299</v>
      </c>
      <c r="C64" t="s">
        <v>300</v>
      </c>
      <c r="D64" t="s">
        <v>301</v>
      </c>
      <c r="E64" s="65" t="s">
        <v>14</v>
      </c>
      <c r="F64" s="9" t="s">
        <v>15</v>
      </c>
      <c r="G64" t="s">
        <v>16</v>
      </c>
      <c r="H64" t="s">
        <v>18</v>
      </c>
      <c r="I64" s="9" t="s">
        <v>279</v>
      </c>
      <c r="J64" s="66" t="s">
        <v>19</v>
      </c>
    </row>
    <row r="65" spans="1:10" ht="72.599999999999994">
      <c r="A65">
        <f>ROW() - ROW(Table812[[#Headers],[S/N]])</f>
        <v>64</v>
      </c>
      <c r="B65" t="s">
        <v>302</v>
      </c>
      <c r="C65" t="s">
        <v>303</v>
      </c>
      <c r="D65" t="s">
        <v>304</v>
      </c>
      <c r="E65" s="65" t="s">
        <v>14</v>
      </c>
      <c r="F65" s="9" t="s">
        <v>15</v>
      </c>
      <c r="G65" t="s">
        <v>16</v>
      </c>
      <c r="H65" t="s">
        <v>18</v>
      </c>
      <c r="I65" s="9" t="s">
        <v>295</v>
      </c>
      <c r="J65" s="66" t="s">
        <v>19</v>
      </c>
    </row>
    <row r="66" spans="1:10" ht="72.599999999999994">
      <c r="A66">
        <f>ROW() - ROW(Table812[[#Headers],[S/N]])</f>
        <v>65</v>
      </c>
      <c r="B66" t="s">
        <v>305</v>
      </c>
      <c r="C66" t="s">
        <v>306</v>
      </c>
      <c r="D66" t="s">
        <v>307</v>
      </c>
      <c r="E66" s="65" t="s">
        <v>14</v>
      </c>
      <c r="F66" s="9" t="s">
        <v>15</v>
      </c>
      <c r="G66" t="s">
        <v>16</v>
      </c>
      <c r="H66" t="s">
        <v>18</v>
      </c>
      <c r="I66" s="9" t="s">
        <v>308</v>
      </c>
      <c r="J66" s="66" t="s">
        <v>19</v>
      </c>
    </row>
    <row r="67" spans="1:10" ht="72.599999999999994">
      <c r="A67">
        <f>ROW() - ROW(Table812[[#Headers],[S/N]])</f>
        <v>66</v>
      </c>
      <c r="B67" t="s">
        <v>309</v>
      </c>
      <c r="C67" t="s">
        <v>310</v>
      </c>
      <c r="D67" t="s">
        <v>301</v>
      </c>
      <c r="E67" s="65" t="s">
        <v>14</v>
      </c>
      <c r="F67" s="9" t="s">
        <v>15</v>
      </c>
      <c r="G67" t="s">
        <v>16</v>
      </c>
      <c r="H67" t="s">
        <v>18</v>
      </c>
      <c r="I67" s="9" t="s">
        <v>311</v>
      </c>
      <c r="J67" s="66" t="s">
        <v>19</v>
      </c>
    </row>
    <row r="68" spans="1:10" ht="72.599999999999994">
      <c r="A68">
        <f>ROW() - ROW(Table812[[#Headers],[S/N]])</f>
        <v>67</v>
      </c>
      <c r="B68" t="s">
        <v>312</v>
      </c>
      <c r="C68" t="s">
        <v>313</v>
      </c>
      <c r="D68" t="s">
        <v>314</v>
      </c>
      <c r="E68" s="65" t="s">
        <v>14</v>
      </c>
      <c r="F68" s="9" t="s">
        <v>15</v>
      </c>
      <c r="G68" t="s">
        <v>16</v>
      </c>
      <c r="H68" t="s">
        <v>18</v>
      </c>
      <c r="I68" s="9" t="s">
        <v>311</v>
      </c>
      <c r="J68" s="66" t="s">
        <v>19</v>
      </c>
    </row>
    <row r="69" spans="1:10" ht="72.599999999999994">
      <c r="A69">
        <f>ROW() - ROW(Table812[[#Headers],[S/N]])</f>
        <v>68</v>
      </c>
      <c r="B69" t="s">
        <v>315</v>
      </c>
      <c r="C69" t="s">
        <v>316</v>
      </c>
      <c r="D69" t="s">
        <v>317</v>
      </c>
      <c r="E69" s="65" t="s">
        <v>14</v>
      </c>
      <c r="F69" s="9" t="s">
        <v>15</v>
      </c>
      <c r="G69" t="s">
        <v>16</v>
      </c>
      <c r="H69" t="s">
        <v>18</v>
      </c>
      <c r="I69" s="9" t="s">
        <v>311</v>
      </c>
      <c r="J69" s="66" t="s">
        <v>19</v>
      </c>
    </row>
    <row r="70" spans="1:10" ht="72.599999999999994">
      <c r="A70">
        <f>ROW() - ROW(Table812[[#Headers],[S/N]])</f>
        <v>69</v>
      </c>
      <c r="B70" t="s">
        <v>318</v>
      </c>
      <c r="C70" t="s">
        <v>319</v>
      </c>
      <c r="D70" t="s">
        <v>307</v>
      </c>
      <c r="E70" s="65" t="s">
        <v>14</v>
      </c>
      <c r="F70" s="9" t="s">
        <v>15</v>
      </c>
      <c r="G70" t="s">
        <v>16</v>
      </c>
      <c r="H70" t="s">
        <v>18</v>
      </c>
      <c r="I70" s="9" t="s">
        <v>320</v>
      </c>
      <c r="J70" s="66" t="s">
        <v>19</v>
      </c>
    </row>
    <row r="71" spans="1:10" ht="72.599999999999994">
      <c r="A71">
        <f>ROW() - ROW(Table812[[#Headers],[S/N]])</f>
        <v>70</v>
      </c>
      <c r="B71" t="s">
        <v>321</v>
      </c>
      <c r="C71" t="s">
        <v>322</v>
      </c>
      <c r="D71" t="s">
        <v>301</v>
      </c>
      <c r="E71" s="65" t="s">
        <v>14</v>
      </c>
      <c r="F71" s="9" t="s">
        <v>15</v>
      </c>
      <c r="G71" t="s">
        <v>16</v>
      </c>
      <c r="H71" t="s">
        <v>18</v>
      </c>
      <c r="I71" s="9" t="s">
        <v>279</v>
      </c>
      <c r="J71" s="66" t="s">
        <v>19</v>
      </c>
    </row>
    <row r="72" spans="1:10" ht="72.599999999999994">
      <c r="A72">
        <f>ROW() - ROW(Table812[[#Headers],[S/N]])</f>
        <v>71</v>
      </c>
      <c r="B72" t="s">
        <v>323</v>
      </c>
      <c r="C72" t="s">
        <v>324</v>
      </c>
      <c r="D72" t="s">
        <v>294</v>
      </c>
      <c r="E72" s="65" t="s">
        <v>14</v>
      </c>
      <c r="F72" s="9" t="s">
        <v>15</v>
      </c>
      <c r="G72" t="s">
        <v>16</v>
      </c>
      <c r="H72" t="s">
        <v>18</v>
      </c>
      <c r="I72" s="9" t="s">
        <v>295</v>
      </c>
      <c r="J72" s="66" t="s">
        <v>19</v>
      </c>
    </row>
    <row r="73" spans="1:10" ht="72.599999999999994">
      <c r="A73">
        <f>ROW() - ROW(Table812[[#Headers],[S/N]])</f>
        <v>72</v>
      </c>
      <c r="B73" t="s">
        <v>325</v>
      </c>
      <c r="C73" t="s">
        <v>326</v>
      </c>
      <c r="D73" t="s">
        <v>327</v>
      </c>
      <c r="E73" s="65" t="s">
        <v>14</v>
      </c>
      <c r="F73" s="9" t="s">
        <v>15</v>
      </c>
      <c r="G73" t="s">
        <v>16</v>
      </c>
      <c r="H73" t="s">
        <v>18</v>
      </c>
      <c r="I73" s="9" t="s">
        <v>328</v>
      </c>
      <c r="J73" s="81" t="s">
        <v>218</v>
      </c>
    </row>
    <row r="74" spans="1:10" ht="57.95">
      <c r="A74">
        <f>ROW() - ROW(Table812[[#Headers],[S/N]])</f>
        <v>73</v>
      </c>
      <c r="B74" t="s">
        <v>329</v>
      </c>
      <c r="C74" s="68" t="s">
        <v>330</v>
      </c>
      <c r="D74" t="s">
        <v>327</v>
      </c>
      <c r="E74" s="65" t="s">
        <v>14</v>
      </c>
      <c r="F74" s="9" t="s">
        <v>15</v>
      </c>
      <c r="G74" t="s">
        <v>16</v>
      </c>
      <c r="H74" t="s">
        <v>33</v>
      </c>
      <c r="I74" t="s">
        <v>33</v>
      </c>
      <c r="J74" s="67" t="s">
        <v>175</v>
      </c>
    </row>
    <row r="75" spans="1:10" ht="72.599999999999994">
      <c r="A75">
        <f>ROW() - ROW(Table812[[#Headers],[S/N]])</f>
        <v>74</v>
      </c>
      <c r="B75" t="s">
        <v>331</v>
      </c>
      <c r="C75" t="s">
        <v>332</v>
      </c>
      <c r="D75" t="s">
        <v>317</v>
      </c>
      <c r="E75" s="65" t="s">
        <v>14</v>
      </c>
      <c r="F75" s="9" t="s">
        <v>15</v>
      </c>
      <c r="G75" t="s">
        <v>16</v>
      </c>
      <c r="H75" t="s">
        <v>18</v>
      </c>
      <c r="I75" s="9" t="s">
        <v>311</v>
      </c>
      <c r="J75" s="66" t="s">
        <v>19</v>
      </c>
    </row>
    <row r="76" spans="1:10" ht="72.599999999999994">
      <c r="A76">
        <f>ROW() - ROW(Table812[[#Headers],[S/N]])</f>
        <v>75</v>
      </c>
      <c r="B76" t="s">
        <v>333</v>
      </c>
      <c r="C76" t="s">
        <v>334</v>
      </c>
      <c r="D76" t="s">
        <v>317</v>
      </c>
      <c r="E76" s="65" t="s">
        <v>14</v>
      </c>
      <c r="F76" s="9" t="s">
        <v>15</v>
      </c>
      <c r="G76" t="s">
        <v>16</v>
      </c>
      <c r="H76" t="s">
        <v>18</v>
      </c>
      <c r="I76" s="9" t="s">
        <v>311</v>
      </c>
      <c r="J76" s="66" t="s">
        <v>19</v>
      </c>
    </row>
    <row r="77" spans="1:10" ht="72.599999999999994">
      <c r="A77">
        <f>ROW() - ROW(Table812[[#Headers],[S/N]])</f>
        <v>76</v>
      </c>
      <c r="B77" t="s">
        <v>335</v>
      </c>
      <c r="C77" t="s">
        <v>336</v>
      </c>
      <c r="D77" t="s">
        <v>314</v>
      </c>
      <c r="E77" s="65" t="s">
        <v>14</v>
      </c>
      <c r="F77" s="9" t="s">
        <v>15</v>
      </c>
      <c r="G77" t="s">
        <v>16</v>
      </c>
      <c r="H77" t="s">
        <v>18</v>
      </c>
      <c r="I77" s="9" t="s">
        <v>328</v>
      </c>
      <c r="J77" s="66" t="s">
        <v>19</v>
      </c>
    </row>
    <row r="78" spans="1:10" ht="72.599999999999994">
      <c r="A78">
        <f>ROW() - ROW(Table812[[#Headers],[S/N]])</f>
        <v>77</v>
      </c>
      <c r="B78" t="s">
        <v>337</v>
      </c>
      <c r="C78" t="s">
        <v>338</v>
      </c>
      <c r="D78" t="s">
        <v>317</v>
      </c>
      <c r="E78" s="65" t="s">
        <v>14</v>
      </c>
      <c r="F78" s="9" t="s">
        <v>15</v>
      </c>
      <c r="G78" t="s">
        <v>16</v>
      </c>
      <c r="H78" t="s">
        <v>18</v>
      </c>
      <c r="I78" s="9" t="s">
        <v>311</v>
      </c>
      <c r="J78" s="66" t="s">
        <v>19</v>
      </c>
    </row>
    <row r="79" spans="1:10" ht="101.45">
      <c r="A79">
        <f>ROW() - ROW(Table812[[#Headers],[S/N]])</f>
        <v>78</v>
      </c>
      <c r="B79" s="69" t="s">
        <v>339</v>
      </c>
      <c r="C79" s="69" t="s">
        <v>340</v>
      </c>
      <c r="D79" s="69" t="s">
        <v>314</v>
      </c>
      <c r="E79" s="69" t="s">
        <v>14</v>
      </c>
      <c r="F79" s="69" t="s">
        <v>341</v>
      </c>
      <c r="G79" s="69" t="s">
        <v>342</v>
      </c>
      <c r="H79" s="69" t="s">
        <v>18</v>
      </c>
      <c r="I79" s="69" t="s">
        <v>343</v>
      </c>
      <c r="J79" s="70" t="s">
        <v>19</v>
      </c>
    </row>
    <row r="80" spans="1:10" ht="101.45">
      <c r="A80">
        <f>ROW() - ROW(Table812[[#Headers],[S/N]])</f>
        <v>79</v>
      </c>
      <c r="B80" s="71" t="s">
        <v>344</v>
      </c>
      <c r="C80" s="71" t="s">
        <v>345</v>
      </c>
      <c r="D80" s="71" t="s">
        <v>307</v>
      </c>
      <c r="E80" s="71" t="s">
        <v>14</v>
      </c>
      <c r="F80" s="71" t="s">
        <v>341</v>
      </c>
      <c r="G80" s="71" t="s">
        <v>342</v>
      </c>
      <c r="H80" s="72" t="s">
        <v>18</v>
      </c>
      <c r="I80" s="71" t="s">
        <v>346</v>
      </c>
      <c r="J80" s="72" t="s">
        <v>19</v>
      </c>
    </row>
    <row r="81" spans="1:10" ht="101.45">
      <c r="A81">
        <f>ROW() - ROW(Table812[[#Headers],[S/N]])</f>
        <v>80</v>
      </c>
      <c r="B81" s="69" t="s">
        <v>347</v>
      </c>
      <c r="C81" s="69" t="s">
        <v>348</v>
      </c>
      <c r="D81" s="69" t="s">
        <v>307</v>
      </c>
      <c r="E81" s="69" t="s">
        <v>14</v>
      </c>
      <c r="F81" s="69" t="s">
        <v>341</v>
      </c>
      <c r="G81" s="69" t="s">
        <v>342</v>
      </c>
      <c r="H81" s="69" t="s">
        <v>18</v>
      </c>
      <c r="I81" s="69" t="s">
        <v>346</v>
      </c>
      <c r="J81" s="69" t="s">
        <v>19</v>
      </c>
    </row>
    <row r="82" spans="1:10" ht="101.45">
      <c r="A82">
        <f>ROW() - ROW(Table812[[#Headers],[S/N]])</f>
        <v>81</v>
      </c>
      <c r="B82" s="71" t="s">
        <v>349</v>
      </c>
      <c r="C82" s="71" t="s">
        <v>350</v>
      </c>
      <c r="D82" s="71" t="s">
        <v>307</v>
      </c>
      <c r="E82" s="71" t="s">
        <v>14</v>
      </c>
      <c r="F82" s="71" t="s">
        <v>341</v>
      </c>
      <c r="G82" s="71" t="s">
        <v>342</v>
      </c>
      <c r="H82" s="71" t="s">
        <v>18</v>
      </c>
      <c r="I82" s="71" t="s">
        <v>343</v>
      </c>
      <c r="J82" s="71" t="s">
        <v>19</v>
      </c>
    </row>
    <row r="83" spans="1:10" ht="101.45">
      <c r="A83">
        <f>ROW() - ROW(Table812[[#Headers],[S/N]])</f>
        <v>82</v>
      </c>
      <c r="B83" s="69" t="s">
        <v>351</v>
      </c>
      <c r="C83" s="69" t="s">
        <v>352</v>
      </c>
      <c r="D83" s="69" t="s">
        <v>294</v>
      </c>
      <c r="E83" s="69" t="s">
        <v>353</v>
      </c>
      <c r="F83" s="69" t="s">
        <v>341</v>
      </c>
      <c r="G83" s="69" t="s">
        <v>342</v>
      </c>
      <c r="H83" s="69" t="s">
        <v>18</v>
      </c>
      <c r="I83" s="69" t="s">
        <v>18</v>
      </c>
      <c r="J83" s="70" t="s">
        <v>19</v>
      </c>
    </row>
    <row r="84" spans="1:10" ht="101.45">
      <c r="A84">
        <f>ROW() - ROW(Table812[[#Headers],[S/N]])</f>
        <v>83</v>
      </c>
      <c r="B84" s="71" t="s">
        <v>354</v>
      </c>
      <c r="C84" s="71" t="s">
        <v>355</v>
      </c>
      <c r="D84" s="71" t="s">
        <v>314</v>
      </c>
      <c r="E84" s="71" t="s">
        <v>14</v>
      </c>
      <c r="F84" s="71" t="s">
        <v>341</v>
      </c>
      <c r="G84" s="71" t="s">
        <v>342</v>
      </c>
      <c r="H84" s="71" t="s">
        <v>18</v>
      </c>
      <c r="I84" s="71" t="s">
        <v>343</v>
      </c>
      <c r="J84" s="72" t="s">
        <v>19</v>
      </c>
    </row>
    <row r="85" spans="1:10" ht="101.45">
      <c r="A85">
        <f>ROW() - ROW(Table812[[#Headers],[S/N]])</f>
        <v>84</v>
      </c>
      <c r="B85" s="69" t="s">
        <v>356</v>
      </c>
      <c r="C85" s="69" t="s">
        <v>357</v>
      </c>
      <c r="D85" s="69" t="s">
        <v>301</v>
      </c>
      <c r="E85" s="69" t="s">
        <v>14</v>
      </c>
      <c r="F85" s="69" t="s">
        <v>341</v>
      </c>
      <c r="G85" s="69" t="s">
        <v>342</v>
      </c>
      <c r="H85" s="69" t="s">
        <v>18</v>
      </c>
      <c r="I85" s="69" t="s">
        <v>358</v>
      </c>
      <c r="J85" s="70" t="s">
        <v>19</v>
      </c>
    </row>
    <row r="86" spans="1:10" ht="101.45">
      <c r="A86">
        <f>ROW() - ROW(Table812[[#Headers],[S/N]])</f>
        <v>85</v>
      </c>
      <c r="B86" s="71" t="s">
        <v>359</v>
      </c>
      <c r="C86" s="71" t="s">
        <v>360</v>
      </c>
      <c r="D86" s="71" t="s">
        <v>301</v>
      </c>
      <c r="E86" s="71" t="s">
        <v>14</v>
      </c>
      <c r="F86" s="71" t="s">
        <v>341</v>
      </c>
      <c r="G86" s="71" t="s">
        <v>342</v>
      </c>
      <c r="H86" s="71" t="s">
        <v>18</v>
      </c>
      <c r="I86" s="71" t="s">
        <v>361</v>
      </c>
      <c r="J86" s="72" t="s">
        <v>19</v>
      </c>
    </row>
    <row r="87" spans="1:10" ht="101.45">
      <c r="A87">
        <f>ROW() - ROW(Table812[[#Headers],[S/N]])</f>
        <v>86</v>
      </c>
      <c r="B87" s="69" t="s">
        <v>362</v>
      </c>
      <c r="C87" s="69" t="s">
        <v>363</v>
      </c>
      <c r="D87" s="69" t="s">
        <v>301</v>
      </c>
      <c r="E87" s="69" t="s">
        <v>14</v>
      </c>
      <c r="F87" s="69" t="s">
        <v>341</v>
      </c>
      <c r="G87" s="69" t="s">
        <v>342</v>
      </c>
      <c r="H87" s="69" t="s">
        <v>18</v>
      </c>
      <c r="I87" s="69" t="s">
        <v>361</v>
      </c>
      <c r="J87" s="70" t="s">
        <v>364</v>
      </c>
    </row>
    <row r="88" spans="1:10" ht="101.45">
      <c r="A88">
        <f>ROW() - ROW(Table812[[#Headers],[S/N]])</f>
        <v>87</v>
      </c>
      <c r="B88" s="71" t="s">
        <v>365</v>
      </c>
      <c r="C88" s="71" t="s">
        <v>366</v>
      </c>
      <c r="D88" s="71" t="s">
        <v>314</v>
      </c>
      <c r="E88" s="71" t="s">
        <v>14</v>
      </c>
      <c r="F88" s="71" t="s">
        <v>341</v>
      </c>
      <c r="G88" s="71" t="s">
        <v>342</v>
      </c>
      <c r="H88" s="71" t="s">
        <v>18</v>
      </c>
      <c r="I88" s="71" t="s">
        <v>343</v>
      </c>
      <c r="J88" s="72" t="s">
        <v>19</v>
      </c>
    </row>
    <row r="89" spans="1:10" ht="101.45">
      <c r="A89">
        <f>ROW() - ROW(Table812[[#Headers],[S/N]])</f>
        <v>88</v>
      </c>
      <c r="B89" s="69" t="s">
        <v>367</v>
      </c>
      <c r="C89" s="69" t="s">
        <v>368</v>
      </c>
      <c r="D89" s="69" t="s">
        <v>314</v>
      </c>
      <c r="E89" s="69" t="s">
        <v>14</v>
      </c>
      <c r="F89" s="69" t="s">
        <v>341</v>
      </c>
      <c r="G89" s="69" t="s">
        <v>342</v>
      </c>
      <c r="H89" s="69" t="s">
        <v>18</v>
      </c>
      <c r="I89" s="69" t="s">
        <v>369</v>
      </c>
      <c r="J89" s="70" t="s">
        <v>19</v>
      </c>
    </row>
    <row r="90" spans="1:10" ht="101.45">
      <c r="A90">
        <f>ROW() - ROW(Table812[[#Headers],[S/N]])</f>
        <v>89</v>
      </c>
      <c r="B90" s="71" t="s">
        <v>370</v>
      </c>
      <c r="C90" s="71" t="s">
        <v>371</v>
      </c>
      <c r="D90" s="71" t="s">
        <v>304</v>
      </c>
      <c r="E90" s="71" t="s">
        <v>14</v>
      </c>
      <c r="F90" s="71" t="s">
        <v>341</v>
      </c>
      <c r="G90" s="71" t="s">
        <v>342</v>
      </c>
      <c r="H90" s="71" t="s">
        <v>372</v>
      </c>
      <c r="I90" s="71" t="s">
        <v>18</v>
      </c>
      <c r="J90" s="72" t="s">
        <v>19</v>
      </c>
    </row>
    <row r="91" spans="1:10" ht="101.45">
      <c r="A91">
        <f>ROW() - ROW(Table812[[#Headers],[S/N]])</f>
        <v>90</v>
      </c>
      <c r="B91" s="69" t="s">
        <v>373</v>
      </c>
      <c r="C91" s="69" t="s">
        <v>374</v>
      </c>
      <c r="D91" s="69" t="s">
        <v>327</v>
      </c>
      <c r="E91" s="69" t="s">
        <v>14</v>
      </c>
      <c r="F91" s="69" t="s">
        <v>341</v>
      </c>
      <c r="G91" s="69" t="s">
        <v>342</v>
      </c>
      <c r="H91" s="69" t="s">
        <v>18</v>
      </c>
      <c r="I91" s="69" t="s">
        <v>346</v>
      </c>
      <c r="J91" s="70" t="s">
        <v>19</v>
      </c>
    </row>
    <row r="92" spans="1:10" ht="101.45">
      <c r="A92">
        <f>ROW() - ROW(Table812[[#Headers],[S/N]])</f>
        <v>91</v>
      </c>
      <c r="B92" s="71" t="s">
        <v>375</v>
      </c>
      <c r="C92" s="71" t="s">
        <v>376</v>
      </c>
      <c r="D92" s="71" t="s">
        <v>307</v>
      </c>
      <c r="E92" s="71" t="s">
        <v>14</v>
      </c>
      <c r="F92" s="71" t="s">
        <v>341</v>
      </c>
      <c r="G92" s="71" t="s">
        <v>342</v>
      </c>
      <c r="H92" s="71" t="s">
        <v>18</v>
      </c>
      <c r="I92" s="71" t="s">
        <v>346</v>
      </c>
      <c r="J92" s="72" t="s">
        <v>19</v>
      </c>
    </row>
    <row r="93" spans="1:10" ht="101.45">
      <c r="A93">
        <f>ROW() - ROW(Table812[[#Headers],[S/N]])</f>
        <v>92</v>
      </c>
      <c r="B93" s="69" t="s">
        <v>377</v>
      </c>
      <c r="C93" s="69" t="s">
        <v>378</v>
      </c>
      <c r="D93" s="69" t="s">
        <v>314</v>
      </c>
      <c r="E93" s="69" t="s">
        <v>14</v>
      </c>
      <c r="F93" s="69" t="s">
        <v>341</v>
      </c>
      <c r="G93" s="69" t="s">
        <v>342</v>
      </c>
      <c r="H93" s="69" t="s">
        <v>18</v>
      </c>
      <c r="I93" s="69" t="s">
        <v>343</v>
      </c>
      <c r="J93" s="70" t="s">
        <v>19</v>
      </c>
    </row>
    <row r="94" spans="1:10" ht="101.45">
      <c r="A94">
        <f>ROW() - ROW(Table812[[#Headers],[S/N]])</f>
        <v>93</v>
      </c>
      <c r="B94" s="71" t="s">
        <v>379</v>
      </c>
      <c r="C94" s="71" t="s">
        <v>380</v>
      </c>
      <c r="D94" s="71" t="s">
        <v>307</v>
      </c>
      <c r="E94" s="71" t="s">
        <v>14</v>
      </c>
      <c r="F94" s="71" t="s">
        <v>341</v>
      </c>
      <c r="G94" s="71" t="s">
        <v>342</v>
      </c>
      <c r="H94" s="71" t="s">
        <v>18</v>
      </c>
      <c r="I94" s="71" t="s">
        <v>346</v>
      </c>
      <c r="J94" s="72" t="s">
        <v>19</v>
      </c>
    </row>
    <row r="95" spans="1:10" ht="101.45">
      <c r="A95">
        <f>ROW() - ROW(Table812[[#Headers],[S/N]])</f>
        <v>94</v>
      </c>
      <c r="B95" s="69" t="s">
        <v>381</v>
      </c>
      <c r="C95" s="69" t="s">
        <v>382</v>
      </c>
      <c r="D95" s="69" t="s">
        <v>301</v>
      </c>
      <c r="E95" s="69" t="s">
        <v>14</v>
      </c>
      <c r="F95" s="69" t="s">
        <v>341</v>
      </c>
      <c r="G95" s="69" t="s">
        <v>342</v>
      </c>
      <c r="H95" s="69" t="s">
        <v>18</v>
      </c>
      <c r="I95" s="69" t="s">
        <v>18</v>
      </c>
      <c r="J95" s="69" t="s">
        <v>383</v>
      </c>
    </row>
    <row r="96" spans="1:10" ht="101.45">
      <c r="A96">
        <f>ROW() - ROW(Table812[[#Headers],[S/N]])</f>
        <v>95</v>
      </c>
      <c r="B96" s="71" t="s">
        <v>384</v>
      </c>
      <c r="C96" s="71" t="s">
        <v>385</v>
      </c>
      <c r="D96" s="71" t="s">
        <v>317</v>
      </c>
      <c r="E96" s="71" t="s">
        <v>14</v>
      </c>
      <c r="F96" s="71" t="s">
        <v>341</v>
      </c>
      <c r="G96" s="71" t="s">
        <v>342</v>
      </c>
      <c r="H96" s="71" t="s">
        <v>18</v>
      </c>
      <c r="I96" s="71" t="s">
        <v>386</v>
      </c>
      <c r="J96" s="72" t="s">
        <v>19</v>
      </c>
    </row>
    <row r="97" spans="1:10" ht="101.45">
      <c r="A97">
        <f>ROW() - ROW(Table812[[#Headers],[S/N]])</f>
        <v>96</v>
      </c>
      <c r="B97" s="69" t="s">
        <v>387</v>
      </c>
      <c r="C97" s="69" t="s">
        <v>388</v>
      </c>
      <c r="D97" s="69" t="s">
        <v>294</v>
      </c>
      <c r="E97" s="69" t="s">
        <v>14</v>
      </c>
      <c r="F97" s="69" t="s">
        <v>341</v>
      </c>
      <c r="G97" s="69" t="s">
        <v>342</v>
      </c>
      <c r="H97" s="69" t="s">
        <v>389</v>
      </c>
      <c r="I97" s="69" t="s">
        <v>18</v>
      </c>
      <c r="J97" s="70" t="s">
        <v>19</v>
      </c>
    </row>
    <row r="98" spans="1:10" ht="101.45">
      <c r="A98">
        <f>ROW() - ROW(Table812[[#Headers],[S/N]])</f>
        <v>97</v>
      </c>
      <c r="B98" s="71" t="s">
        <v>390</v>
      </c>
      <c r="C98" s="71" t="s">
        <v>391</v>
      </c>
      <c r="D98" s="71" t="s">
        <v>314</v>
      </c>
      <c r="E98" s="71" t="s">
        <v>14</v>
      </c>
      <c r="F98" s="71" t="s">
        <v>341</v>
      </c>
      <c r="G98" s="71" t="s">
        <v>342</v>
      </c>
      <c r="H98" s="71" t="s">
        <v>18</v>
      </c>
      <c r="I98" s="71" t="s">
        <v>358</v>
      </c>
      <c r="J98" s="72" t="s">
        <v>19</v>
      </c>
    </row>
    <row r="99" spans="1:10" ht="101.45">
      <c r="A99">
        <f>ROW() - ROW(Table812[[#Headers],[S/N]])</f>
        <v>98</v>
      </c>
      <c r="B99" s="69" t="s">
        <v>392</v>
      </c>
      <c r="C99" s="69" t="s">
        <v>393</v>
      </c>
      <c r="D99" s="69" t="s">
        <v>327</v>
      </c>
      <c r="E99" s="69" t="s">
        <v>14</v>
      </c>
      <c r="F99" s="69" t="s">
        <v>341</v>
      </c>
      <c r="G99" s="69" t="s">
        <v>342</v>
      </c>
      <c r="H99" s="69" t="s">
        <v>18</v>
      </c>
      <c r="I99" s="69" t="s">
        <v>18</v>
      </c>
      <c r="J99" s="83" t="s">
        <v>218</v>
      </c>
    </row>
    <row r="100" spans="1:10" ht="101.45">
      <c r="A100">
        <f>ROW() - ROW(Table812[[#Headers],[S/N]])</f>
        <v>99</v>
      </c>
      <c r="B100" s="71" t="s">
        <v>394</v>
      </c>
      <c r="C100" s="71" t="s">
        <v>395</v>
      </c>
      <c r="D100" s="71" t="s">
        <v>327</v>
      </c>
      <c r="E100" s="71" t="s">
        <v>14</v>
      </c>
      <c r="F100" s="71" t="s">
        <v>341</v>
      </c>
      <c r="G100" s="71" t="s">
        <v>342</v>
      </c>
      <c r="H100" s="71" t="s">
        <v>18</v>
      </c>
      <c r="I100" s="71" t="s">
        <v>346</v>
      </c>
      <c r="J100" s="81" t="s">
        <v>218</v>
      </c>
    </row>
    <row r="101" spans="1:10" ht="101.45">
      <c r="A101">
        <f>ROW() - ROW(Table812[[#Headers],[S/N]])</f>
        <v>100</v>
      </c>
      <c r="B101" s="69" t="s">
        <v>396</v>
      </c>
      <c r="C101" s="69" t="s">
        <v>397</v>
      </c>
      <c r="D101" s="69" t="s">
        <v>327</v>
      </c>
      <c r="E101" s="69" t="s">
        <v>14</v>
      </c>
      <c r="F101" s="69" t="s">
        <v>341</v>
      </c>
      <c r="G101" s="69" t="s">
        <v>342</v>
      </c>
      <c r="H101" s="69" t="s">
        <v>18</v>
      </c>
      <c r="I101" s="69" t="s">
        <v>346</v>
      </c>
      <c r="J101" s="70" t="s">
        <v>19</v>
      </c>
    </row>
    <row r="102" spans="1:10" ht="101.45">
      <c r="A102">
        <f>ROW() - ROW(Table812[[#Headers],[S/N]])</f>
        <v>101</v>
      </c>
      <c r="B102" s="71" t="s">
        <v>398</v>
      </c>
      <c r="C102" s="71" t="s">
        <v>399</v>
      </c>
      <c r="D102" s="71"/>
      <c r="E102" s="71" t="s">
        <v>14</v>
      </c>
      <c r="F102" s="71" t="s">
        <v>341</v>
      </c>
      <c r="G102" s="71" t="s">
        <v>342</v>
      </c>
      <c r="H102" s="71" t="s">
        <v>18</v>
      </c>
      <c r="I102" s="71" t="s">
        <v>346</v>
      </c>
      <c r="J102" s="72" t="s">
        <v>19</v>
      </c>
    </row>
    <row r="103" spans="1:10" ht="101.45">
      <c r="A103">
        <f>ROW() - ROW(Table812[[#Headers],[S/N]])</f>
        <v>102</v>
      </c>
      <c r="B103" s="69" t="s">
        <v>400</v>
      </c>
      <c r="C103" s="69" t="s">
        <v>401</v>
      </c>
      <c r="D103" s="69" t="s">
        <v>301</v>
      </c>
      <c r="E103" s="69" t="s">
        <v>14</v>
      </c>
      <c r="F103" s="69" t="s">
        <v>341</v>
      </c>
      <c r="G103" s="69" t="s">
        <v>342</v>
      </c>
      <c r="H103" s="69" t="s">
        <v>18</v>
      </c>
      <c r="I103" s="69" t="s">
        <v>343</v>
      </c>
      <c r="J103" s="70" t="s">
        <v>19</v>
      </c>
    </row>
    <row r="104" spans="1:10" ht="101.45">
      <c r="A104">
        <f>ROW() - ROW(Table812[[#Headers],[S/N]])</f>
        <v>103</v>
      </c>
      <c r="B104" s="73" t="s">
        <v>402</v>
      </c>
      <c r="C104" s="73" t="s">
        <v>403</v>
      </c>
      <c r="D104" s="73" t="s">
        <v>404</v>
      </c>
      <c r="E104" s="73" t="s">
        <v>14</v>
      </c>
      <c r="F104" s="73" t="s">
        <v>341</v>
      </c>
      <c r="G104" s="73" t="s">
        <v>342</v>
      </c>
      <c r="H104" s="73" t="s">
        <v>18</v>
      </c>
      <c r="I104" s="73" t="s">
        <v>405</v>
      </c>
      <c r="J104" s="74" t="s">
        <v>19</v>
      </c>
    </row>
    <row r="105" spans="1:10" ht="144.94999999999999">
      <c r="A105">
        <f>ROW() - ROW(Table812[[#Headers],[S/N]])</f>
        <v>104</v>
      </c>
      <c r="B105" s="69" t="s">
        <v>406</v>
      </c>
      <c r="C105" s="69" t="s">
        <v>407</v>
      </c>
      <c r="D105" s="69" t="s">
        <v>408</v>
      </c>
      <c r="E105" s="69" t="s">
        <v>14</v>
      </c>
      <c r="F105" s="69" t="s">
        <v>409</v>
      </c>
      <c r="G105" s="69" t="s">
        <v>342</v>
      </c>
      <c r="H105" s="69" t="s">
        <v>18</v>
      </c>
      <c r="I105" s="69" t="s">
        <v>18</v>
      </c>
      <c r="J105" s="70" t="s">
        <v>364</v>
      </c>
    </row>
    <row r="106" spans="1:10" ht="101.45">
      <c r="A106">
        <f>ROW() - ROW(Table812[[#Headers],[S/N]])</f>
        <v>105</v>
      </c>
      <c r="B106" s="71" t="s">
        <v>410</v>
      </c>
      <c r="C106" s="71" t="s">
        <v>411</v>
      </c>
      <c r="D106" s="71" t="s">
        <v>412</v>
      </c>
      <c r="E106" s="71" t="s">
        <v>14</v>
      </c>
      <c r="F106" s="71" t="s">
        <v>413</v>
      </c>
      <c r="G106" s="71" t="s">
        <v>342</v>
      </c>
      <c r="H106" s="72" t="s">
        <v>18</v>
      </c>
      <c r="I106" s="71" t="s">
        <v>414</v>
      </c>
      <c r="J106" s="72" t="s">
        <v>19</v>
      </c>
    </row>
    <row r="107" spans="1:10" ht="101.45">
      <c r="A107">
        <f>ROW() - ROW(Table812[[#Headers],[S/N]])</f>
        <v>106</v>
      </c>
      <c r="B107" s="69" t="s">
        <v>415</v>
      </c>
      <c r="C107" s="69" t="s">
        <v>416</v>
      </c>
      <c r="D107" s="69" t="s">
        <v>417</v>
      </c>
      <c r="E107" s="69" t="s">
        <v>14</v>
      </c>
      <c r="F107" s="69" t="s">
        <v>413</v>
      </c>
      <c r="G107" s="69" t="s">
        <v>342</v>
      </c>
      <c r="H107" s="69" t="s">
        <v>18</v>
      </c>
      <c r="I107" s="69" t="s">
        <v>418</v>
      </c>
      <c r="J107" s="69" t="s">
        <v>19</v>
      </c>
    </row>
    <row r="108" spans="1:10" ht="101.45">
      <c r="A108">
        <f>ROW() - ROW(Table812[[#Headers],[S/N]])</f>
        <v>107</v>
      </c>
      <c r="B108" s="71" t="s">
        <v>419</v>
      </c>
      <c r="C108" s="71" t="s">
        <v>420</v>
      </c>
      <c r="D108" s="71" t="s">
        <v>417</v>
      </c>
      <c r="E108" s="71" t="s">
        <v>14</v>
      </c>
      <c r="F108" s="71" t="s">
        <v>413</v>
      </c>
      <c r="G108" s="71" t="s">
        <v>342</v>
      </c>
      <c r="H108" s="71" t="s">
        <v>18</v>
      </c>
      <c r="I108" s="71" t="s">
        <v>418</v>
      </c>
      <c r="J108" s="71" t="s">
        <v>19</v>
      </c>
    </row>
    <row r="109" spans="1:10" ht="101.45">
      <c r="A109">
        <f>ROW() - ROW(Table812[[#Headers],[S/N]])</f>
        <v>108</v>
      </c>
      <c r="B109" s="69" t="s">
        <v>421</v>
      </c>
      <c r="C109" s="69" t="s">
        <v>422</v>
      </c>
      <c r="D109" s="69" t="s">
        <v>412</v>
      </c>
      <c r="E109" s="69" t="s">
        <v>14</v>
      </c>
      <c r="F109" s="69" t="s">
        <v>413</v>
      </c>
      <c r="G109" s="69" t="s">
        <v>342</v>
      </c>
      <c r="H109" s="69" t="s">
        <v>18</v>
      </c>
      <c r="I109" s="69" t="s">
        <v>414</v>
      </c>
      <c r="J109" s="70" t="s">
        <v>19</v>
      </c>
    </row>
    <row r="110" spans="1:10" ht="101.45">
      <c r="A110">
        <f>ROW() - ROW(Table812[[#Headers],[S/N]])</f>
        <v>109</v>
      </c>
      <c r="B110" s="71" t="s">
        <v>423</v>
      </c>
      <c r="C110" s="71" t="s">
        <v>416</v>
      </c>
      <c r="D110" s="71" t="s">
        <v>417</v>
      </c>
      <c r="E110" s="71" t="s">
        <v>14</v>
      </c>
      <c r="F110" s="71" t="s">
        <v>413</v>
      </c>
      <c r="G110" s="71" t="s">
        <v>342</v>
      </c>
      <c r="H110" s="71" t="s">
        <v>18</v>
      </c>
      <c r="I110" s="71" t="s">
        <v>424</v>
      </c>
      <c r="J110" s="72" t="s">
        <v>19</v>
      </c>
    </row>
    <row r="111" spans="1:10" ht="101.45">
      <c r="A111">
        <f>ROW() - ROW(Table812[[#Headers],[S/N]])</f>
        <v>110</v>
      </c>
      <c r="B111" s="69" t="s">
        <v>425</v>
      </c>
      <c r="C111" s="69" t="s">
        <v>426</v>
      </c>
      <c r="D111" s="69" t="s">
        <v>412</v>
      </c>
      <c r="E111" s="69" t="s">
        <v>14</v>
      </c>
      <c r="F111" s="69" t="s">
        <v>413</v>
      </c>
      <c r="G111" s="69" t="s">
        <v>342</v>
      </c>
      <c r="H111" s="69" t="s">
        <v>18</v>
      </c>
      <c r="I111" s="69" t="s">
        <v>427</v>
      </c>
      <c r="J111" s="70" t="s">
        <v>19</v>
      </c>
    </row>
    <row r="112" spans="1:10" ht="101.45">
      <c r="A112">
        <f>ROW() - ROW(Table812[[#Headers],[S/N]])</f>
        <v>111</v>
      </c>
      <c r="B112" s="71" t="s">
        <v>428</v>
      </c>
      <c r="C112" s="71" t="s">
        <v>429</v>
      </c>
      <c r="D112" s="71" t="s">
        <v>412</v>
      </c>
      <c r="E112" s="71" t="s">
        <v>14</v>
      </c>
      <c r="F112" s="71" t="s">
        <v>413</v>
      </c>
      <c r="G112" s="71" t="s">
        <v>342</v>
      </c>
      <c r="H112" s="71" t="s">
        <v>18</v>
      </c>
      <c r="I112" s="71" t="s">
        <v>430</v>
      </c>
      <c r="J112" s="72" t="s">
        <v>19</v>
      </c>
    </row>
    <row r="113" spans="1:10" ht="101.45">
      <c r="A113">
        <f>ROW() - ROW(Table812[[#Headers],[S/N]])</f>
        <v>112</v>
      </c>
      <c r="B113" s="69" t="s">
        <v>431</v>
      </c>
      <c r="C113" s="69" t="s">
        <v>432</v>
      </c>
      <c r="D113" s="69" t="s">
        <v>412</v>
      </c>
      <c r="E113" s="69" t="s">
        <v>14</v>
      </c>
      <c r="F113" s="69" t="s">
        <v>413</v>
      </c>
      <c r="G113" s="69" t="s">
        <v>342</v>
      </c>
      <c r="H113" s="69" t="s">
        <v>18</v>
      </c>
      <c r="I113" s="69" t="s">
        <v>430</v>
      </c>
      <c r="J113" s="70" t="s">
        <v>19</v>
      </c>
    </row>
    <row r="114" spans="1:10" ht="101.45">
      <c r="A114">
        <f>ROW() - ROW(Table812[[#Headers],[S/N]])</f>
        <v>113</v>
      </c>
      <c r="B114" s="71" t="s">
        <v>433</v>
      </c>
      <c r="C114" s="71" t="s">
        <v>434</v>
      </c>
      <c r="D114" s="71" t="s">
        <v>412</v>
      </c>
      <c r="E114" s="71" t="s">
        <v>14</v>
      </c>
      <c r="F114" s="71" t="s">
        <v>413</v>
      </c>
      <c r="G114" s="71" t="s">
        <v>342</v>
      </c>
      <c r="H114" s="71" t="s">
        <v>18</v>
      </c>
      <c r="I114" s="71" t="s">
        <v>435</v>
      </c>
      <c r="J114" s="72" t="s">
        <v>19</v>
      </c>
    </row>
    <row r="115" spans="1:10" ht="101.45">
      <c r="A115">
        <f>ROW() - ROW(Table812[[#Headers],[S/N]])</f>
        <v>114</v>
      </c>
      <c r="B115" s="69" t="s">
        <v>436</v>
      </c>
      <c r="C115" s="69" t="s">
        <v>437</v>
      </c>
      <c r="D115" s="69" t="s">
        <v>412</v>
      </c>
      <c r="E115" s="69" t="s">
        <v>14</v>
      </c>
      <c r="F115" s="69" t="s">
        <v>413</v>
      </c>
      <c r="G115" s="69" t="s">
        <v>342</v>
      </c>
      <c r="H115" s="69" t="s">
        <v>18</v>
      </c>
      <c r="I115" s="69" t="s">
        <v>430</v>
      </c>
      <c r="J115" s="70" t="s">
        <v>19</v>
      </c>
    </row>
    <row r="116" spans="1:10" ht="101.45">
      <c r="A116">
        <f>ROW() - ROW(Table812[[#Headers],[S/N]])</f>
        <v>115</v>
      </c>
      <c r="B116" s="71" t="s">
        <v>438</v>
      </c>
      <c r="C116" s="71" t="s">
        <v>439</v>
      </c>
      <c r="D116" s="71" t="s">
        <v>417</v>
      </c>
      <c r="E116" s="71" t="s">
        <v>14</v>
      </c>
      <c r="F116" s="71" t="s">
        <v>413</v>
      </c>
      <c r="G116" s="71" t="s">
        <v>342</v>
      </c>
      <c r="H116" s="71" t="s">
        <v>18</v>
      </c>
      <c r="I116" s="71" t="s">
        <v>424</v>
      </c>
      <c r="J116" s="72" t="s">
        <v>19</v>
      </c>
    </row>
    <row r="117" spans="1:10" ht="101.45">
      <c r="A117">
        <f>ROW() - ROW(Table812[[#Headers],[S/N]])</f>
        <v>116</v>
      </c>
      <c r="B117" s="69" t="s">
        <v>440</v>
      </c>
      <c r="C117" s="69" t="s">
        <v>441</v>
      </c>
      <c r="D117" s="69" t="s">
        <v>412</v>
      </c>
      <c r="E117" s="69" t="s">
        <v>14</v>
      </c>
      <c r="F117" s="69" t="s">
        <v>413</v>
      </c>
      <c r="G117" s="69" t="s">
        <v>342</v>
      </c>
      <c r="H117" s="69" t="s">
        <v>442</v>
      </c>
      <c r="I117" s="69" t="s">
        <v>18</v>
      </c>
      <c r="J117" s="70" t="s">
        <v>19</v>
      </c>
    </row>
    <row r="118" spans="1:10" ht="101.45">
      <c r="A118">
        <f>ROW() - ROW(Table812[[#Headers],[S/N]])</f>
        <v>117</v>
      </c>
      <c r="B118" s="71" t="s">
        <v>443</v>
      </c>
      <c r="C118" s="71" t="s">
        <v>444</v>
      </c>
      <c r="D118" s="71" t="s">
        <v>445</v>
      </c>
      <c r="E118" s="71" t="s">
        <v>14</v>
      </c>
      <c r="F118" s="71" t="s">
        <v>413</v>
      </c>
      <c r="G118" s="71" t="s">
        <v>342</v>
      </c>
      <c r="H118" s="71" t="s">
        <v>18</v>
      </c>
      <c r="I118" s="71" t="s">
        <v>446</v>
      </c>
      <c r="J118" s="72" t="s">
        <v>19</v>
      </c>
    </row>
    <row r="119" spans="1:10" ht="101.45">
      <c r="A119">
        <f>ROW() - ROW(Table812[[#Headers],[S/N]])</f>
        <v>118</v>
      </c>
      <c r="B119" s="71" t="s">
        <v>447</v>
      </c>
      <c r="C119" s="71" t="s">
        <v>448</v>
      </c>
      <c r="D119" s="71" t="s">
        <v>445</v>
      </c>
      <c r="E119" s="71" t="s">
        <v>14</v>
      </c>
      <c r="F119" s="71" t="s">
        <v>413</v>
      </c>
      <c r="G119" s="71" t="s">
        <v>342</v>
      </c>
      <c r="H119" s="71" t="s">
        <v>449</v>
      </c>
      <c r="I119" s="71" t="s">
        <v>18</v>
      </c>
      <c r="J119" s="72" t="s">
        <v>19</v>
      </c>
    </row>
    <row r="120" spans="1:10" ht="29.1">
      <c r="A120">
        <f>ROW() - ROW(Table812[[#Headers],[S/N]])</f>
        <v>119</v>
      </c>
      <c r="B120" s="69" t="s">
        <v>450</v>
      </c>
      <c r="C120" s="69" t="s">
        <v>451</v>
      </c>
      <c r="D120" s="69" t="s">
        <v>452</v>
      </c>
      <c r="E120" s="69" t="s">
        <v>453</v>
      </c>
      <c r="F120" s="69" t="s">
        <v>18</v>
      </c>
      <c r="G120" s="69" t="s">
        <v>18</v>
      </c>
      <c r="H120" s="69" t="s">
        <v>18</v>
      </c>
      <c r="I120" s="69" t="s">
        <v>18</v>
      </c>
      <c r="J120" s="70" t="s">
        <v>19</v>
      </c>
    </row>
    <row r="121" spans="1:10" ht="101.45">
      <c r="A121">
        <f>ROW() - ROW(Table812[[#Headers],[S/N]])</f>
        <v>120</v>
      </c>
      <c r="B121" s="71" t="s">
        <v>454</v>
      </c>
      <c r="C121" s="71" t="s">
        <v>455</v>
      </c>
      <c r="D121" s="71" t="s">
        <v>456</v>
      </c>
      <c r="E121" s="71" t="s">
        <v>14</v>
      </c>
      <c r="F121" s="71" t="s">
        <v>413</v>
      </c>
      <c r="G121" s="71" t="s">
        <v>342</v>
      </c>
      <c r="H121" s="71" t="s">
        <v>18</v>
      </c>
      <c r="I121" s="71" t="s">
        <v>457</v>
      </c>
      <c r="J121" s="72" t="s">
        <v>19</v>
      </c>
    </row>
    <row r="122" spans="1:10" ht="101.45">
      <c r="A122">
        <f>ROW() - ROW(Table812[[#Headers],[S/N]])</f>
        <v>121</v>
      </c>
      <c r="B122" s="69" t="s">
        <v>458</v>
      </c>
      <c r="C122" s="69" t="s">
        <v>459</v>
      </c>
      <c r="D122" s="69" t="s">
        <v>460</v>
      </c>
      <c r="E122" s="69" t="s">
        <v>14</v>
      </c>
      <c r="F122" s="69" t="s">
        <v>413</v>
      </c>
      <c r="G122" s="69" t="s">
        <v>342</v>
      </c>
      <c r="H122" s="69" t="s">
        <v>18</v>
      </c>
      <c r="I122" s="69" t="s">
        <v>461</v>
      </c>
      <c r="J122" s="70" t="s">
        <v>19</v>
      </c>
    </row>
    <row r="123" spans="1:10" ht="101.45">
      <c r="A123">
        <f>ROW() - ROW(Table812[[#Headers],[S/N]])</f>
        <v>122</v>
      </c>
      <c r="B123" s="71" t="s">
        <v>462</v>
      </c>
      <c r="C123" s="71" t="s">
        <v>463</v>
      </c>
      <c r="D123" s="71" t="s">
        <v>460</v>
      </c>
      <c r="E123" s="71" t="s">
        <v>14</v>
      </c>
      <c r="F123" s="71" t="s">
        <v>413</v>
      </c>
      <c r="G123" s="71" t="s">
        <v>342</v>
      </c>
      <c r="H123" s="71" t="s">
        <v>18</v>
      </c>
      <c r="I123" s="71" t="s">
        <v>461</v>
      </c>
      <c r="J123" s="72" t="s">
        <v>19</v>
      </c>
    </row>
    <row r="124" spans="1:10" ht="101.45">
      <c r="A124">
        <f>ROW() - ROW(Table812[[#Headers],[S/N]])</f>
        <v>123</v>
      </c>
      <c r="B124" s="69" t="s">
        <v>464</v>
      </c>
      <c r="C124" s="69" t="s">
        <v>465</v>
      </c>
      <c r="D124" s="69" t="s">
        <v>460</v>
      </c>
      <c r="E124" s="69" t="s">
        <v>14</v>
      </c>
      <c r="F124" s="69" t="s">
        <v>413</v>
      </c>
      <c r="G124" s="69" t="s">
        <v>342</v>
      </c>
      <c r="H124" s="69" t="s">
        <v>18</v>
      </c>
      <c r="I124" s="69" t="s">
        <v>466</v>
      </c>
      <c r="J124" s="70" t="s">
        <v>19</v>
      </c>
    </row>
    <row r="125" spans="1:10" ht="101.45">
      <c r="A125">
        <f>ROW() - ROW(Table812[[#Headers],[S/N]])</f>
        <v>124</v>
      </c>
      <c r="B125" s="71" t="s">
        <v>467</v>
      </c>
      <c r="C125" s="71" t="s">
        <v>468</v>
      </c>
      <c r="D125" s="71" t="s">
        <v>456</v>
      </c>
      <c r="E125" s="71" t="s">
        <v>14</v>
      </c>
      <c r="F125" s="71" t="s">
        <v>413</v>
      </c>
      <c r="G125" s="71" t="s">
        <v>342</v>
      </c>
      <c r="H125" s="71" t="s">
        <v>469</v>
      </c>
      <c r="I125" s="71" t="s">
        <v>18</v>
      </c>
      <c r="J125" s="72" t="s">
        <v>19</v>
      </c>
    </row>
    <row r="126" spans="1:10" ht="101.45">
      <c r="A126">
        <f>ROW() - ROW(Table812[[#Headers],[S/N]])</f>
        <v>125</v>
      </c>
      <c r="B126" s="69" t="s">
        <v>470</v>
      </c>
      <c r="C126" s="69" t="s">
        <v>471</v>
      </c>
      <c r="D126" s="69" t="s">
        <v>472</v>
      </c>
      <c r="E126" s="69" t="s">
        <v>14</v>
      </c>
      <c r="F126" s="69" t="s">
        <v>413</v>
      </c>
      <c r="G126" s="69" t="s">
        <v>342</v>
      </c>
      <c r="H126" s="69" t="s">
        <v>473</v>
      </c>
      <c r="I126" s="69" t="s">
        <v>18</v>
      </c>
      <c r="J126" s="70" t="s">
        <v>19</v>
      </c>
    </row>
    <row r="127" spans="1:10" ht="101.45">
      <c r="A127">
        <f>ROW() - ROW(Table812[[#Headers],[S/N]])</f>
        <v>126</v>
      </c>
      <c r="B127" s="71" t="s">
        <v>474</v>
      </c>
      <c r="C127" s="71" t="s">
        <v>475</v>
      </c>
      <c r="D127" s="71" t="s">
        <v>472</v>
      </c>
      <c r="E127" s="71" t="s">
        <v>14</v>
      </c>
      <c r="F127" s="71" t="s">
        <v>413</v>
      </c>
      <c r="G127" s="71" t="s">
        <v>342</v>
      </c>
      <c r="H127" s="71" t="s">
        <v>18</v>
      </c>
      <c r="I127" s="71" t="s">
        <v>476</v>
      </c>
      <c r="J127" s="72" t="s">
        <v>19</v>
      </c>
    </row>
    <row r="128" spans="1:10" ht="101.45">
      <c r="A128">
        <f>ROW() - ROW(Table812[[#Headers],[S/N]])</f>
        <v>127</v>
      </c>
      <c r="B128" s="69" t="s">
        <v>477</v>
      </c>
      <c r="C128" s="69" t="s">
        <v>478</v>
      </c>
      <c r="D128" s="69" t="s">
        <v>479</v>
      </c>
      <c r="E128" s="69" t="s">
        <v>14</v>
      </c>
      <c r="F128" s="69" t="s">
        <v>413</v>
      </c>
      <c r="G128" s="69" t="s">
        <v>342</v>
      </c>
      <c r="H128" s="69" t="s">
        <v>480</v>
      </c>
      <c r="I128" s="70" t="s">
        <v>18</v>
      </c>
      <c r="J128" s="70" t="s">
        <v>19</v>
      </c>
    </row>
    <row r="129" spans="1:10" ht="101.45">
      <c r="A129">
        <f>ROW() - ROW(Table812[[#Headers],[S/N]])</f>
        <v>128</v>
      </c>
      <c r="B129" s="71" t="s">
        <v>481</v>
      </c>
      <c r="C129" s="71" t="s">
        <v>482</v>
      </c>
      <c r="D129" s="71" t="s">
        <v>483</v>
      </c>
      <c r="E129" s="71" t="s">
        <v>484</v>
      </c>
      <c r="F129" s="71" t="s">
        <v>485</v>
      </c>
      <c r="G129" s="71" t="s">
        <v>486</v>
      </c>
      <c r="H129" s="71" t="s">
        <v>18</v>
      </c>
      <c r="I129" s="72" t="s">
        <v>18</v>
      </c>
      <c r="J129" s="72" t="s">
        <v>19</v>
      </c>
    </row>
    <row r="130" spans="1:10" ht="101.45">
      <c r="A130">
        <f>ROW() - ROW(Table812[[#Headers],[S/N]])</f>
        <v>129</v>
      </c>
      <c r="B130" s="69" t="s">
        <v>487</v>
      </c>
      <c r="C130" s="69" t="s">
        <v>488</v>
      </c>
      <c r="D130" s="69" t="s">
        <v>479</v>
      </c>
      <c r="E130" s="69" t="s">
        <v>14</v>
      </c>
      <c r="F130" s="69" t="s">
        <v>489</v>
      </c>
      <c r="G130" s="69" t="s">
        <v>342</v>
      </c>
      <c r="H130" s="69" t="s">
        <v>490</v>
      </c>
      <c r="I130" s="70" t="s">
        <v>18</v>
      </c>
      <c r="J130" s="70" t="s">
        <v>19</v>
      </c>
    </row>
    <row r="131" spans="1:10" ht="101.45">
      <c r="A131">
        <f>ROW() - ROW(Table812[[#Headers],[S/N]])</f>
        <v>130</v>
      </c>
      <c r="B131" s="71" t="s">
        <v>491</v>
      </c>
      <c r="C131" s="71" t="s">
        <v>492</v>
      </c>
      <c r="D131" s="71" t="s">
        <v>493</v>
      </c>
      <c r="E131" s="71" t="s">
        <v>14</v>
      </c>
      <c r="F131" s="71" t="s">
        <v>489</v>
      </c>
      <c r="G131" s="71" t="s">
        <v>342</v>
      </c>
      <c r="H131" s="71" t="s">
        <v>494</v>
      </c>
      <c r="I131" s="72" t="s">
        <v>18</v>
      </c>
      <c r="J131" s="72" t="s">
        <v>19</v>
      </c>
    </row>
    <row r="132" spans="1:10" ht="101.45">
      <c r="A132">
        <f>ROW() - ROW(Table812[[#Headers],[S/N]])</f>
        <v>131</v>
      </c>
      <c r="B132" s="69" t="s">
        <v>495</v>
      </c>
      <c r="C132" s="69" t="s">
        <v>496</v>
      </c>
      <c r="D132" s="69" t="s">
        <v>493</v>
      </c>
      <c r="E132" s="69" t="s">
        <v>14</v>
      </c>
      <c r="F132" s="69" t="s">
        <v>489</v>
      </c>
      <c r="G132" s="69" t="s">
        <v>342</v>
      </c>
      <c r="H132" s="69" t="s">
        <v>18</v>
      </c>
      <c r="I132" s="69" t="s">
        <v>497</v>
      </c>
      <c r="J132" s="70" t="s">
        <v>19</v>
      </c>
    </row>
    <row r="133" spans="1:10" ht="101.45">
      <c r="A133">
        <f>ROW() - ROW(Table812[[#Headers],[S/N]])</f>
        <v>132</v>
      </c>
      <c r="B133" s="71" t="s">
        <v>498</v>
      </c>
      <c r="C133" s="71" t="s">
        <v>499</v>
      </c>
      <c r="D133" s="71" t="s">
        <v>479</v>
      </c>
      <c r="E133" s="71" t="s">
        <v>14</v>
      </c>
      <c r="F133" s="71" t="s">
        <v>489</v>
      </c>
      <c r="G133" s="71" t="s">
        <v>342</v>
      </c>
      <c r="H133" s="71" t="s">
        <v>18</v>
      </c>
      <c r="I133" s="71" t="s">
        <v>500</v>
      </c>
      <c r="J133" s="72" t="s">
        <v>19</v>
      </c>
    </row>
    <row r="134" spans="1:10" ht="101.45">
      <c r="A134">
        <f>ROW() - ROW(Table812[[#Headers],[S/N]])</f>
        <v>133</v>
      </c>
      <c r="B134" s="69" t="s">
        <v>501</v>
      </c>
      <c r="C134" s="69" t="s">
        <v>502</v>
      </c>
      <c r="D134" s="69" t="s">
        <v>503</v>
      </c>
      <c r="E134" s="69" t="s">
        <v>14</v>
      </c>
      <c r="F134" s="69" t="s">
        <v>489</v>
      </c>
      <c r="G134" s="69" t="s">
        <v>342</v>
      </c>
      <c r="H134" s="69" t="s">
        <v>504</v>
      </c>
      <c r="I134" s="70" t="s">
        <v>18</v>
      </c>
      <c r="J134" s="70" t="s">
        <v>19</v>
      </c>
    </row>
    <row r="135" spans="1:10" ht="101.45">
      <c r="A135">
        <f>ROW() - ROW(Table812[[#Headers],[S/N]])</f>
        <v>134</v>
      </c>
      <c r="B135" s="71" t="s">
        <v>505</v>
      </c>
      <c r="C135" s="71" t="s">
        <v>506</v>
      </c>
      <c r="D135" s="71" t="s">
        <v>503</v>
      </c>
      <c r="E135" s="71" t="s">
        <v>14</v>
      </c>
      <c r="F135" s="71" t="s">
        <v>489</v>
      </c>
      <c r="G135" s="71" t="s">
        <v>342</v>
      </c>
      <c r="H135" s="71" t="s">
        <v>18</v>
      </c>
      <c r="I135" s="71" t="s">
        <v>507</v>
      </c>
      <c r="J135" s="72" t="s">
        <v>19</v>
      </c>
    </row>
    <row r="136" spans="1:10" ht="101.45">
      <c r="A136">
        <f>ROW() - ROW(Table812[[#Headers],[S/N]])</f>
        <v>135</v>
      </c>
      <c r="B136" s="69" t="s">
        <v>508</v>
      </c>
      <c r="C136" s="69" t="s">
        <v>509</v>
      </c>
      <c r="D136" s="69" t="s">
        <v>472</v>
      </c>
      <c r="E136" s="69" t="s">
        <v>14</v>
      </c>
      <c r="F136" s="69" t="s">
        <v>489</v>
      </c>
      <c r="G136" s="69" t="s">
        <v>342</v>
      </c>
      <c r="H136" s="69" t="s">
        <v>18</v>
      </c>
      <c r="I136" s="69" t="s">
        <v>507</v>
      </c>
      <c r="J136" s="81" t="s">
        <v>510</v>
      </c>
    </row>
    <row r="137" spans="1:10" ht="101.45">
      <c r="A137">
        <f>ROW() - ROW(Table812[[#Headers],[S/N]])</f>
        <v>136</v>
      </c>
      <c r="B137" s="71" t="s">
        <v>511</v>
      </c>
      <c r="C137" s="71" t="s">
        <v>512</v>
      </c>
      <c r="D137" s="71" t="s">
        <v>513</v>
      </c>
      <c r="E137" s="71" t="s">
        <v>14</v>
      </c>
      <c r="F137" s="71" t="s">
        <v>489</v>
      </c>
      <c r="G137" s="71" t="s">
        <v>342</v>
      </c>
      <c r="H137" s="71" t="s">
        <v>18</v>
      </c>
      <c r="I137" s="71" t="s">
        <v>514</v>
      </c>
      <c r="J137" s="72" t="s">
        <v>19</v>
      </c>
    </row>
    <row r="138" spans="1:10" ht="101.45">
      <c r="A138">
        <f>ROW() - ROW(Table812[[#Headers],[S/N]])</f>
        <v>137</v>
      </c>
      <c r="B138" s="69" t="s">
        <v>515</v>
      </c>
      <c r="C138" s="69" t="s">
        <v>516</v>
      </c>
      <c r="D138" s="69" t="s">
        <v>517</v>
      </c>
      <c r="E138" s="69" t="s">
        <v>14</v>
      </c>
      <c r="F138" s="69" t="s">
        <v>489</v>
      </c>
      <c r="G138" s="69" t="s">
        <v>342</v>
      </c>
      <c r="H138" s="69"/>
      <c r="I138" s="69"/>
      <c r="J138" s="81" t="s">
        <v>518</v>
      </c>
    </row>
    <row r="139" spans="1:10" ht="101.45">
      <c r="A139">
        <f>ROW() - ROW(Table812[[#Headers],[S/N]])</f>
        <v>138</v>
      </c>
      <c r="B139" s="71" t="s">
        <v>519</v>
      </c>
      <c r="C139" s="71" t="s">
        <v>520</v>
      </c>
      <c r="D139" s="71" t="s">
        <v>517</v>
      </c>
      <c r="E139" s="71" t="s">
        <v>14</v>
      </c>
      <c r="F139" s="71" t="s">
        <v>489</v>
      </c>
      <c r="G139" s="71" t="s">
        <v>342</v>
      </c>
      <c r="H139" s="71" t="s">
        <v>18</v>
      </c>
      <c r="I139" s="71" t="s">
        <v>521</v>
      </c>
      <c r="J139" s="81" t="s">
        <v>518</v>
      </c>
    </row>
    <row r="140" spans="1:10" ht="101.45">
      <c r="A140">
        <f>ROW() - ROW(Table812[[#Headers],[S/N]])</f>
        <v>139</v>
      </c>
      <c r="B140" s="69" t="s">
        <v>522</v>
      </c>
      <c r="C140" s="69" t="s">
        <v>523</v>
      </c>
      <c r="D140" s="69" t="s">
        <v>524</v>
      </c>
      <c r="E140" s="69" t="s">
        <v>14</v>
      </c>
      <c r="F140" s="69" t="s">
        <v>489</v>
      </c>
      <c r="G140" s="69" t="s">
        <v>342</v>
      </c>
      <c r="H140" s="69" t="s">
        <v>525</v>
      </c>
      <c r="I140" s="70" t="s">
        <v>18</v>
      </c>
      <c r="J140" s="70" t="s">
        <v>19</v>
      </c>
    </row>
    <row r="141" spans="1:10" ht="101.45">
      <c r="A141">
        <f>ROW() - ROW(Table812[[#Headers],[S/N]])</f>
        <v>140</v>
      </c>
      <c r="B141" s="71" t="s">
        <v>526</v>
      </c>
      <c r="C141" s="71" t="s">
        <v>527</v>
      </c>
      <c r="D141" s="71" t="s">
        <v>528</v>
      </c>
      <c r="E141" s="71" t="s">
        <v>14</v>
      </c>
      <c r="F141" s="71" t="s">
        <v>489</v>
      </c>
      <c r="G141" s="71" t="s">
        <v>342</v>
      </c>
      <c r="H141" s="71"/>
      <c r="I141" s="72"/>
      <c r="J141" s="72" t="s">
        <v>364</v>
      </c>
    </row>
    <row r="142" spans="1:10" ht="101.45">
      <c r="A142">
        <f>ROW() - ROW(Table812[[#Headers],[S/N]])</f>
        <v>141</v>
      </c>
      <c r="B142" s="69" t="s">
        <v>529</v>
      </c>
      <c r="C142" s="69" t="s">
        <v>530</v>
      </c>
      <c r="D142" s="69" t="s">
        <v>531</v>
      </c>
      <c r="E142" s="69" t="s">
        <v>14</v>
      </c>
      <c r="F142" s="69" t="s">
        <v>489</v>
      </c>
      <c r="G142" s="69" t="s">
        <v>342</v>
      </c>
      <c r="H142" s="69" t="s">
        <v>18</v>
      </c>
      <c r="I142" s="69" t="s">
        <v>521</v>
      </c>
      <c r="J142" s="70" t="s">
        <v>19</v>
      </c>
    </row>
    <row r="143" spans="1:10" ht="101.45">
      <c r="A143">
        <f>ROW() - ROW(Table812[[#Headers],[S/N]])</f>
        <v>142</v>
      </c>
      <c r="B143" s="71" t="s">
        <v>532</v>
      </c>
      <c r="C143" s="71" t="s">
        <v>533</v>
      </c>
      <c r="D143" s="71" t="s">
        <v>528</v>
      </c>
      <c r="E143" s="71" t="s">
        <v>14</v>
      </c>
      <c r="F143" s="71" t="s">
        <v>489</v>
      </c>
      <c r="G143" s="71" t="s">
        <v>342</v>
      </c>
      <c r="H143" s="71"/>
      <c r="I143" s="71"/>
      <c r="J143" s="72" t="s">
        <v>364</v>
      </c>
    </row>
    <row r="144" spans="1:10" ht="101.45">
      <c r="A144">
        <f>ROW() - ROW(Table812[[#Headers],[S/N]])</f>
        <v>143</v>
      </c>
      <c r="B144" s="69" t="s">
        <v>534</v>
      </c>
      <c r="C144" s="69" t="s">
        <v>535</v>
      </c>
      <c r="D144" s="69" t="s">
        <v>536</v>
      </c>
      <c r="E144" s="69" t="s">
        <v>14</v>
      </c>
      <c r="F144" s="69" t="s">
        <v>489</v>
      </c>
      <c r="G144" s="69" t="s">
        <v>342</v>
      </c>
      <c r="H144" s="69" t="s">
        <v>18</v>
      </c>
      <c r="I144" s="69" t="s">
        <v>537</v>
      </c>
      <c r="J144" s="81" t="s">
        <v>510</v>
      </c>
    </row>
    <row r="145" spans="1:10" ht="101.45">
      <c r="A145">
        <f>ROW() - ROW(Table812[[#Headers],[S/N]])</f>
        <v>144</v>
      </c>
      <c r="B145" s="71" t="s">
        <v>538</v>
      </c>
      <c r="C145" s="71" t="s">
        <v>539</v>
      </c>
      <c r="D145" s="71" t="s">
        <v>536</v>
      </c>
      <c r="E145" s="71" t="s">
        <v>14</v>
      </c>
      <c r="F145" s="71" t="s">
        <v>489</v>
      </c>
      <c r="G145" s="71" t="s">
        <v>342</v>
      </c>
      <c r="H145" s="71"/>
      <c r="I145" s="71"/>
      <c r="J145" s="81" t="s">
        <v>510</v>
      </c>
    </row>
    <row r="146" spans="1:10" ht="101.45">
      <c r="A146">
        <f>ROW() - ROW(Table812[[#Headers],[S/N]])</f>
        <v>145</v>
      </c>
      <c r="B146" s="69" t="s">
        <v>540</v>
      </c>
      <c r="C146" s="69" t="s">
        <v>541</v>
      </c>
      <c r="D146" s="69" t="s">
        <v>513</v>
      </c>
      <c r="E146" s="69" t="s">
        <v>14</v>
      </c>
      <c r="F146" s="69" t="s">
        <v>489</v>
      </c>
      <c r="G146" s="69" t="s">
        <v>342</v>
      </c>
      <c r="H146" s="69" t="s">
        <v>18</v>
      </c>
      <c r="I146" s="69" t="s">
        <v>521</v>
      </c>
      <c r="J146" s="81" t="s">
        <v>518</v>
      </c>
    </row>
    <row r="147" spans="1:10" ht="101.45">
      <c r="A147">
        <f>ROW() - ROW(Table812[[#Headers],[S/N]])</f>
        <v>146</v>
      </c>
      <c r="B147" s="71" t="s">
        <v>542</v>
      </c>
      <c r="C147" s="71" t="s">
        <v>543</v>
      </c>
      <c r="D147" s="71" t="s">
        <v>536</v>
      </c>
      <c r="E147" s="71" t="s">
        <v>14</v>
      </c>
      <c r="F147" s="71" t="s">
        <v>489</v>
      </c>
      <c r="G147" s="71" t="s">
        <v>342</v>
      </c>
      <c r="H147" s="71" t="s">
        <v>18</v>
      </c>
      <c r="I147" s="71" t="s">
        <v>537</v>
      </c>
      <c r="J147" s="81" t="s">
        <v>510</v>
      </c>
    </row>
    <row r="148" spans="1:10" ht="101.45">
      <c r="A148">
        <f>ROW() - ROW(Table812[[#Headers],[S/N]])</f>
        <v>147</v>
      </c>
      <c r="B148" s="69" t="s">
        <v>544</v>
      </c>
      <c r="C148" s="69" t="s">
        <v>545</v>
      </c>
      <c r="D148" s="69" t="s">
        <v>536</v>
      </c>
      <c r="E148" s="69" t="s">
        <v>14</v>
      </c>
      <c r="F148" s="69" t="s">
        <v>489</v>
      </c>
      <c r="G148" s="69" t="s">
        <v>342</v>
      </c>
      <c r="H148" s="69" t="s">
        <v>18</v>
      </c>
      <c r="I148" s="69" t="s">
        <v>537</v>
      </c>
      <c r="J148" s="81" t="s">
        <v>510</v>
      </c>
    </row>
    <row r="149" spans="1:10" ht="101.45">
      <c r="A149">
        <f>ROW() - ROW(Table812[[#Headers],[S/N]])</f>
        <v>148</v>
      </c>
      <c r="B149" s="71" t="s">
        <v>546</v>
      </c>
      <c r="C149" s="71" t="s">
        <v>547</v>
      </c>
      <c r="D149" s="71" t="s">
        <v>536</v>
      </c>
      <c r="E149" s="71" t="s">
        <v>14</v>
      </c>
      <c r="F149" s="71" t="s">
        <v>489</v>
      </c>
      <c r="G149" s="71" t="s">
        <v>342</v>
      </c>
      <c r="H149" s="71" t="s">
        <v>18</v>
      </c>
      <c r="I149" s="71" t="s">
        <v>537</v>
      </c>
      <c r="J149" s="81" t="s">
        <v>510</v>
      </c>
    </row>
    <row r="150" spans="1:10" ht="101.45">
      <c r="A150">
        <f>ROW() - ROW(Table812[[#Headers],[S/N]])</f>
        <v>149</v>
      </c>
      <c r="B150" s="69" t="s">
        <v>548</v>
      </c>
      <c r="C150" s="69" t="s">
        <v>549</v>
      </c>
      <c r="D150" s="69" t="s">
        <v>513</v>
      </c>
      <c r="E150" s="69" t="s">
        <v>14</v>
      </c>
      <c r="F150" s="69" t="s">
        <v>489</v>
      </c>
      <c r="G150" s="69" t="s">
        <v>342</v>
      </c>
      <c r="H150" s="69" t="s">
        <v>18</v>
      </c>
      <c r="I150" s="69"/>
      <c r="J150" s="81" t="s">
        <v>218</v>
      </c>
    </row>
    <row r="151" spans="1:10" ht="101.45">
      <c r="A151">
        <f>ROW() - ROW(Table812[[#Headers],[S/N]])</f>
        <v>150</v>
      </c>
      <c r="B151" s="71" t="s">
        <v>550</v>
      </c>
      <c r="C151" s="71" t="s">
        <v>551</v>
      </c>
      <c r="D151" s="71" t="s">
        <v>513</v>
      </c>
      <c r="E151" s="71" t="s">
        <v>14</v>
      </c>
      <c r="F151" s="71" t="s">
        <v>489</v>
      </c>
      <c r="G151" s="71" t="s">
        <v>342</v>
      </c>
      <c r="H151" s="71" t="s">
        <v>18</v>
      </c>
      <c r="I151" s="71" t="s">
        <v>552</v>
      </c>
      <c r="J151" s="81" t="s">
        <v>218</v>
      </c>
    </row>
    <row r="152" spans="1:10" ht="101.45">
      <c r="A152">
        <f>ROW() - ROW(Table812[[#Headers],[S/N]])</f>
        <v>151</v>
      </c>
      <c r="B152" s="69" t="s">
        <v>553</v>
      </c>
      <c r="C152" s="69" t="s">
        <v>554</v>
      </c>
      <c r="D152" s="69" t="s">
        <v>517</v>
      </c>
      <c r="E152" s="69" t="s">
        <v>14</v>
      </c>
      <c r="F152" s="69" t="s">
        <v>489</v>
      </c>
      <c r="G152" s="69" t="s">
        <v>342</v>
      </c>
      <c r="H152" s="69" t="s">
        <v>18</v>
      </c>
      <c r="I152" s="69" t="s">
        <v>555</v>
      </c>
      <c r="J152" s="81" t="s">
        <v>518</v>
      </c>
    </row>
    <row r="153" spans="1:10" ht="101.45">
      <c r="A153">
        <f>ROW() - ROW(Table812[[#Headers],[S/N]])</f>
        <v>152</v>
      </c>
      <c r="B153" s="71" t="s">
        <v>556</v>
      </c>
      <c r="C153" s="71" t="s">
        <v>557</v>
      </c>
      <c r="D153" s="71" t="s">
        <v>528</v>
      </c>
      <c r="E153" s="71" t="s">
        <v>14</v>
      </c>
      <c r="F153" s="71" t="s">
        <v>489</v>
      </c>
      <c r="G153" s="71" t="s">
        <v>342</v>
      </c>
      <c r="H153" s="72"/>
      <c r="I153" s="72"/>
      <c r="J153" s="72" t="s">
        <v>364</v>
      </c>
    </row>
    <row r="154" spans="1:10" ht="101.45">
      <c r="A154">
        <f>ROW() - ROW(Table812[[#Headers],[S/N]])</f>
        <v>153</v>
      </c>
      <c r="B154" s="69" t="s">
        <v>558</v>
      </c>
      <c r="C154" s="69" t="s">
        <v>559</v>
      </c>
      <c r="D154" s="69" t="s">
        <v>517</v>
      </c>
      <c r="E154" s="69" t="s">
        <v>14</v>
      </c>
      <c r="F154" s="69" t="s">
        <v>489</v>
      </c>
      <c r="G154" s="69" t="s">
        <v>342</v>
      </c>
      <c r="H154" s="70"/>
      <c r="I154" s="70"/>
      <c r="J154" s="70" t="s">
        <v>364</v>
      </c>
    </row>
    <row r="155" spans="1:10" ht="101.45">
      <c r="A155">
        <f>ROW() - ROW(Table812[[#Headers],[S/N]])</f>
        <v>154</v>
      </c>
      <c r="B155" s="71" t="s">
        <v>560</v>
      </c>
      <c r="C155" s="71" t="s">
        <v>561</v>
      </c>
      <c r="D155" s="71" t="s">
        <v>513</v>
      </c>
      <c r="E155" s="71" t="s">
        <v>14</v>
      </c>
      <c r="F155" s="71" t="s">
        <v>489</v>
      </c>
      <c r="G155" s="71" t="s">
        <v>342</v>
      </c>
      <c r="H155" s="72" t="s">
        <v>18</v>
      </c>
      <c r="I155" s="71" t="s">
        <v>562</v>
      </c>
      <c r="J155" s="81" t="s">
        <v>218</v>
      </c>
    </row>
    <row r="156" spans="1:10" ht="101.45">
      <c r="A156">
        <f>ROW() - ROW(Table812[[#Headers],[S/N]])</f>
        <v>155</v>
      </c>
      <c r="B156" s="69" t="s">
        <v>563</v>
      </c>
      <c r="C156" s="69" t="s">
        <v>564</v>
      </c>
      <c r="D156" s="69" t="s">
        <v>565</v>
      </c>
      <c r="E156" s="69" t="s">
        <v>14</v>
      </c>
      <c r="F156" s="69" t="s">
        <v>489</v>
      </c>
      <c r="G156" s="69" t="s">
        <v>342</v>
      </c>
      <c r="H156" s="70" t="s">
        <v>18</v>
      </c>
      <c r="I156" s="69" t="s">
        <v>566</v>
      </c>
      <c r="J156" s="70" t="s">
        <v>19</v>
      </c>
    </row>
    <row r="157" spans="1:10" ht="101.45">
      <c r="A157">
        <f>ROW() - ROW(Table812[[#Headers],[S/N]])</f>
        <v>156</v>
      </c>
      <c r="B157" s="71" t="s">
        <v>567</v>
      </c>
      <c r="C157" s="71" t="s">
        <v>568</v>
      </c>
      <c r="D157" s="71" t="s">
        <v>517</v>
      </c>
      <c r="E157" s="71" t="s">
        <v>14</v>
      </c>
      <c r="F157" s="71" t="s">
        <v>489</v>
      </c>
      <c r="G157" s="71" t="s">
        <v>342</v>
      </c>
      <c r="H157" s="71" t="s">
        <v>569</v>
      </c>
      <c r="I157" s="72" t="s">
        <v>18</v>
      </c>
      <c r="J157" s="71" t="s">
        <v>518</v>
      </c>
    </row>
    <row r="158" spans="1:10" ht="101.45">
      <c r="A158">
        <f>ROW() - ROW(Table812[[#Headers],[S/N]])</f>
        <v>157</v>
      </c>
      <c r="B158" s="69" t="s">
        <v>570</v>
      </c>
      <c r="C158" s="69" t="s">
        <v>571</v>
      </c>
      <c r="D158" s="69" t="s">
        <v>517</v>
      </c>
      <c r="E158" s="69" t="s">
        <v>14</v>
      </c>
      <c r="F158" s="69" t="s">
        <v>489</v>
      </c>
      <c r="G158" s="69" t="s">
        <v>342</v>
      </c>
      <c r="H158" s="70" t="s">
        <v>18</v>
      </c>
      <c r="I158" s="69" t="s">
        <v>555</v>
      </c>
      <c r="J158" s="81" t="s">
        <v>518</v>
      </c>
    </row>
    <row r="159" spans="1:10" ht="101.45">
      <c r="A159">
        <f>ROW() - ROW(Table812[[#Headers],[S/N]])</f>
        <v>158</v>
      </c>
      <c r="B159" s="71" t="s">
        <v>572</v>
      </c>
      <c r="C159" s="71" t="s">
        <v>573</v>
      </c>
      <c r="D159" s="71" t="s">
        <v>517</v>
      </c>
      <c r="E159" s="71" t="s">
        <v>14</v>
      </c>
      <c r="F159" s="71" t="s">
        <v>489</v>
      </c>
      <c r="G159" s="71" t="s">
        <v>342</v>
      </c>
      <c r="H159" s="72"/>
      <c r="I159" s="72"/>
      <c r="J159" s="81" t="s">
        <v>518</v>
      </c>
    </row>
    <row r="160" spans="1:10" ht="101.45">
      <c r="A160">
        <f>ROW() - ROW(Table812[[#Headers],[S/N]])</f>
        <v>159</v>
      </c>
      <c r="B160" s="69" t="s">
        <v>574</v>
      </c>
      <c r="C160" s="69" t="s">
        <v>575</v>
      </c>
      <c r="D160" s="69" t="s">
        <v>517</v>
      </c>
      <c r="E160" s="69" t="s">
        <v>14</v>
      </c>
      <c r="F160" s="69" t="s">
        <v>489</v>
      </c>
      <c r="G160" s="69" t="s">
        <v>342</v>
      </c>
      <c r="H160" s="70" t="s">
        <v>18</v>
      </c>
      <c r="I160" s="69" t="s">
        <v>521</v>
      </c>
      <c r="J160" s="81" t="s">
        <v>518</v>
      </c>
    </row>
    <row r="161" spans="1:10" ht="90" customHeight="1">
      <c r="A161">
        <v>160</v>
      </c>
      <c r="B161" t="s">
        <v>576</v>
      </c>
      <c r="C161" t="s">
        <v>577</v>
      </c>
      <c r="D161" t="s">
        <v>578</v>
      </c>
      <c r="E161" s="9" t="s">
        <v>14</v>
      </c>
      <c r="F161" s="9" t="s">
        <v>489</v>
      </c>
      <c r="G161" t="s">
        <v>342</v>
      </c>
      <c r="H161" t="s">
        <v>18</v>
      </c>
      <c r="I161" s="9" t="s">
        <v>579</v>
      </c>
      <c r="J161" s="81" t="s">
        <v>276</v>
      </c>
    </row>
    <row r="162" spans="1:10">
      <c r="E162" s="9"/>
    </row>
    <row r="163" spans="1:10">
      <c r="E163" s="9"/>
    </row>
    <row r="164" spans="1:10">
      <c r="E164" s="9"/>
    </row>
    <row r="165" spans="1:10">
      <c r="E165" s="9"/>
    </row>
    <row r="166" spans="1:10">
      <c r="E166" s="9"/>
    </row>
    <row r="167" spans="1:10">
      <c r="E167" s="9"/>
    </row>
    <row r="168" spans="1:10">
      <c r="E168" s="9"/>
    </row>
    <row r="169" spans="1:10">
      <c r="E169" s="9"/>
    </row>
    <row r="170" spans="1:10">
      <c r="E170" s="9"/>
    </row>
    <row r="171" spans="1:10">
      <c r="E171" s="9"/>
    </row>
    <row r="172" spans="1:10">
      <c r="E172" s="9"/>
    </row>
    <row r="173" spans="1:10">
      <c r="E173" s="9"/>
    </row>
    <row r="174" spans="1:10">
      <c r="E174" s="9"/>
    </row>
    <row r="175" spans="1:10">
      <c r="E175" s="9"/>
    </row>
    <row r="176" spans="1:10">
      <c r="E176" s="9"/>
    </row>
    <row r="177" spans="5:5">
      <c r="E177" s="9"/>
    </row>
    <row r="178" spans="5:5">
      <c r="E178" s="9"/>
    </row>
    <row r="179" spans="5:5">
      <c r="E179" s="9"/>
    </row>
    <row r="180" spans="5:5">
      <c r="E180" s="9"/>
    </row>
    <row r="181" spans="5:5">
      <c r="E181" s="9"/>
    </row>
    <row r="182" spans="5:5">
      <c r="E182" s="9"/>
    </row>
    <row r="183" spans="5:5">
      <c r="E183" s="9"/>
    </row>
    <row r="184" spans="5:5">
      <c r="E184" s="9"/>
    </row>
    <row r="185" spans="5:5">
      <c r="E185" s="9"/>
    </row>
    <row r="186" spans="5:5">
      <c r="E186" s="9"/>
    </row>
    <row r="187" spans="5:5">
      <c r="E187" s="9"/>
    </row>
    <row r="188" spans="5:5">
      <c r="E188" s="9"/>
    </row>
    <row r="189" spans="5:5">
      <c r="E189" s="9"/>
    </row>
    <row r="190" spans="5:5">
      <c r="E190" s="9"/>
    </row>
    <row r="191" spans="5:5">
      <c r="E191" s="9"/>
    </row>
    <row r="192" spans="5:5">
      <c r="E192" s="9"/>
    </row>
    <row r="193" spans="5:5">
      <c r="E193" s="9"/>
    </row>
    <row r="194" spans="5:5">
      <c r="E194" s="9"/>
    </row>
    <row r="195" spans="5:5">
      <c r="E195" s="9"/>
    </row>
    <row r="196" spans="5:5">
      <c r="E196" s="9"/>
    </row>
    <row r="197" spans="5:5">
      <c r="E197" s="9"/>
    </row>
    <row r="198" spans="5:5">
      <c r="E198" s="9"/>
    </row>
    <row r="199" spans="5:5">
      <c r="E199" s="9"/>
    </row>
    <row r="200" spans="5:5">
      <c r="E200" s="9"/>
    </row>
    <row r="201" spans="5:5">
      <c r="E201" s="9"/>
    </row>
    <row r="202" spans="5:5">
      <c r="E202" s="9"/>
    </row>
    <row r="203" spans="5:5">
      <c r="E203" s="9"/>
    </row>
    <row r="204" spans="5:5">
      <c r="E204" s="9"/>
    </row>
    <row r="205" spans="5:5">
      <c r="E205" s="9"/>
    </row>
    <row r="206" spans="5:5">
      <c r="E206" s="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3"/>
  <sheetViews>
    <sheetView topLeftCell="A108" zoomScale="85" zoomScaleNormal="85" workbookViewId="0">
      <selection activeCell="C107" sqref="C107"/>
    </sheetView>
  </sheetViews>
  <sheetFormatPr defaultColWidth="9.125" defaultRowHeight="14.45"/>
  <cols>
    <col min="2" max="2" width="27.75" customWidth="1"/>
    <col min="3" max="3" width="27.5" customWidth="1"/>
    <col min="4" max="4" width="25" customWidth="1"/>
    <col min="5" max="5" width="26" customWidth="1"/>
    <col min="6" max="6" width="21.5" customWidth="1"/>
    <col min="7" max="7" width="25.5" customWidth="1"/>
    <col min="8" max="8" width="33" customWidth="1"/>
    <col min="9" max="9" width="24.75" customWidth="1"/>
    <col min="10" max="10" width="17.5" customWidth="1"/>
  </cols>
  <sheetData>
    <row r="1" spans="1:10">
      <c r="A1" s="62" t="s">
        <v>0</v>
      </c>
      <c r="B1" s="54" t="s">
        <v>1</v>
      </c>
      <c r="C1" s="54" t="s">
        <v>2</v>
      </c>
      <c r="D1" s="54" t="s">
        <v>3</v>
      </c>
      <c r="E1" s="54" t="s">
        <v>4</v>
      </c>
      <c r="F1" s="54" t="s">
        <v>5</v>
      </c>
      <c r="G1" s="54" t="s">
        <v>6</v>
      </c>
      <c r="H1" s="54" t="s">
        <v>7</v>
      </c>
      <c r="I1" s="54" t="s">
        <v>8</v>
      </c>
      <c r="J1" s="54" t="s">
        <v>9</v>
      </c>
    </row>
    <row r="2" spans="1:10" ht="57.95">
      <c r="A2">
        <v>1</v>
      </c>
      <c r="B2" t="s">
        <v>580</v>
      </c>
      <c r="C2" s="9" t="s">
        <v>581</v>
      </c>
      <c r="D2" t="s">
        <v>582</v>
      </c>
      <c r="E2" s="9" t="s">
        <v>583</v>
      </c>
      <c r="F2" s="9" t="s">
        <v>18</v>
      </c>
      <c r="G2" t="s">
        <v>16</v>
      </c>
      <c r="H2" t="s">
        <v>18</v>
      </c>
      <c r="I2" t="s">
        <v>18</v>
      </c>
      <c r="J2" t="s">
        <v>19</v>
      </c>
    </row>
    <row r="3" spans="1:10" ht="43.5">
      <c r="A3">
        <v>2</v>
      </c>
      <c r="B3" t="s">
        <v>584</v>
      </c>
      <c r="C3" s="9" t="s">
        <v>585</v>
      </c>
      <c r="D3" t="s">
        <v>582</v>
      </c>
      <c r="E3" s="9" t="s">
        <v>583</v>
      </c>
      <c r="F3" s="9" t="s">
        <v>18</v>
      </c>
      <c r="G3" t="s">
        <v>16</v>
      </c>
      <c r="H3" t="s">
        <v>18</v>
      </c>
      <c r="I3" t="s">
        <v>18</v>
      </c>
      <c r="J3" t="s">
        <v>19</v>
      </c>
    </row>
    <row r="4" spans="1:10" ht="72.599999999999994">
      <c r="A4">
        <v>3</v>
      </c>
      <c r="B4" t="s">
        <v>586</v>
      </c>
      <c r="C4" s="9" t="s">
        <v>587</v>
      </c>
      <c r="D4" t="s">
        <v>582</v>
      </c>
      <c r="E4" s="9" t="s">
        <v>588</v>
      </c>
      <c r="F4" s="9" t="s">
        <v>589</v>
      </c>
      <c r="G4" t="s">
        <v>16</v>
      </c>
      <c r="H4" t="s">
        <v>18</v>
      </c>
      <c r="I4" s="9" t="s">
        <v>590</v>
      </c>
      <c r="J4" t="s">
        <v>19</v>
      </c>
    </row>
    <row r="5" spans="1:10" ht="72.599999999999994">
      <c r="A5">
        <v>4</v>
      </c>
      <c r="B5" t="s">
        <v>591</v>
      </c>
      <c r="C5" s="9" t="s">
        <v>592</v>
      </c>
      <c r="D5" t="s">
        <v>593</v>
      </c>
      <c r="E5" s="9" t="s">
        <v>588</v>
      </c>
      <c r="F5" s="9" t="s">
        <v>594</v>
      </c>
      <c r="G5" t="s">
        <v>16</v>
      </c>
    </row>
    <row r="6" spans="1:10" ht="72.599999999999994">
      <c r="A6">
        <v>5</v>
      </c>
      <c r="B6" t="s">
        <v>595</v>
      </c>
      <c r="C6" s="9" t="s">
        <v>596</v>
      </c>
      <c r="D6" t="s">
        <v>593</v>
      </c>
      <c r="E6" s="9" t="s">
        <v>14</v>
      </c>
      <c r="F6" s="9" t="s">
        <v>594</v>
      </c>
      <c r="G6" t="s">
        <v>16</v>
      </c>
      <c r="H6" t="s">
        <v>18</v>
      </c>
      <c r="I6" s="9" t="s">
        <v>597</v>
      </c>
      <c r="J6" t="s">
        <v>19</v>
      </c>
    </row>
    <row r="7" spans="1:10" ht="72.599999999999994">
      <c r="A7">
        <v>6</v>
      </c>
      <c r="B7" t="s">
        <v>598</v>
      </c>
      <c r="C7" s="9" t="s">
        <v>599</v>
      </c>
      <c r="D7" t="s">
        <v>593</v>
      </c>
      <c r="E7" s="9" t="s">
        <v>14</v>
      </c>
      <c r="F7" s="9" t="s">
        <v>600</v>
      </c>
      <c r="G7" t="s">
        <v>16</v>
      </c>
      <c r="H7" t="s">
        <v>18</v>
      </c>
      <c r="I7" s="9" t="s">
        <v>601</v>
      </c>
      <c r="J7" t="s">
        <v>19</v>
      </c>
    </row>
    <row r="8" spans="1:10" ht="87">
      <c r="A8">
        <v>7</v>
      </c>
      <c r="B8" t="s">
        <v>602</v>
      </c>
      <c r="C8" t="s">
        <v>603</v>
      </c>
      <c r="D8" t="s">
        <v>604</v>
      </c>
      <c r="E8" s="9" t="s">
        <v>605</v>
      </c>
      <c r="F8" s="9" t="s">
        <v>606</v>
      </c>
      <c r="G8" t="s">
        <v>16</v>
      </c>
      <c r="H8" t="s">
        <v>18</v>
      </c>
      <c r="I8" s="9" t="s">
        <v>601</v>
      </c>
      <c r="J8" t="s">
        <v>19</v>
      </c>
    </row>
    <row r="9" spans="1:10" ht="43.5">
      <c r="A9">
        <v>8</v>
      </c>
      <c r="B9" t="s">
        <v>607</v>
      </c>
      <c r="C9" t="s">
        <v>608</v>
      </c>
      <c r="D9" t="s">
        <v>609</v>
      </c>
      <c r="E9" s="9" t="s">
        <v>583</v>
      </c>
      <c r="F9" s="9" t="s">
        <v>18</v>
      </c>
      <c r="G9" t="s">
        <v>16</v>
      </c>
      <c r="H9" t="s">
        <v>18</v>
      </c>
      <c r="I9" s="9" t="s">
        <v>18</v>
      </c>
      <c r="J9" t="s">
        <v>19</v>
      </c>
    </row>
    <row r="10" spans="1:10" ht="43.5">
      <c r="A10">
        <v>9</v>
      </c>
      <c r="B10" t="s">
        <v>610</v>
      </c>
      <c r="C10" s="9" t="s">
        <v>611</v>
      </c>
      <c r="D10" t="s">
        <v>609</v>
      </c>
      <c r="E10" s="9" t="s">
        <v>583</v>
      </c>
      <c r="F10" s="9" t="s">
        <v>18</v>
      </c>
      <c r="G10" t="s">
        <v>16</v>
      </c>
      <c r="H10" t="s">
        <v>18</v>
      </c>
      <c r="I10" s="9" t="s">
        <v>18</v>
      </c>
      <c r="J10" t="s">
        <v>19</v>
      </c>
    </row>
    <row r="11" spans="1:10" ht="43.5">
      <c r="A11">
        <v>10</v>
      </c>
      <c r="B11" t="s">
        <v>612</v>
      </c>
      <c r="C11" s="9" t="s">
        <v>613</v>
      </c>
      <c r="D11" t="s">
        <v>609</v>
      </c>
      <c r="E11" s="9" t="s">
        <v>583</v>
      </c>
      <c r="F11" s="9" t="s">
        <v>18</v>
      </c>
      <c r="G11" t="s">
        <v>16</v>
      </c>
      <c r="H11" t="s">
        <v>18</v>
      </c>
      <c r="I11" s="9" t="s">
        <v>18</v>
      </c>
      <c r="J11" t="s">
        <v>19</v>
      </c>
    </row>
    <row r="12" spans="1:10" ht="43.5">
      <c r="A12">
        <v>11</v>
      </c>
      <c r="B12" t="s">
        <v>614</v>
      </c>
      <c r="C12" s="9" t="s">
        <v>615</v>
      </c>
      <c r="D12" t="s">
        <v>609</v>
      </c>
      <c r="E12" s="9" t="s">
        <v>583</v>
      </c>
      <c r="F12" s="9" t="s">
        <v>18</v>
      </c>
      <c r="G12" t="s">
        <v>16</v>
      </c>
      <c r="H12" t="s">
        <v>18</v>
      </c>
      <c r="I12" s="9" t="s">
        <v>18</v>
      </c>
      <c r="J12" t="s">
        <v>19</v>
      </c>
    </row>
    <row r="13" spans="1:10" ht="43.5">
      <c r="A13">
        <v>12</v>
      </c>
      <c r="B13" t="s">
        <v>616</v>
      </c>
      <c r="C13" s="9" t="s">
        <v>617</v>
      </c>
      <c r="D13" t="s">
        <v>609</v>
      </c>
      <c r="E13" s="9" t="s">
        <v>583</v>
      </c>
      <c r="F13" s="9" t="s">
        <v>18</v>
      </c>
      <c r="G13" t="s">
        <v>16</v>
      </c>
      <c r="H13" t="s">
        <v>18</v>
      </c>
      <c r="I13" s="9" t="s">
        <v>18</v>
      </c>
      <c r="J13" t="s">
        <v>19</v>
      </c>
    </row>
    <row r="14" spans="1:10" ht="43.5">
      <c r="A14">
        <v>13</v>
      </c>
      <c r="B14" t="s">
        <v>618</v>
      </c>
      <c r="C14" s="9" t="s">
        <v>619</v>
      </c>
      <c r="D14" t="s">
        <v>609</v>
      </c>
      <c r="E14" s="9" t="s">
        <v>583</v>
      </c>
      <c r="F14" s="9" t="s">
        <v>18</v>
      </c>
      <c r="G14" t="s">
        <v>16</v>
      </c>
      <c r="H14" t="s">
        <v>18</v>
      </c>
      <c r="I14" s="9" t="s">
        <v>18</v>
      </c>
      <c r="J14" t="s">
        <v>19</v>
      </c>
    </row>
    <row r="15" spans="1:10" ht="72.599999999999994">
      <c r="A15">
        <v>14</v>
      </c>
      <c r="B15" t="s">
        <v>620</v>
      </c>
      <c r="C15" s="9" t="s">
        <v>621</v>
      </c>
      <c r="D15" t="s">
        <v>609</v>
      </c>
      <c r="E15" s="9" t="s">
        <v>622</v>
      </c>
      <c r="F15" s="9" t="s">
        <v>594</v>
      </c>
      <c r="G15" t="s">
        <v>16</v>
      </c>
      <c r="I15" s="9"/>
    </row>
    <row r="16" spans="1:10" ht="72.599999999999994">
      <c r="A16">
        <v>15</v>
      </c>
      <c r="B16" t="s">
        <v>623</v>
      </c>
      <c r="C16" s="9" t="s">
        <v>624</v>
      </c>
      <c r="D16" t="s">
        <v>609</v>
      </c>
      <c r="E16" s="9" t="s">
        <v>625</v>
      </c>
      <c r="F16" s="9" t="s">
        <v>594</v>
      </c>
      <c r="G16" t="s">
        <v>16</v>
      </c>
      <c r="H16" t="s">
        <v>18</v>
      </c>
      <c r="I16" s="9" t="s">
        <v>18</v>
      </c>
      <c r="J16" t="s">
        <v>19</v>
      </c>
    </row>
    <row r="17" spans="1:10" ht="72.599999999999994">
      <c r="A17">
        <v>16</v>
      </c>
      <c r="B17" t="s">
        <v>626</v>
      </c>
      <c r="C17" s="9" t="s">
        <v>627</v>
      </c>
      <c r="D17" t="s">
        <v>609</v>
      </c>
      <c r="E17" s="9" t="s">
        <v>14</v>
      </c>
      <c r="F17" s="9" t="s">
        <v>594</v>
      </c>
      <c r="G17" t="s">
        <v>16</v>
      </c>
      <c r="H17" t="s">
        <v>18</v>
      </c>
      <c r="I17" s="9" t="s">
        <v>18</v>
      </c>
      <c r="J17" t="s">
        <v>19</v>
      </c>
    </row>
    <row r="18" spans="1:10" ht="72.599999999999994">
      <c r="A18">
        <v>17</v>
      </c>
      <c r="B18" t="s">
        <v>628</v>
      </c>
      <c r="C18" s="9" t="s">
        <v>629</v>
      </c>
      <c r="D18" t="s">
        <v>609</v>
      </c>
      <c r="E18" s="9" t="s">
        <v>14</v>
      </c>
      <c r="F18" s="9" t="s">
        <v>594</v>
      </c>
      <c r="G18" t="s">
        <v>16</v>
      </c>
      <c r="H18" s="55">
        <v>200000</v>
      </c>
      <c r="I18" s="9" t="s">
        <v>18</v>
      </c>
    </row>
    <row r="19" spans="1:10" ht="87">
      <c r="A19">
        <v>18</v>
      </c>
      <c r="B19" t="s">
        <v>630</v>
      </c>
      <c r="C19" s="9" t="s">
        <v>631</v>
      </c>
      <c r="D19" t="s">
        <v>632</v>
      </c>
      <c r="E19" s="9" t="s">
        <v>605</v>
      </c>
      <c r="F19" s="9" t="s">
        <v>606</v>
      </c>
      <c r="G19" t="s">
        <v>16</v>
      </c>
      <c r="H19" t="s">
        <v>18</v>
      </c>
      <c r="I19" s="9" t="s">
        <v>601</v>
      </c>
      <c r="J19" t="s">
        <v>19</v>
      </c>
    </row>
    <row r="20" spans="1:10" ht="87">
      <c r="A20">
        <v>19</v>
      </c>
      <c r="B20" t="s">
        <v>633</v>
      </c>
      <c r="C20" s="9" t="s">
        <v>634</v>
      </c>
      <c r="D20" t="s">
        <v>632</v>
      </c>
      <c r="E20" s="9" t="s">
        <v>605</v>
      </c>
      <c r="F20" s="9" t="s">
        <v>606</v>
      </c>
      <c r="G20" t="s">
        <v>16</v>
      </c>
    </row>
    <row r="21" spans="1:10" ht="43.5">
      <c r="A21">
        <v>20</v>
      </c>
      <c r="B21" t="s">
        <v>635</v>
      </c>
      <c r="C21" s="9" t="s">
        <v>636</v>
      </c>
      <c r="D21" t="s">
        <v>632</v>
      </c>
      <c r="E21" s="9" t="s">
        <v>625</v>
      </c>
      <c r="F21" s="9" t="s">
        <v>18</v>
      </c>
      <c r="G21" t="s">
        <v>16</v>
      </c>
      <c r="H21" t="s">
        <v>18</v>
      </c>
      <c r="I21" t="s">
        <v>18</v>
      </c>
      <c r="J21" t="s">
        <v>19</v>
      </c>
    </row>
    <row r="22" spans="1:10" ht="29.1">
      <c r="A22">
        <v>21</v>
      </c>
      <c r="B22" t="s">
        <v>47</v>
      </c>
      <c r="C22" s="9" t="s">
        <v>637</v>
      </c>
      <c r="D22" t="s">
        <v>632</v>
      </c>
      <c r="E22" s="9" t="s">
        <v>625</v>
      </c>
      <c r="F22" s="9" t="s">
        <v>18</v>
      </c>
      <c r="G22" t="s">
        <v>16</v>
      </c>
      <c r="H22" t="s">
        <v>18</v>
      </c>
      <c r="I22" t="s">
        <v>18</v>
      </c>
      <c r="J22" t="s">
        <v>19</v>
      </c>
    </row>
    <row r="23" spans="1:10" ht="72.599999999999994">
      <c r="A23">
        <v>22</v>
      </c>
      <c r="B23" t="s">
        <v>638</v>
      </c>
      <c r="C23" s="9" t="s">
        <v>639</v>
      </c>
      <c r="D23" t="s">
        <v>632</v>
      </c>
      <c r="E23" s="9" t="s">
        <v>640</v>
      </c>
      <c r="F23" s="9" t="s">
        <v>594</v>
      </c>
      <c r="G23" t="s">
        <v>16</v>
      </c>
      <c r="H23" s="55">
        <v>200000</v>
      </c>
      <c r="I23" t="s">
        <v>18</v>
      </c>
    </row>
    <row r="24" spans="1:10" ht="43.5">
      <c r="A24">
        <v>23</v>
      </c>
      <c r="B24" t="s">
        <v>641</v>
      </c>
      <c r="C24" t="s">
        <v>642</v>
      </c>
      <c r="D24" t="s">
        <v>643</v>
      </c>
      <c r="E24" s="9" t="s">
        <v>583</v>
      </c>
      <c r="F24" s="9" t="s">
        <v>644</v>
      </c>
      <c r="G24" t="s">
        <v>16</v>
      </c>
      <c r="H24" t="s">
        <v>18</v>
      </c>
      <c r="I24" t="s">
        <v>18</v>
      </c>
      <c r="J24" t="s">
        <v>19</v>
      </c>
    </row>
    <row r="25" spans="1:10" ht="87">
      <c r="A25">
        <v>24</v>
      </c>
      <c r="B25" t="s">
        <v>645</v>
      </c>
      <c r="C25" s="9" t="s">
        <v>646</v>
      </c>
      <c r="D25" t="s">
        <v>643</v>
      </c>
      <c r="E25" s="9" t="s">
        <v>605</v>
      </c>
      <c r="F25" s="9" t="s">
        <v>606</v>
      </c>
      <c r="G25" t="s">
        <v>16</v>
      </c>
      <c r="H25" t="s">
        <v>18</v>
      </c>
      <c r="I25" s="9" t="s">
        <v>647</v>
      </c>
      <c r="J25" t="s">
        <v>19</v>
      </c>
    </row>
    <row r="26" spans="1:10" ht="87">
      <c r="A26">
        <v>25</v>
      </c>
      <c r="B26" t="s">
        <v>648</v>
      </c>
      <c r="C26" t="s">
        <v>649</v>
      </c>
      <c r="D26" t="s">
        <v>643</v>
      </c>
      <c r="E26" s="9" t="s">
        <v>605</v>
      </c>
      <c r="F26" s="9" t="s">
        <v>606</v>
      </c>
      <c r="G26" t="s">
        <v>16</v>
      </c>
    </row>
    <row r="27" spans="1:10" ht="43.5">
      <c r="A27">
        <v>26</v>
      </c>
      <c r="B27" t="s">
        <v>650</v>
      </c>
      <c r="C27" s="9" t="s">
        <v>651</v>
      </c>
      <c r="D27" t="s">
        <v>643</v>
      </c>
      <c r="E27" s="9" t="s">
        <v>583</v>
      </c>
      <c r="F27" t="s">
        <v>18</v>
      </c>
      <c r="G27" t="s">
        <v>16</v>
      </c>
      <c r="H27" t="s">
        <v>18</v>
      </c>
      <c r="I27" t="s">
        <v>18</v>
      </c>
      <c r="J27" t="s">
        <v>19</v>
      </c>
    </row>
    <row r="28" spans="1:10" ht="87">
      <c r="A28">
        <v>27</v>
      </c>
      <c r="B28" t="s">
        <v>652</v>
      </c>
      <c r="C28" t="s">
        <v>653</v>
      </c>
      <c r="D28" t="s">
        <v>654</v>
      </c>
      <c r="E28" s="9" t="s">
        <v>605</v>
      </c>
      <c r="F28" s="9" t="s">
        <v>606</v>
      </c>
      <c r="G28" t="s">
        <v>16</v>
      </c>
      <c r="H28" t="s">
        <v>18</v>
      </c>
      <c r="I28" s="9" t="s">
        <v>647</v>
      </c>
      <c r="J28" t="s">
        <v>19</v>
      </c>
    </row>
    <row r="29" spans="1:10" ht="87">
      <c r="A29">
        <v>28</v>
      </c>
      <c r="B29" t="s">
        <v>655</v>
      </c>
      <c r="C29" t="s">
        <v>656</v>
      </c>
      <c r="D29" t="s">
        <v>654</v>
      </c>
      <c r="E29" s="9" t="s">
        <v>605</v>
      </c>
      <c r="F29" s="9" t="s">
        <v>606</v>
      </c>
      <c r="G29" t="s">
        <v>16</v>
      </c>
    </row>
    <row r="30" spans="1:10" ht="87">
      <c r="A30">
        <v>29</v>
      </c>
      <c r="B30" t="s">
        <v>657</v>
      </c>
      <c r="C30" s="9" t="s">
        <v>658</v>
      </c>
      <c r="D30" t="s">
        <v>654</v>
      </c>
      <c r="E30" s="9" t="s">
        <v>605</v>
      </c>
      <c r="F30" s="9" t="s">
        <v>606</v>
      </c>
      <c r="G30" t="s">
        <v>16</v>
      </c>
      <c r="H30" t="s">
        <v>18</v>
      </c>
      <c r="I30" s="9" t="s">
        <v>647</v>
      </c>
      <c r="J30" t="s">
        <v>19</v>
      </c>
    </row>
    <row r="31" spans="1:10" ht="43.5">
      <c r="A31">
        <v>30</v>
      </c>
      <c r="B31" t="s">
        <v>659</v>
      </c>
      <c r="C31" s="9" t="s">
        <v>660</v>
      </c>
      <c r="D31" t="s">
        <v>654</v>
      </c>
      <c r="E31" s="9" t="s">
        <v>605</v>
      </c>
      <c r="F31" s="9" t="s">
        <v>18</v>
      </c>
      <c r="G31" t="s">
        <v>16</v>
      </c>
      <c r="H31" t="s">
        <v>18</v>
      </c>
      <c r="I31" t="s">
        <v>18</v>
      </c>
      <c r="J31" t="s">
        <v>19</v>
      </c>
    </row>
    <row r="32" spans="1:10" ht="72.599999999999994">
      <c r="A32">
        <v>31</v>
      </c>
      <c r="B32" t="s">
        <v>661</v>
      </c>
      <c r="C32" s="9" t="s">
        <v>662</v>
      </c>
      <c r="D32" t="s">
        <v>663</v>
      </c>
      <c r="E32" s="9" t="s">
        <v>14</v>
      </c>
      <c r="F32" s="9" t="s">
        <v>594</v>
      </c>
      <c r="G32" t="s">
        <v>16</v>
      </c>
    </row>
    <row r="33" spans="1:10" ht="72.599999999999994">
      <c r="A33">
        <v>32</v>
      </c>
      <c r="B33" t="s">
        <v>664</v>
      </c>
      <c r="C33" s="9" t="s">
        <v>665</v>
      </c>
      <c r="D33" t="s">
        <v>663</v>
      </c>
      <c r="E33" s="9" t="s">
        <v>666</v>
      </c>
      <c r="F33" s="9" t="s">
        <v>594</v>
      </c>
      <c r="G33" t="s">
        <v>16</v>
      </c>
      <c r="H33" s="55">
        <v>200000</v>
      </c>
      <c r="I33" t="s">
        <v>18</v>
      </c>
    </row>
    <row r="34" spans="1:10" ht="72.599999999999994">
      <c r="A34">
        <v>33</v>
      </c>
      <c r="B34" t="s">
        <v>667</v>
      </c>
      <c r="C34" s="9" t="s">
        <v>668</v>
      </c>
      <c r="D34" t="s">
        <v>663</v>
      </c>
      <c r="E34" s="9" t="s">
        <v>14</v>
      </c>
      <c r="F34" s="9" t="s">
        <v>594</v>
      </c>
      <c r="G34" t="s">
        <v>16</v>
      </c>
      <c r="H34" t="s">
        <v>18</v>
      </c>
      <c r="I34" s="9" t="s">
        <v>669</v>
      </c>
      <c r="J34" t="s">
        <v>19</v>
      </c>
    </row>
    <row r="35" spans="1:10" ht="72.599999999999994">
      <c r="A35">
        <v>34</v>
      </c>
      <c r="B35" t="s">
        <v>670</v>
      </c>
      <c r="C35" s="9" t="s">
        <v>671</v>
      </c>
      <c r="D35" t="s">
        <v>663</v>
      </c>
      <c r="E35" s="9" t="s">
        <v>14</v>
      </c>
      <c r="F35" s="9" t="s">
        <v>594</v>
      </c>
      <c r="G35" t="s">
        <v>16</v>
      </c>
      <c r="H35" t="s">
        <v>18</v>
      </c>
      <c r="I35" s="9" t="s">
        <v>647</v>
      </c>
      <c r="J35" t="s">
        <v>19</v>
      </c>
    </row>
    <row r="36" spans="1:10" ht="72.599999999999994">
      <c r="A36">
        <v>35</v>
      </c>
      <c r="B36" t="s">
        <v>672</v>
      </c>
      <c r="C36" s="9" t="s">
        <v>673</v>
      </c>
      <c r="D36" t="s">
        <v>663</v>
      </c>
      <c r="E36" s="9" t="s">
        <v>666</v>
      </c>
      <c r="F36" s="9" t="s">
        <v>594</v>
      </c>
      <c r="G36" t="s">
        <v>16</v>
      </c>
    </row>
    <row r="37" spans="1:10" ht="43.5">
      <c r="A37">
        <v>36</v>
      </c>
      <c r="B37" t="s">
        <v>674</v>
      </c>
      <c r="C37" s="9" t="s">
        <v>675</v>
      </c>
      <c r="D37" t="s">
        <v>663</v>
      </c>
      <c r="E37" s="9" t="s">
        <v>625</v>
      </c>
      <c r="F37" s="9" t="s">
        <v>18</v>
      </c>
      <c r="G37" t="s">
        <v>16</v>
      </c>
      <c r="H37" t="s">
        <v>18</v>
      </c>
      <c r="I37" t="s">
        <v>18</v>
      </c>
      <c r="J37" t="s">
        <v>19</v>
      </c>
    </row>
    <row r="38" spans="1:10" ht="29.1">
      <c r="A38">
        <v>37</v>
      </c>
      <c r="B38" s="9" t="s">
        <v>676</v>
      </c>
      <c r="C38" s="9" t="s">
        <v>677</v>
      </c>
      <c r="D38" t="s">
        <v>663</v>
      </c>
      <c r="E38" s="9" t="s">
        <v>625</v>
      </c>
      <c r="F38" s="9" t="s">
        <v>18</v>
      </c>
      <c r="G38" t="s">
        <v>16</v>
      </c>
      <c r="H38" t="s">
        <v>18</v>
      </c>
      <c r="I38" t="s">
        <v>18</v>
      </c>
      <c r="J38" t="s">
        <v>19</v>
      </c>
    </row>
    <row r="39" spans="1:10" ht="29.1">
      <c r="A39">
        <v>38</v>
      </c>
      <c r="B39" t="s">
        <v>678</v>
      </c>
      <c r="C39" s="9" t="s">
        <v>679</v>
      </c>
      <c r="D39" t="s">
        <v>663</v>
      </c>
      <c r="E39" s="9" t="s">
        <v>680</v>
      </c>
      <c r="F39" s="9" t="s">
        <v>18</v>
      </c>
      <c r="G39" t="s">
        <v>16</v>
      </c>
      <c r="H39" t="s">
        <v>18</v>
      </c>
      <c r="I39" t="s">
        <v>18</v>
      </c>
      <c r="J39" t="s">
        <v>19</v>
      </c>
    </row>
    <row r="40" spans="1:10" ht="29.1">
      <c r="A40">
        <v>39</v>
      </c>
      <c r="B40" t="s">
        <v>681</v>
      </c>
      <c r="C40" s="9" t="s">
        <v>682</v>
      </c>
      <c r="D40" t="s">
        <v>663</v>
      </c>
      <c r="E40" s="9" t="s">
        <v>683</v>
      </c>
      <c r="F40" s="9" t="s">
        <v>18</v>
      </c>
      <c r="G40" t="s">
        <v>16</v>
      </c>
      <c r="H40" t="s">
        <v>18</v>
      </c>
      <c r="I40" t="s">
        <v>18</v>
      </c>
      <c r="J40" t="s">
        <v>19</v>
      </c>
    </row>
    <row r="41" spans="1:10" ht="29.1">
      <c r="A41">
        <v>40</v>
      </c>
      <c r="B41" t="s">
        <v>684</v>
      </c>
      <c r="C41" s="9" t="s">
        <v>685</v>
      </c>
      <c r="D41" t="s">
        <v>663</v>
      </c>
      <c r="E41" s="9" t="s">
        <v>683</v>
      </c>
      <c r="F41" s="9" t="s">
        <v>18</v>
      </c>
      <c r="G41" t="s">
        <v>16</v>
      </c>
      <c r="H41" t="s">
        <v>18</v>
      </c>
      <c r="I41" t="s">
        <v>18</v>
      </c>
      <c r="J41" t="s">
        <v>19</v>
      </c>
    </row>
    <row r="42" spans="1:10" ht="72.599999999999994">
      <c r="A42">
        <v>41</v>
      </c>
      <c r="B42" t="s">
        <v>686</v>
      </c>
      <c r="C42" s="9"/>
      <c r="D42" t="s">
        <v>687</v>
      </c>
      <c r="E42" s="9" t="s">
        <v>14</v>
      </c>
      <c r="F42" s="9" t="s">
        <v>594</v>
      </c>
      <c r="G42" t="s">
        <v>16</v>
      </c>
    </row>
    <row r="43" spans="1:10" ht="72.599999999999994">
      <c r="A43">
        <v>42</v>
      </c>
      <c r="B43" t="s">
        <v>688</v>
      </c>
      <c r="C43" s="9" t="s">
        <v>689</v>
      </c>
      <c r="D43" t="s">
        <v>687</v>
      </c>
      <c r="E43" s="9" t="s">
        <v>14</v>
      </c>
      <c r="F43" s="9" t="s">
        <v>594</v>
      </c>
      <c r="G43" t="s">
        <v>16</v>
      </c>
    </row>
    <row r="44" spans="1:10" ht="72.599999999999994">
      <c r="A44">
        <v>43</v>
      </c>
      <c r="B44" t="s">
        <v>690</v>
      </c>
      <c r="C44" s="9"/>
      <c r="D44" t="s">
        <v>687</v>
      </c>
      <c r="E44" s="9" t="s">
        <v>625</v>
      </c>
      <c r="F44" s="9" t="s">
        <v>594</v>
      </c>
      <c r="G44" t="s">
        <v>16</v>
      </c>
      <c r="H44" t="s">
        <v>18</v>
      </c>
      <c r="I44" t="s">
        <v>18</v>
      </c>
      <c r="J44" t="s">
        <v>19</v>
      </c>
    </row>
    <row r="45" spans="1:10" ht="72.599999999999994">
      <c r="A45">
        <v>44</v>
      </c>
      <c r="B45" t="s">
        <v>691</v>
      </c>
      <c r="C45" s="9" t="s">
        <v>692</v>
      </c>
      <c r="D45" t="s">
        <v>687</v>
      </c>
      <c r="E45" s="9" t="s">
        <v>14</v>
      </c>
      <c r="F45" s="9" t="s">
        <v>589</v>
      </c>
      <c r="G45" t="s">
        <v>16</v>
      </c>
    </row>
    <row r="46" spans="1:10" ht="72.599999999999994">
      <c r="A46">
        <v>45</v>
      </c>
      <c r="B46" t="s">
        <v>693</v>
      </c>
      <c r="C46" s="9" t="s">
        <v>694</v>
      </c>
      <c r="D46" s="56" t="s">
        <v>695</v>
      </c>
      <c r="E46" s="9" t="s">
        <v>14</v>
      </c>
      <c r="F46" s="9" t="s">
        <v>594</v>
      </c>
      <c r="G46" t="s">
        <v>16</v>
      </c>
      <c r="H46" t="s">
        <v>18</v>
      </c>
      <c r="I46" t="s">
        <v>18</v>
      </c>
    </row>
    <row r="47" spans="1:10" ht="72.599999999999994">
      <c r="A47">
        <v>46</v>
      </c>
      <c r="B47" t="s">
        <v>696</v>
      </c>
      <c r="C47" s="9" t="s">
        <v>697</v>
      </c>
      <c r="D47" t="s">
        <v>695</v>
      </c>
      <c r="E47" s="9" t="s">
        <v>14</v>
      </c>
      <c r="F47" s="9" t="s">
        <v>594</v>
      </c>
      <c r="G47" t="s">
        <v>16</v>
      </c>
      <c r="H47" t="s">
        <v>18</v>
      </c>
      <c r="I47" t="s">
        <v>18</v>
      </c>
    </row>
    <row r="48" spans="1:10" ht="72.599999999999994">
      <c r="A48">
        <v>47</v>
      </c>
      <c r="B48" t="s">
        <v>698</v>
      </c>
      <c r="C48" s="9"/>
      <c r="D48" t="s">
        <v>695</v>
      </c>
      <c r="E48" s="9" t="s">
        <v>666</v>
      </c>
      <c r="F48" s="9" t="s">
        <v>699</v>
      </c>
      <c r="G48" t="s">
        <v>16</v>
      </c>
      <c r="H48" t="s">
        <v>18</v>
      </c>
      <c r="I48" t="s">
        <v>18</v>
      </c>
    </row>
    <row r="49" spans="1:9" ht="29.1">
      <c r="A49">
        <v>48</v>
      </c>
      <c r="B49" t="s">
        <v>700</v>
      </c>
      <c r="C49" s="9" t="s">
        <v>701</v>
      </c>
      <c r="D49" t="s">
        <v>702</v>
      </c>
      <c r="E49" s="9" t="s">
        <v>625</v>
      </c>
      <c r="F49" s="9" t="s">
        <v>18</v>
      </c>
      <c r="G49" t="s">
        <v>16</v>
      </c>
      <c r="H49" t="s">
        <v>18</v>
      </c>
      <c r="I49" t="s">
        <v>18</v>
      </c>
    </row>
    <row r="50" spans="1:9" ht="29.1">
      <c r="A50">
        <v>49</v>
      </c>
      <c r="B50" t="s">
        <v>703</v>
      </c>
      <c r="C50" s="9" t="s">
        <v>704</v>
      </c>
      <c r="D50" t="s">
        <v>702</v>
      </c>
      <c r="E50" s="9" t="s">
        <v>680</v>
      </c>
      <c r="F50" s="9" t="s">
        <v>18</v>
      </c>
      <c r="G50" t="s">
        <v>16</v>
      </c>
      <c r="H50" t="s">
        <v>18</v>
      </c>
      <c r="I50" t="s">
        <v>18</v>
      </c>
    </row>
    <row r="51" spans="1:9" ht="29.1">
      <c r="A51">
        <v>50</v>
      </c>
      <c r="B51" t="s">
        <v>705</v>
      </c>
      <c r="C51" s="9" t="s">
        <v>706</v>
      </c>
      <c r="D51" t="s">
        <v>702</v>
      </c>
      <c r="E51" s="9" t="s">
        <v>680</v>
      </c>
      <c r="F51" s="9" t="s">
        <v>18</v>
      </c>
      <c r="G51" t="s">
        <v>16</v>
      </c>
      <c r="H51" t="s">
        <v>18</v>
      </c>
      <c r="I51" t="s">
        <v>18</v>
      </c>
    </row>
    <row r="52" spans="1:9" ht="29.1">
      <c r="A52">
        <v>51</v>
      </c>
      <c r="B52" t="s">
        <v>707</v>
      </c>
      <c r="C52" s="9" t="s">
        <v>708</v>
      </c>
      <c r="D52" t="s">
        <v>702</v>
      </c>
      <c r="E52" s="9" t="s">
        <v>625</v>
      </c>
      <c r="F52" s="9" t="s">
        <v>18</v>
      </c>
      <c r="G52" t="s">
        <v>16</v>
      </c>
      <c r="H52" t="s">
        <v>18</v>
      </c>
      <c r="I52" t="s">
        <v>18</v>
      </c>
    </row>
    <row r="53" spans="1:9" ht="29.1">
      <c r="A53">
        <v>52</v>
      </c>
      <c r="B53" t="s">
        <v>709</v>
      </c>
      <c r="C53" s="9" t="s">
        <v>710</v>
      </c>
      <c r="D53" t="s">
        <v>702</v>
      </c>
      <c r="E53" s="9" t="s">
        <v>625</v>
      </c>
      <c r="F53" s="9" t="s">
        <v>18</v>
      </c>
      <c r="G53" t="s">
        <v>16</v>
      </c>
      <c r="H53" t="s">
        <v>18</v>
      </c>
      <c r="I53" t="s">
        <v>18</v>
      </c>
    </row>
    <row r="54" spans="1:9" ht="72.599999999999994">
      <c r="A54">
        <v>53</v>
      </c>
      <c r="B54" t="s">
        <v>711</v>
      </c>
      <c r="C54" s="9" t="s">
        <v>712</v>
      </c>
      <c r="D54" t="s">
        <v>702</v>
      </c>
      <c r="E54" s="9" t="s">
        <v>14</v>
      </c>
      <c r="F54" s="9" t="s">
        <v>594</v>
      </c>
      <c r="G54" t="s">
        <v>16</v>
      </c>
      <c r="H54" t="s">
        <v>18</v>
      </c>
      <c r="I54" t="s">
        <v>18</v>
      </c>
    </row>
    <row r="55" spans="1:9" ht="72.599999999999994">
      <c r="A55">
        <v>54</v>
      </c>
      <c r="B55" t="s">
        <v>713</v>
      </c>
      <c r="C55" s="9" t="s">
        <v>714</v>
      </c>
      <c r="D55" t="s">
        <v>702</v>
      </c>
      <c r="E55" s="9" t="s">
        <v>14</v>
      </c>
      <c r="F55" s="9" t="s">
        <v>594</v>
      </c>
      <c r="G55" t="s">
        <v>16</v>
      </c>
      <c r="H55" t="s">
        <v>18</v>
      </c>
      <c r="I55" t="s">
        <v>18</v>
      </c>
    </row>
    <row r="56" spans="1:9" ht="72.599999999999994">
      <c r="A56">
        <v>55</v>
      </c>
      <c r="B56" t="s">
        <v>715</v>
      </c>
      <c r="C56" s="9" t="s">
        <v>716</v>
      </c>
      <c r="D56" t="s">
        <v>702</v>
      </c>
      <c r="E56" s="9" t="s">
        <v>14</v>
      </c>
      <c r="F56" s="9" t="s">
        <v>594</v>
      </c>
      <c r="G56" t="s">
        <v>16</v>
      </c>
      <c r="H56" t="s">
        <v>18</v>
      </c>
      <c r="I56" t="s">
        <v>18</v>
      </c>
    </row>
    <row r="57" spans="1:9" ht="72.599999999999994">
      <c r="A57">
        <v>56</v>
      </c>
      <c r="B57" t="s">
        <v>717</v>
      </c>
      <c r="C57" s="9" t="s">
        <v>718</v>
      </c>
      <c r="D57" t="s">
        <v>702</v>
      </c>
      <c r="E57" s="9" t="s">
        <v>14</v>
      </c>
      <c r="F57" s="9" t="s">
        <v>594</v>
      </c>
      <c r="G57" t="s">
        <v>16</v>
      </c>
      <c r="H57" t="s">
        <v>18</v>
      </c>
      <c r="I57" t="s">
        <v>18</v>
      </c>
    </row>
    <row r="58" spans="1:9" ht="72.599999999999994">
      <c r="A58">
        <v>57</v>
      </c>
      <c r="B58" t="s">
        <v>719</v>
      </c>
      <c r="C58" s="9" t="s">
        <v>720</v>
      </c>
      <c r="D58" t="s">
        <v>721</v>
      </c>
      <c r="E58" s="9" t="s">
        <v>14</v>
      </c>
      <c r="F58" s="9" t="s">
        <v>594</v>
      </c>
      <c r="G58" t="s">
        <v>16</v>
      </c>
      <c r="H58" t="s">
        <v>18</v>
      </c>
      <c r="I58" t="s">
        <v>18</v>
      </c>
    </row>
    <row r="59" spans="1:9" ht="72.599999999999994">
      <c r="A59">
        <v>58</v>
      </c>
      <c r="B59" t="s">
        <v>722</v>
      </c>
      <c r="C59" s="9" t="s">
        <v>723</v>
      </c>
      <c r="D59" t="s">
        <v>724</v>
      </c>
      <c r="E59" s="9" t="s">
        <v>14</v>
      </c>
      <c r="F59" s="9" t="s">
        <v>594</v>
      </c>
      <c r="G59" t="s">
        <v>16</v>
      </c>
      <c r="H59" t="s">
        <v>18</v>
      </c>
      <c r="I59" t="s">
        <v>18</v>
      </c>
    </row>
    <row r="60" spans="1:9" ht="29.1">
      <c r="A60">
        <v>59</v>
      </c>
      <c r="B60" t="s">
        <v>725</v>
      </c>
      <c r="C60" s="9"/>
      <c r="D60" s="57" t="s">
        <v>726</v>
      </c>
      <c r="E60" s="9" t="s">
        <v>680</v>
      </c>
      <c r="F60" s="9" t="s">
        <v>18</v>
      </c>
      <c r="G60" t="s">
        <v>16</v>
      </c>
      <c r="H60" t="s">
        <v>18</v>
      </c>
      <c r="I60" t="s">
        <v>18</v>
      </c>
    </row>
    <row r="61" spans="1:9" ht="72.599999999999994">
      <c r="A61">
        <v>60</v>
      </c>
      <c r="B61" t="s">
        <v>727</v>
      </c>
      <c r="C61" s="9"/>
      <c r="D61" t="s">
        <v>728</v>
      </c>
      <c r="E61" s="9" t="s">
        <v>14</v>
      </c>
      <c r="F61" s="9" t="s">
        <v>594</v>
      </c>
      <c r="G61" t="s">
        <v>16</v>
      </c>
      <c r="H61" t="s">
        <v>18</v>
      </c>
      <c r="I61" t="s">
        <v>18</v>
      </c>
    </row>
    <row r="62" spans="1:9" ht="72.599999999999994">
      <c r="A62">
        <v>61</v>
      </c>
      <c r="B62" t="s">
        <v>729</v>
      </c>
      <c r="C62" s="9" t="s">
        <v>730</v>
      </c>
      <c r="D62" t="s">
        <v>731</v>
      </c>
      <c r="E62" s="9" t="s">
        <v>14</v>
      </c>
      <c r="F62" s="9" t="s">
        <v>594</v>
      </c>
      <c r="G62" t="s">
        <v>16</v>
      </c>
      <c r="H62" t="s">
        <v>18</v>
      </c>
      <c r="I62" t="s">
        <v>18</v>
      </c>
    </row>
    <row r="63" spans="1:9" ht="72.599999999999994">
      <c r="A63">
        <v>62</v>
      </c>
      <c r="B63" t="s">
        <v>732</v>
      </c>
      <c r="C63" s="9" t="s">
        <v>733</v>
      </c>
      <c r="D63" t="s">
        <v>731</v>
      </c>
      <c r="E63" s="9" t="s">
        <v>14</v>
      </c>
      <c r="F63" s="9" t="s">
        <v>594</v>
      </c>
      <c r="G63" t="s">
        <v>16</v>
      </c>
      <c r="H63" t="s">
        <v>18</v>
      </c>
      <c r="I63" t="s">
        <v>18</v>
      </c>
    </row>
    <row r="64" spans="1:9" ht="72.599999999999994">
      <c r="A64">
        <v>63</v>
      </c>
      <c r="B64" t="s">
        <v>734</v>
      </c>
      <c r="C64" s="9" t="s">
        <v>735</v>
      </c>
      <c r="D64" t="s">
        <v>731</v>
      </c>
      <c r="E64" s="9" t="s">
        <v>14</v>
      </c>
      <c r="F64" s="9" t="s">
        <v>594</v>
      </c>
      <c r="G64" t="s">
        <v>16</v>
      </c>
      <c r="H64" t="s">
        <v>18</v>
      </c>
      <c r="I64" t="s">
        <v>18</v>
      </c>
    </row>
    <row r="65" spans="1:9" ht="72.599999999999994">
      <c r="A65">
        <v>64</v>
      </c>
      <c r="B65" t="s">
        <v>736</v>
      </c>
      <c r="C65" s="9" t="s">
        <v>737</v>
      </c>
      <c r="D65" t="s">
        <v>738</v>
      </c>
      <c r="E65" s="9" t="s">
        <v>14</v>
      </c>
      <c r="F65" s="9" t="s">
        <v>594</v>
      </c>
      <c r="G65" t="s">
        <v>16</v>
      </c>
      <c r="H65" t="s">
        <v>18</v>
      </c>
      <c r="I65" t="s">
        <v>18</v>
      </c>
    </row>
    <row r="66" spans="1:9" ht="72.599999999999994">
      <c r="A66">
        <v>65</v>
      </c>
      <c r="B66" t="s">
        <v>739</v>
      </c>
      <c r="C66" s="9"/>
      <c r="D66" t="s">
        <v>738</v>
      </c>
      <c r="E66" s="9" t="s">
        <v>666</v>
      </c>
      <c r="F66" s="9" t="s">
        <v>594</v>
      </c>
      <c r="G66" t="s">
        <v>16</v>
      </c>
      <c r="H66" t="s">
        <v>18</v>
      </c>
      <c r="I66" t="s">
        <v>18</v>
      </c>
    </row>
    <row r="67" spans="1:9" ht="43.5">
      <c r="A67">
        <v>66</v>
      </c>
      <c r="B67" t="s">
        <v>740</v>
      </c>
      <c r="C67" s="9" t="s">
        <v>741</v>
      </c>
      <c r="D67" t="s">
        <v>738</v>
      </c>
      <c r="E67" s="9" t="s">
        <v>625</v>
      </c>
      <c r="F67" s="9" t="s">
        <v>18</v>
      </c>
      <c r="G67" t="s">
        <v>16</v>
      </c>
      <c r="H67" t="s">
        <v>18</v>
      </c>
      <c r="I67" t="s">
        <v>18</v>
      </c>
    </row>
    <row r="68" spans="1:9" ht="29.1">
      <c r="A68">
        <v>67</v>
      </c>
      <c r="B68" t="s">
        <v>742</v>
      </c>
      <c r="C68" s="9" t="s">
        <v>743</v>
      </c>
      <c r="D68" t="s">
        <v>738</v>
      </c>
      <c r="E68" s="9" t="s">
        <v>625</v>
      </c>
      <c r="F68" s="9" t="s">
        <v>18</v>
      </c>
      <c r="G68" t="s">
        <v>16</v>
      </c>
      <c r="H68" t="s">
        <v>18</v>
      </c>
      <c r="I68" t="s">
        <v>18</v>
      </c>
    </row>
    <row r="69" spans="1:9" ht="29.1">
      <c r="A69">
        <v>68</v>
      </c>
      <c r="B69" t="s">
        <v>744</v>
      </c>
      <c r="C69" s="9" t="s">
        <v>745</v>
      </c>
      <c r="D69" t="s">
        <v>738</v>
      </c>
      <c r="E69" s="9" t="s">
        <v>625</v>
      </c>
      <c r="F69" s="9" t="s">
        <v>18</v>
      </c>
      <c r="G69" t="s">
        <v>16</v>
      </c>
      <c r="H69" t="s">
        <v>18</v>
      </c>
      <c r="I69" t="s">
        <v>18</v>
      </c>
    </row>
    <row r="70" spans="1:9" ht="29.1">
      <c r="A70">
        <v>69</v>
      </c>
      <c r="B70" t="s">
        <v>746</v>
      </c>
      <c r="C70" s="9" t="s">
        <v>747</v>
      </c>
      <c r="D70" t="s">
        <v>738</v>
      </c>
      <c r="E70" s="9" t="s">
        <v>625</v>
      </c>
      <c r="F70" s="9" t="s">
        <v>18</v>
      </c>
      <c r="G70" t="s">
        <v>16</v>
      </c>
      <c r="H70" t="s">
        <v>18</v>
      </c>
      <c r="I70" t="s">
        <v>18</v>
      </c>
    </row>
    <row r="71" spans="1:9" ht="43.5">
      <c r="A71">
        <v>70</v>
      </c>
      <c r="B71" t="s">
        <v>748</v>
      </c>
      <c r="C71" s="9" t="s">
        <v>749</v>
      </c>
      <c r="D71" t="s">
        <v>750</v>
      </c>
      <c r="E71" s="9" t="s">
        <v>625</v>
      </c>
      <c r="F71" s="9" t="s">
        <v>751</v>
      </c>
      <c r="G71" t="s">
        <v>16</v>
      </c>
      <c r="H71" t="s">
        <v>18</v>
      </c>
      <c r="I71" t="s">
        <v>18</v>
      </c>
    </row>
    <row r="72" spans="1:9" ht="72.599999999999994">
      <c r="A72">
        <v>71</v>
      </c>
      <c r="B72" t="s">
        <v>752</v>
      </c>
      <c r="C72" s="9" t="s">
        <v>753</v>
      </c>
      <c r="D72" t="s">
        <v>750</v>
      </c>
      <c r="E72" s="9" t="s">
        <v>14</v>
      </c>
      <c r="F72" s="9" t="s">
        <v>594</v>
      </c>
      <c r="G72" t="s">
        <v>16</v>
      </c>
      <c r="H72" t="s">
        <v>18</v>
      </c>
      <c r="I72" t="s">
        <v>18</v>
      </c>
    </row>
    <row r="73" spans="1:9" ht="72.599999999999994">
      <c r="A73">
        <v>72</v>
      </c>
      <c r="B73" t="s">
        <v>754</v>
      </c>
      <c r="C73" s="9" t="s">
        <v>755</v>
      </c>
      <c r="D73" t="s">
        <v>750</v>
      </c>
      <c r="E73" s="9" t="s">
        <v>14</v>
      </c>
      <c r="F73" s="9" t="s">
        <v>594</v>
      </c>
      <c r="G73" t="s">
        <v>16</v>
      </c>
      <c r="H73" t="s">
        <v>18</v>
      </c>
      <c r="I73" t="s">
        <v>18</v>
      </c>
    </row>
    <row r="74" spans="1:9" ht="72.599999999999994">
      <c r="A74">
        <v>73</v>
      </c>
      <c r="B74" t="s">
        <v>756</v>
      </c>
      <c r="C74" s="9" t="s">
        <v>757</v>
      </c>
      <c r="D74" t="s">
        <v>758</v>
      </c>
      <c r="E74" s="9" t="s">
        <v>14</v>
      </c>
      <c r="F74" s="9" t="s">
        <v>594</v>
      </c>
      <c r="G74" t="s">
        <v>16</v>
      </c>
      <c r="H74" t="s">
        <v>18</v>
      </c>
      <c r="I74" t="s">
        <v>18</v>
      </c>
    </row>
    <row r="75" spans="1:9" ht="72.599999999999994">
      <c r="A75">
        <v>74</v>
      </c>
      <c r="B75" t="s">
        <v>759</v>
      </c>
      <c r="C75" s="9" t="s">
        <v>760</v>
      </c>
      <c r="D75" t="s">
        <v>761</v>
      </c>
      <c r="E75" s="9" t="s">
        <v>666</v>
      </c>
      <c r="F75" s="9" t="s">
        <v>594</v>
      </c>
      <c r="G75" t="s">
        <v>16</v>
      </c>
      <c r="H75" t="s">
        <v>18</v>
      </c>
      <c r="I75" t="s">
        <v>18</v>
      </c>
    </row>
    <row r="76" spans="1:9" ht="72.599999999999994">
      <c r="A76">
        <v>75</v>
      </c>
      <c r="B76" t="s">
        <v>762</v>
      </c>
      <c r="C76" s="9" t="s">
        <v>763</v>
      </c>
      <c r="D76" t="s">
        <v>761</v>
      </c>
      <c r="E76" s="9" t="s">
        <v>666</v>
      </c>
      <c r="F76" s="9" t="s">
        <v>589</v>
      </c>
      <c r="G76" t="s">
        <v>16</v>
      </c>
      <c r="H76" t="s">
        <v>18</v>
      </c>
      <c r="I76" t="s">
        <v>18</v>
      </c>
    </row>
    <row r="77" spans="1:9" ht="29.1">
      <c r="A77">
        <v>76</v>
      </c>
      <c r="B77" t="s">
        <v>764</v>
      </c>
      <c r="C77" s="9" t="s">
        <v>765</v>
      </c>
      <c r="D77" t="s">
        <v>761</v>
      </c>
      <c r="E77" s="9" t="s">
        <v>625</v>
      </c>
      <c r="F77" s="9" t="s">
        <v>18</v>
      </c>
      <c r="G77" t="s">
        <v>16</v>
      </c>
      <c r="H77" t="s">
        <v>18</v>
      </c>
      <c r="I77" t="s">
        <v>18</v>
      </c>
    </row>
    <row r="78" spans="1:9" ht="29.1">
      <c r="A78">
        <v>77</v>
      </c>
      <c r="B78" t="s">
        <v>766</v>
      </c>
      <c r="C78" s="9" t="s">
        <v>767</v>
      </c>
      <c r="D78" t="s">
        <v>761</v>
      </c>
      <c r="E78" s="9" t="s">
        <v>625</v>
      </c>
      <c r="F78" s="9" t="s">
        <v>18</v>
      </c>
      <c r="G78" t="s">
        <v>16</v>
      </c>
      <c r="H78" t="s">
        <v>18</v>
      </c>
      <c r="I78" t="s">
        <v>18</v>
      </c>
    </row>
    <row r="79" spans="1:9" ht="29.1">
      <c r="A79">
        <v>78</v>
      </c>
      <c r="B79" t="s">
        <v>768</v>
      </c>
      <c r="C79" s="9" t="s">
        <v>769</v>
      </c>
      <c r="D79" t="s">
        <v>761</v>
      </c>
      <c r="E79" s="9" t="s">
        <v>625</v>
      </c>
      <c r="F79" s="9" t="s">
        <v>18</v>
      </c>
      <c r="G79" t="s">
        <v>16</v>
      </c>
      <c r="H79" t="s">
        <v>18</v>
      </c>
      <c r="I79" t="s">
        <v>18</v>
      </c>
    </row>
    <row r="80" spans="1:9">
      <c r="A80">
        <v>79</v>
      </c>
      <c r="B80" t="s">
        <v>770</v>
      </c>
      <c r="C80" s="9"/>
      <c r="D80" t="s">
        <v>771</v>
      </c>
      <c r="E80" s="9"/>
      <c r="F80" s="9"/>
      <c r="G80" t="s">
        <v>16</v>
      </c>
      <c r="H80" t="s">
        <v>18</v>
      </c>
      <c r="I80" t="s">
        <v>18</v>
      </c>
    </row>
    <row r="81" spans="1:9" ht="72.599999999999994">
      <c r="A81">
        <v>80</v>
      </c>
      <c r="B81" t="s">
        <v>772</v>
      </c>
      <c r="C81" s="9" t="s">
        <v>773</v>
      </c>
      <c r="D81" t="s">
        <v>774</v>
      </c>
      <c r="E81" s="9" t="s">
        <v>775</v>
      </c>
      <c r="F81" s="9" t="s">
        <v>594</v>
      </c>
      <c r="G81" t="s">
        <v>16</v>
      </c>
      <c r="H81" t="s">
        <v>18</v>
      </c>
      <c r="I81" t="s">
        <v>18</v>
      </c>
    </row>
    <row r="82" spans="1:9" ht="72.599999999999994">
      <c r="A82">
        <v>81</v>
      </c>
      <c r="B82" t="s">
        <v>776</v>
      </c>
      <c r="C82" s="9" t="s">
        <v>777</v>
      </c>
      <c r="D82" t="s">
        <v>778</v>
      </c>
      <c r="E82" s="9" t="s">
        <v>14</v>
      </c>
      <c r="F82" s="9" t="s">
        <v>594</v>
      </c>
      <c r="G82" t="s">
        <v>16</v>
      </c>
      <c r="H82" t="s">
        <v>18</v>
      </c>
      <c r="I82" t="s">
        <v>18</v>
      </c>
    </row>
    <row r="83" spans="1:9" ht="29.1">
      <c r="A83">
        <v>82</v>
      </c>
      <c r="B83" t="s">
        <v>779</v>
      </c>
      <c r="C83" s="9" t="s">
        <v>780</v>
      </c>
      <c r="D83" t="s">
        <v>781</v>
      </c>
      <c r="E83" s="9" t="s">
        <v>680</v>
      </c>
      <c r="F83" s="9" t="s">
        <v>18</v>
      </c>
      <c r="G83" t="s">
        <v>16</v>
      </c>
      <c r="H83" t="s">
        <v>18</v>
      </c>
      <c r="I83" t="s">
        <v>18</v>
      </c>
    </row>
    <row r="84" spans="1:9" ht="72.599999999999994">
      <c r="A84">
        <v>83</v>
      </c>
      <c r="B84" t="s">
        <v>782</v>
      </c>
      <c r="C84" s="9" t="s">
        <v>783</v>
      </c>
      <c r="D84" t="s">
        <v>784</v>
      </c>
      <c r="E84" s="9" t="s">
        <v>666</v>
      </c>
      <c r="F84" s="9" t="s">
        <v>594</v>
      </c>
      <c r="G84" t="s">
        <v>16</v>
      </c>
      <c r="H84" t="s">
        <v>18</v>
      </c>
      <c r="I84" t="s">
        <v>18</v>
      </c>
    </row>
    <row r="85" spans="1:9" ht="72.599999999999994">
      <c r="A85">
        <v>84</v>
      </c>
      <c r="B85" t="s">
        <v>785</v>
      </c>
      <c r="C85" s="9" t="s">
        <v>786</v>
      </c>
      <c r="D85" t="s">
        <v>784</v>
      </c>
      <c r="E85" s="9" t="s">
        <v>14</v>
      </c>
      <c r="F85" s="9" t="s">
        <v>594</v>
      </c>
      <c r="G85" t="s">
        <v>16</v>
      </c>
      <c r="H85" t="s">
        <v>18</v>
      </c>
      <c r="I85" t="s">
        <v>18</v>
      </c>
    </row>
    <row r="86" spans="1:9" ht="72.599999999999994">
      <c r="A86">
        <v>85</v>
      </c>
      <c r="B86" t="s">
        <v>787</v>
      </c>
      <c r="C86" s="9" t="s">
        <v>788</v>
      </c>
      <c r="D86" t="s">
        <v>789</v>
      </c>
      <c r="E86" s="9" t="s">
        <v>14</v>
      </c>
      <c r="F86" s="9" t="s">
        <v>594</v>
      </c>
      <c r="G86" t="s">
        <v>16</v>
      </c>
      <c r="H86" t="s">
        <v>18</v>
      </c>
      <c r="I86" t="s">
        <v>18</v>
      </c>
    </row>
    <row r="87" spans="1:9" ht="29.1">
      <c r="A87">
        <v>86</v>
      </c>
      <c r="B87" t="s">
        <v>790</v>
      </c>
      <c r="C87" s="9" t="s">
        <v>791</v>
      </c>
      <c r="D87" t="s">
        <v>789</v>
      </c>
      <c r="E87" s="9" t="s">
        <v>625</v>
      </c>
      <c r="F87" s="9" t="s">
        <v>18</v>
      </c>
      <c r="G87" t="s">
        <v>16</v>
      </c>
      <c r="H87" t="s">
        <v>18</v>
      </c>
      <c r="I87" t="s">
        <v>18</v>
      </c>
    </row>
    <row r="88" spans="1:9" ht="29.1">
      <c r="A88">
        <v>87</v>
      </c>
      <c r="B88" t="s">
        <v>792</v>
      </c>
      <c r="C88" s="9" t="s">
        <v>791</v>
      </c>
      <c r="D88" t="s">
        <v>789</v>
      </c>
      <c r="E88" s="9" t="s">
        <v>625</v>
      </c>
      <c r="F88" s="9" t="s">
        <v>18</v>
      </c>
      <c r="G88" t="s">
        <v>16</v>
      </c>
      <c r="H88" t="s">
        <v>18</v>
      </c>
      <c r="I88" t="s">
        <v>18</v>
      </c>
    </row>
    <row r="89" spans="1:9" ht="72.599999999999994">
      <c r="A89">
        <v>88</v>
      </c>
      <c r="B89" t="s">
        <v>793</v>
      </c>
      <c r="C89" s="9" t="s">
        <v>794</v>
      </c>
      <c r="D89" t="s">
        <v>789</v>
      </c>
      <c r="E89" s="9" t="s">
        <v>14</v>
      </c>
      <c r="F89" s="9" t="s">
        <v>594</v>
      </c>
      <c r="G89" t="s">
        <v>16</v>
      </c>
      <c r="H89" t="s">
        <v>18</v>
      </c>
      <c r="I89" t="s">
        <v>18</v>
      </c>
    </row>
    <row r="90" spans="1:9" ht="29.1">
      <c r="A90">
        <v>89</v>
      </c>
      <c r="B90" t="s">
        <v>795</v>
      </c>
      <c r="C90" s="9" t="s">
        <v>796</v>
      </c>
      <c r="D90" t="s">
        <v>797</v>
      </c>
      <c r="E90" s="9" t="s">
        <v>625</v>
      </c>
      <c r="F90" s="9" t="s">
        <v>18</v>
      </c>
      <c r="G90" t="s">
        <v>16</v>
      </c>
      <c r="H90" t="s">
        <v>18</v>
      </c>
      <c r="I90" t="s">
        <v>18</v>
      </c>
    </row>
    <row r="91" spans="1:9" ht="72.599999999999994">
      <c r="A91">
        <v>90</v>
      </c>
      <c r="B91" t="s">
        <v>798</v>
      </c>
      <c r="C91" s="9" t="s">
        <v>799</v>
      </c>
      <c r="D91" t="s">
        <v>797</v>
      </c>
      <c r="E91" s="9" t="s">
        <v>14</v>
      </c>
      <c r="F91" s="9" t="s">
        <v>594</v>
      </c>
      <c r="G91" t="s">
        <v>16</v>
      </c>
      <c r="H91" t="s">
        <v>18</v>
      </c>
      <c r="I91" t="s">
        <v>18</v>
      </c>
    </row>
    <row r="92" spans="1:9" ht="72.599999999999994">
      <c r="A92">
        <v>91</v>
      </c>
      <c r="B92" t="s">
        <v>800</v>
      </c>
      <c r="C92" s="9" t="s">
        <v>801</v>
      </c>
      <c r="D92" t="s">
        <v>797</v>
      </c>
      <c r="E92" s="9" t="s">
        <v>14</v>
      </c>
      <c r="F92" s="9" t="s">
        <v>594</v>
      </c>
      <c r="G92" t="s">
        <v>16</v>
      </c>
      <c r="H92" t="s">
        <v>18</v>
      </c>
      <c r="I92" t="s">
        <v>18</v>
      </c>
    </row>
    <row r="93" spans="1:9" ht="29.1">
      <c r="A93">
        <v>92</v>
      </c>
      <c r="B93" t="s">
        <v>802</v>
      </c>
      <c r="C93" s="9"/>
      <c r="D93" t="s">
        <v>803</v>
      </c>
      <c r="E93" s="9" t="s">
        <v>680</v>
      </c>
      <c r="F93" s="9" t="s">
        <v>18</v>
      </c>
      <c r="G93" t="s">
        <v>16</v>
      </c>
      <c r="H93" t="s">
        <v>18</v>
      </c>
      <c r="I93" t="s">
        <v>18</v>
      </c>
    </row>
    <row r="94" spans="1:9" ht="72.599999999999994">
      <c r="A94">
        <v>93</v>
      </c>
      <c r="B94" t="s">
        <v>804</v>
      </c>
      <c r="C94" s="9" t="s">
        <v>805</v>
      </c>
      <c r="D94" t="s">
        <v>803</v>
      </c>
      <c r="E94" s="9" t="s">
        <v>14</v>
      </c>
      <c r="F94" s="9" t="s">
        <v>594</v>
      </c>
      <c r="G94" t="s">
        <v>16</v>
      </c>
      <c r="H94" t="s">
        <v>18</v>
      </c>
      <c r="I94" t="s">
        <v>18</v>
      </c>
    </row>
    <row r="95" spans="1:9" ht="72.599999999999994">
      <c r="A95">
        <v>94</v>
      </c>
      <c r="B95" t="s">
        <v>806</v>
      </c>
      <c r="C95" s="9" t="s">
        <v>807</v>
      </c>
      <c r="D95" t="s">
        <v>803</v>
      </c>
      <c r="E95" s="9" t="s">
        <v>14</v>
      </c>
      <c r="F95" s="9" t="s">
        <v>594</v>
      </c>
      <c r="G95" t="s">
        <v>16</v>
      </c>
      <c r="H95" t="s">
        <v>18</v>
      </c>
      <c r="I95" t="s">
        <v>18</v>
      </c>
    </row>
    <row r="96" spans="1:9" ht="72.599999999999994">
      <c r="A96">
        <v>95</v>
      </c>
      <c r="B96" t="s">
        <v>808</v>
      </c>
      <c r="C96" s="9" t="s">
        <v>809</v>
      </c>
      <c r="D96" t="s">
        <v>803</v>
      </c>
      <c r="E96" s="9" t="s">
        <v>14</v>
      </c>
      <c r="F96" s="9" t="s">
        <v>594</v>
      </c>
      <c r="G96" t="s">
        <v>16</v>
      </c>
      <c r="H96" t="s">
        <v>18</v>
      </c>
      <c r="I96" t="s">
        <v>18</v>
      </c>
    </row>
    <row r="97" spans="1:9" ht="29.1">
      <c r="A97">
        <v>96</v>
      </c>
      <c r="B97" t="s">
        <v>810</v>
      </c>
      <c r="C97" s="9" t="s">
        <v>811</v>
      </c>
      <c r="D97" t="s">
        <v>812</v>
      </c>
      <c r="E97" s="9" t="s">
        <v>625</v>
      </c>
      <c r="F97" s="9" t="s">
        <v>18</v>
      </c>
      <c r="G97" t="s">
        <v>16</v>
      </c>
      <c r="H97" t="s">
        <v>18</v>
      </c>
      <c r="I97" t="s">
        <v>18</v>
      </c>
    </row>
    <row r="98" spans="1:9" ht="29.1">
      <c r="A98">
        <v>97</v>
      </c>
      <c r="B98" t="s">
        <v>813</v>
      </c>
      <c r="C98" s="9" t="s">
        <v>814</v>
      </c>
      <c r="D98" t="s">
        <v>812</v>
      </c>
      <c r="E98" s="9" t="s">
        <v>625</v>
      </c>
      <c r="F98" s="9" t="s">
        <v>18</v>
      </c>
      <c r="G98" t="s">
        <v>16</v>
      </c>
      <c r="H98" t="s">
        <v>18</v>
      </c>
      <c r="I98" t="s">
        <v>18</v>
      </c>
    </row>
    <row r="99" spans="1:9" ht="29.1">
      <c r="A99">
        <v>98</v>
      </c>
      <c r="B99" t="s">
        <v>815</v>
      </c>
      <c r="C99" s="9" t="s">
        <v>816</v>
      </c>
      <c r="D99" t="s">
        <v>812</v>
      </c>
      <c r="E99" s="9" t="s">
        <v>625</v>
      </c>
      <c r="F99" s="9" t="s">
        <v>18</v>
      </c>
      <c r="G99" t="s">
        <v>16</v>
      </c>
      <c r="H99" t="s">
        <v>18</v>
      </c>
      <c r="I99" t="s">
        <v>18</v>
      </c>
    </row>
    <row r="100" spans="1:9" ht="29.1">
      <c r="A100">
        <v>99</v>
      </c>
      <c r="B100" t="s">
        <v>817</v>
      </c>
      <c r="C100" s="9" t="s">
        <v>818</v>
      </c>
      <c r="D100" t="s">
        <v>812</v>
      </c>
      <c r="E100" s="9" t="s">
        <v>625</v>
      </c>
      <c r="F100" s="9" t="s">
        <v>18</v>
      </c>
      <c r="G100" t="s">
        <v>16</v>
      </c>
      <c r="H100" t="s">
        <v>18</v>
      </c>
      <c r="I100" t="s">
        <v>18</v>
      </c>
    </row>
    <row r="101" spans="1:9" ht="72.599999999999994">
      <c r="A101">
        <v>100</v>
      </c>
      <c r="B101" t="s">
        <v>819</v>
      </c>
      <c r="C101" s="9" t="s">
        <v>820</v>
      </c>
      <c r="D101" t="s">
        <v>821</v>
      </c>
      <c r="E101" s="9" t="s">
        <v>14</v>
      </c>
      <c r="F101" s="9" t="s">
        <v>822</v>
      </c>
      <c r="G101" t="s">
        <v>16</v>
      </c>
      <c r="H101" t="s">
        <v>18</v>
      </c>
      <c r="I101" t="s">
        <v>18</v>
      </c>
    </row>
    <row r="102" spans="1:9" ht="43.5">
      <c r="A102">
        <v>101</v>
      </c>
      <c r="B102" t="s">
        <v>823</v>
      </c>
      <c r="C102" s="9" t="s">
        <v>824</v>
      </c>
      <c r="D102" t="s">
        <v>821</v>
      </c>
      <c r="E102" s="9" t="s">
        <v>625</v>
      </c>
      <c r="F102" s="9" t="s">
        <v>18</v>
      </c>
      <c r="G102" t="s">
        <v>16</v>
      </c>
      <c r="H102" t="s">
        <v>18</v>
      </c>
      <c r="I102" t="s">
        <v>18</v>
      </c>
    </row>
    <row r="103" spans="1:9" ht="29.1">
      <c r="A103">
        <v>102</v>
      </c>
      <c r="B103" t="s">
        <v>823</v>
      </c>
      <c r="C103" s="9" t="s">
        <v>825</v>
      </c>
      <c r="D103" t="s">
        <v>821</v>
      </c>
      <c r="E103" s="9" t="s">
        <v>625</v>
      </c>
      <c r="F103" s="9" t="s">
        <v>18</v>
      </c>
      <c r="G103" t="s">
        <v>16</v>
      </c>
      <c r="H103" t="s">
        <v>18</v>
      </c>
      <c r="I103" t="s">
        <v>18</v>
      </c>
    </row>
    <row r="104" spans="1:9" ht="29.1">
      <c r="A104">
        <v>103</v>
      </c>
      <c r="B104" t="s">
        <v>823</v>
      </c>
      <c r="C104" s="9" t="s">
        <v>826</v>
      </c>
      <c r="D104" t="s">
        <v>821</v>
      </c>
      <c r="E104" s="9" t="s">
        <v>625</v>
      </c>
      <c r="F104" s="9" t="s">
        <v>18</v>
      </c>
      <c r="G104" t="s">
        <v>16</v>
      </c>
      <c r="H104" t="s">
        <v>18</v>
      </c>
      <c r="I104" t="s">
        <v>18</v>
      </c>
    </row>
    <row r="105" spans="1:9" ht="29.1">
      <c r="A105">
        <v>104</v>
      </c>
      <c r="B105" t="s">
        <v>823</v>
      </c>
      <c r="C105" s="9" t="s">
        <v>827</v>
      </c>
      <c r="D105" t="s">
        <v>821</v>
      </c>
      <c r="E105" s="9" t="s">
        <v>625</v>
      </c>
      <c r="F105" s="9" t="s">
        <v>18</v>
      </c>
      <c r="G105" t="s">
        <v>16</v>
      </c>
      <c r="H105" t="s">
        <v>18</v>
      </c>
      <c r="I105" t="s">
        <v>18</v>
      </c>
    </row>
    <row r="106" spans="1:9" ht="72.599999999999994">
      <c r="A106">
        <v>105</v>
      </c>
      <c r="B106" t="s">
        <v>828</v>
      </c>
      <c r="C106" s="9" t="s">
        <v>829</v>
      </c>
      <c r="D106" t="s">
        <v>830</v>
      </c>
      <c r="E106" s="9" t="s">
        <v>14</v>
      </c>
      <c r="F106" s="9" t="s">
        <v>594</v>
      </c>
      <c r="G106" t="s">
        <v>16</v>
      </c>
      <c r="H106" t="s">
        <v>18</v>
      </c>
      <c r="I106" t="s">
        <v>18</v>
      </c>
    </row>
    <row r="107" spans="1:9" ht="72.599999999999994">
      <c r="A107">
        <v>106</v>
      </c>
      <c r="B107" t="s">
        <v>831</v>
      </c>
      <c r="C107" s="9" t="s">
        <v>832</v>
      </c>
      <c r="D107" t="s">
        <v>833</v>
      </c>
      <c r="E107" s="9" t="s">
        <v>14</v>
      </c>
      <c r="F107" s="9" t="s">
        <v>594</v>
      </c>
      <c r="G107" t="s">
        <v>16</v>
      </c>
      <c r="H107" t="s">
        <v>18</v>
      </c>
      <c r="I107" t="s">
        <v>18</v>
      </c>
    </row>
    <row r="108" spans="1:9" ht="72.599999999999994">
      <c r="A108">
        <v>107</v>
      </c>
      <c r="B108" t="s">
        <v>834</v>
      </c>
      <c r="C108" s="9" t="s">
        <v>835</v>
      </c>
      <c r="D108" t="s">
        <v>833</v>
      </c>
      <c r="E108" s="9" t="s">
        <v>14</v>
      </c>
      <c r="F108" s="9" t="s">
        <v>594</v>
      </c>
      <c r="G108" t="s">
        <v>16</v>
      </c>
      <c r="H108" t="s">
        <v>18</v>
      </c>
      <c r="I108" t="s">
        <v>18</v>
      </c>
    </row>
    <row r="109" spans="1:9" ht="29.1">
      <c r="A109">
        <v>108</v>
      </c>
      <c r="B109" t="s">
        <v>836</v>
      </c>
      <c r="C109" s="9" t="s">
        <v>837</v>
      </c>
      <c r="D109" t="s">
        <v>833</v>
      </c>
      <c r="E109" s="9" t="s">
        <v>625</v>
      </c>
      <c r="F109" s="9" t="s">
        <v>18</v>
      </c>
      <c r="G109" t="s">
        <v>16</v>
      </c>
      <c r="H109" t="s">
        <v>18</v>
      </c>
      <c r="I109" t="s">
        <v>18</v>
      </c>
    </row>
    <row r="110" spans="1:9" ht="29.1">
      <c r="A110">
        <v>109</v>
      </c>
      <c r="B110" s="85" t="s">
        <v>838</v>
      </c>
      <c r="C110" s="86" t="s">
        <v>839</v>
      </c>
      <c r="D110" s="85" t="s">
        <v>833</v>
      </c>
      <c r="E110" s="86" t="s">
        <v>840</v>
      </c>
      <c r="F110" s="86" t="s">
        <v>18</v>
      </c>
      <c r="G110" s="85" t="s">
        <v>16</v>
      </c>
      <c r="H110" s="85" t="s">
        <v>18</v>
      </c>
      <c r="I110" s="85" t="s">
        <v>18</v>
      </c>
    </row>
    <row r="111" spans="1:9" ht="72.599999999999994">
      <c r="A111">
        <v>110</v>
      </c>
      <c r="B111" s="85" t="s">
        <v>841</v>
      </c>
      <c r="C111" s="86" t="s">
        <v>842</v>
      </c>
      <c r="D111" s="85" t="s">
        <v>833</v>
      </c>
      <c r="E111" s="86" t="s">
        <v>14</v>
      </c>
      <c r="F111" s="86" t="s">
        <v>594</v>
      </c>
      <c r="G111" s="85" t="s">
        <v>16</v>
      </c>
      <c r="H111" s="85" t="s">
        <v>18</v>
      </c>
      <c r="I111" s="85" t="s">
        <v>18</v>
      </c>
    </row>
    <row r="112" spans="1:9" ht="29.1">
      <c r="A112">
        <v>111</v>
      </c>
      <c r="B112" s="85" t="s">
        <v>843</v>
      </c>
      <c r="C112" s="86" t="s">
        <v>844</v>
      </c>
      <c r="D112" s="85" t="s">
        <v>833</v>
      </c>
      <c r="E112" s="86" t="s">
        <v>680</v>
      </c>
      <c r="F112" s="86" t="s">
        <v>18</v>
      </c>
      <c r="G112" s="85" t="s">
        <v>16</v>
      </c>
      <c r="H112" s="85" t="s">
        <v>18</v>
      </c>
      <c r="I112" s="85" t="s">
        <v>18</v>
      </c>
    </row>
    <row r="113" spans="1:9" ht="29.1">
      <c r="A113">
        <v>112</v>
      </c>
      <c r="B113" s="85" t="s">
        <v>845</v>
      </c>
      <c r="C113" s="86" t="s">
        <v>846</v>
      </c>
      <c r="D113" s="85" t="s">
        <v>833</v>
      </c>
      <c r="E113" s="86" t="s">
        <v>680</v>
      </c>
      <c r="F113" s="86" t="s">
        <v>18</v>
      </c>
      <c r="G113" s="85" t="s">
        <v>16</v>
      </c>
      <c r="H113" s="85" t="s">
        <v>18</v>
      </c>
      <c r="I113" s="85" t="s">
        <v>18</v>
      </c>
    </row>
    <row r="114" spans="1:9" ht="72.599999999999994">
      <c r="A114">
        <v>113</v>
      </c>
      <c r="B114" s="85" t="s">
        <v>847</v>
      </c>
      <c r="C114" s="86" t="s">
        <v>848</v>
      </c>
      <c r="D114" s="85" t="s">
        <v>849</v>
      </c>
      <c r="E114" s="86" t="s">
        <v>14</v>
      </c>
      <c r="F114" s="86" t="s">
        <v>594</v>
      </c>
      <c r="G114" s="85" t="s">
        <v>16</v>
      </c>
      <c r="H114" s="85" t="s">
        <v>18</v>
      </c>
      <c r="I114" s="85" t="s">
        <v>18</v>
      </c>
    </row>
    <row r="115" spans="1:9" ht="72.599999999999994">
      <c r="A115">
        <v>114</v>
      </c>
      <c r="B115" s="85" t="s">
        <v>850</v>
      </c>
      <c r="C115" s="86" t="s">
        <v>851</v>
      </c>
      <c r="D115" s="85" t="s">
        <v>852</v>
      </c>
      <c r="E115" s="86" t="s">
        <v>14</v>
      </c>
      <c r="F115" s="86" t="s">
        <v>594</v>
      </c>
      <c r="G115" s="85" t="s">
        <v>16</v>
      </c>
      <c r="H115" s="85" t="s">
        <v>18</v>
      </c>
      <c r="I115" s="85" t="s">
        <v>18</v>
      </c>
    </row>
    <row r="116" spans="1:9" ht="72.599999999999994">
      <c r="A116">
        <v>115</v>
      </c>
      <c r="B116" s="85" t="s">
        <v>853</v>
      </c>
      <c r="C116" s="86" t="s">
        <v>854</v>
      </c>
      <c r="D116" s="85" t="s">
        <v>855</v>
      </c>
      <c r="E116" s="86" t="s">
        <v>14</v>
      </c>
      <c r="F116" s="86" t="s">
        <v>594</v>
      </c>
      <c r="G116" s="85" t="s">
        <v>16</v>
      </c>
      <c r="H116" s="85" t="s">
        <v>18</v>
      </c>
      <c r="I116" s="85" t="s">
        <v>18</v>
      </c>
    </row>
    <row r="117" spans="1:9" ht="72.599999999999994">
      <c r="A117">
        <v>116</v>
      </c>
      <c r="B117" s="85" t="s">
        <v>856</v>
      </c>
      <c r="C117" s="86" t="s">
        <v>857</v>
      </c>
      <c r="D117" s="85" t="s">
        <v>855</v>
      </c>
      <c r="E117" s="86" t="s">
        <v>666</v>
      </c>
      <c r="F117" s="86" t="s">
        <v>594</v>
      </c>
      <c r="G117" s="85" t="s">
        <v>16</v>
      </c>
      <c r="H117" s="85" t="s">
        <v>18</v>
      </c>
      <c r="I117" s="85" t="s">
        <v>18</v>
      </c>
    </row>
    <row r="118" spans="1:9" ht="72.599999999999994">
      <c r="A118">
        <v>117</v>
      </c>
      <c r="B118" s="85" t="s">
        <v>858</v>
      </c>
      <c r="C118" s="86" t="s">
        <v>859</v>
      </c>
      <c r="D118" s="85" t="s">
        <v>855</v>
      </c>
      <c r="E118" s="86" t="s">
        <v>14</v>
      </c>
      <c r="F118" s="86" t="s">
        <v>594</v>
      </c>
      <c r="G118" s="85" t="s">
        <v>16</v>
      </c>
      <c r="H118" s="85" t="s">
        <v>18</v>
      </c>
      <c r="I118" s="85" t="s">
        <v>18</v>
      </c>
    </row>
    <row r="119" spans="1:9" ht="72.599999999999994">
      <c r="A119">
        <v>118</v>
      </c>
      <c r="B119" s="85" t="s">
        <v>860</v>
      </c>
      <c r="C119" s="86" t="s">
        <v>861</v>
      </c>
      <c r="D119" s="85" t="s">
        <v>862</v>
      </c>
      <c r="E119" s="86" t="s">
        <v>14</v>
      </c>
      <c r="F119" s="86" t="s">
        <v>594</v>
      </c>
      <c r="G119" s="85" t="s">
        <v>16</v>
      </c>
      <c r="H119" s="85" t="s">
        <v>18</v>
      </c>
      <c r="I119" s="85" t="s">
        <v>18</v>
      </c>
    </row>
    <row r="120" spans="1:9" ht="29.1">
      <c r="A120">
        <v>119</v>
      </c>
      <c r="B120" s="85" t="s">
        <v>863</v>
      </c>
      <c r="C120" s="86" t="s">
        <v>864</v>
      </c>
      <c r="D120" s="85" t="s">
        <v>862</v>
      </c>
      <c r="E120" s="86" t="s">
        <v>625</v>
      </c>
      <c r="F120" s="86" t="s">
        <v>18</v>
      </c>
      <c r="G120" s="85" t="s">
        <v>16</v>
      </c>
      <c r="H120" s="85" t="s">
        <v>18</v>
      </c>
      <c r="I120" s="85" t="s">
        <v>18</v>
      </c>
    </row>
    <row r="121" spans="1:9" ht="29.1">
      <c r="A121">
        <v>120</v>
      </c>
      <c r="B121" s="85" t="s">
        <v>865</v>
      </c>
      <c r="C121" s="86" t="s">
        <v>866</v>
      </c>
      <c r="D121" s="85" t="s">
        <v>862</v>
      </c>
      <c r="E121" s="86" t="s">
        <v>625</v>
      </c>
      <c r="F121" s="86" t="s">
        <v>18</v>
      </c>
      <c r="G121" s="85" t="s">
        <v>16</v>
      </c>
      <c r="H121" s="85" t="s">
        <v>18</v>
      </c>
      <c r="I121" s="85" t="s">
        <v>18</v>
      </c>
    </row>
    <row r="122" spans="1:9" ht="72.599999999999994">
      <c r="A122">
        <v>121</v>
      </c>
      <c r="B122" s="85" t="s">
        <v>867</v>
      </c>
      <c r="C122" s="86" t="s">
        <v>868</v>
      </c>
      <c r="D122" s="85" t="s">
        <v>862</v>
      </c>
      <c r="E122" s="86" t="s">
        <v>14</v>
      </c>
      <c r="F122" s="86" t="s">
        <v>594</v>
      </c>
      <c r="G122" s="85" t="s">
        <v>16</v>
      </c>
      <c r="H122" s="85" t="s">
        <v>18</v>
      </c>
      <c r="I122" s="85" t="s">
        <v>18</v>
      </c>
    </row>
    <row r="123" spans="1:9" ht="72.599999999999994">
      <c r="A123">
        <v>122</v>
      </c>
      <c r="B123" s="85" t="s">
        <v>869</v>
      </c>
      <c r="C123" s="86" t="s">
        <v>870</v>
      </c>
      <c r="D123" s="85" t="s">
        <v>871</v>
      </c>
      <c r="E123" s="86" t="s">
        <v>14</v>
      </c>
      <c r="F123" s="86" t="s">
        <v>594</v>
      </c>
      <c r="G123" s="85" t="s">
        <v>16</v>
      </c>
      <c r="H123" s="85" t="s">
        <v>18</v>
      </c>
      <c r="I123" s="85" t="s">
        <v>18</v>
      </c>
    </row>
    <row r="124" spans="1:9" ht="29.1">
      <c r="A124">
        <v>123</v>
      </c>
      <c r="B124" s="85" t="s">
        <v>872</v>
      </c>
      <c r="C124" s="86" t="s">
        <v>873</v>
      </c>
      <c r="D124" s="85" t="s">
        <v>871</v>
      </c>
      <c r="E124" s="86" t="s">
        <v>625</v>
      </c>
      <c r="F124" s="86" t="s">
        <v>18</v>
      </c>
      <c r="G124" s="85" t="s">
        <v>16</v>
      </c>
      <c r="H124" s="85" t="s">
        <v>18</v>
      </c>
      <c r="I124" s="85" t="s">
        <v>18</v>
      </c>
    </row>
    <row r="125" spans="1:9" ht="29.1">
      <c r="A125">
        <v>124</v>
      </c>
      <c r="B125" s="85" t="s">
        <v>874</v>
      </c>
      <c r="C125" s="86" t="s">
        <v>875</v>
      </c>
      <c r="D125" s="85" t="s">
        <v>871</v>
      </c>
      <c r="E125" s="86" t="s">
        <v>625</v>
      </c>
      <c r="F125" s="86" t="s">
        <v>18</v>
      </c>
      <c r="G125" s="85" t="s">
        <v>16</v>
      </c>
      <c r="H125" s="85" t="s">
        <v>18</v>
      </c>
      <c r="I125" s="85" t="s">
        <v>18</v>
      </c>
    </row>
    <row r="126" spans="1:9" ht="72.599999999999994">
      <c r="A126">
        <v>125</v>
      </c>
      <c r="B126" s="85" t="s">
        <v>876</v>
      </c>
      <c r="C126" s="86" t="s">
        <v>877</v>
      </c>
      <c r="D126" s="85" t="s">
        <v>878</v>
      </c>
      <c r="E126" s="86" t="s">
        <v>14</v>
      </c>
      <c r="F126" s="86" t="s">
        <v>594</v>
      </c>
      <c r="G126" s="85" t="s">
        <v>16</v>
      </c>
      <c r="H126" s="85" t="s">
        <v>18</v>
      </c>
      <c r="I126" s="85" t="s">
        <v>18</v>
      </c>
    </row>
    <row r="127" spans="1:9" ht="29.1">
      <c r="A127">
        <v>126</v>
      </c>
      <c r="B127" t="s">
        <v>879</v>
      </c>
      <c r="C127" s="9" t="s">
        <v>880</v>
      </c>
      <c r="D127" t="s">
        <v>881</v>
      </c>
      <c r="E127" s="9" t="s">
        <v>625</v>
      </c>
      <c r="F127" s="9" t="s">
        <v>18</v>
      </c>
      <c r="G127" t="s">
        <v>16</v>
      </c>
      <c r="H127" t="s">
        <v>18</v>
      </c>
      <c r="I127" t="s">
        <v>18</v>
      </c>
    </row>
    <row r="128" spans="1:9" ht="29.1">
      <c r="A128">
        <v>127</v>
      </c>
      <c r="B128" t="s">
        <v>882</v>
      </c>
      <c r="C128" s="9" t="s">
        <v>883</v>
      </c>
      <c r="D128" t="s">
        <v>881</v>
      </c>
      <c r="E128" s="9" t="s">
        <v>625</v>
      </c>
      <c r="F128" s="9" t="s">
        <v>18</v>
      </c>
      <c r="G128" t="s">
        <v>16</v>
      </c>
      <c r="H128" t="s">
        <v>18</v>
      </c>
      <c r="I128" t="s">
        <v>18</v>
      </c>
    </row>
    <row r="129" spans="1:9" ht="72.599999999999994">
      <c r="A129">
        <v>128</v>
      </c>
      <c r="B129" t="s">
        <v>884</v>
      </c>
      <c r="C129" s="9" t="s">
        <v>885</v>
      </c>
      <c r="D129" t="s">
        <v>886</v>
      </c>
      <c r="E129" s="9" t="s">
        <v>887</v>
      </c>
      <c r="F129" s="9" t="s">
        <v>888</v>
      </c>
      <c r="G129" t="s">
        <v>16</v>
      </c>
      <c r="H129" t="s">
        <v>18</v>
      </c>
      <c r="I129" t="s">
        <v>18</v>
      </c>
    </row>
    <row r="130" spans="1:9" ht="72.599999999999994">
      <c r="A130">
        <v>129</v>
      </c>
      <c r="B130" t="s">
        <v>889</v>
      </c>
      <c r="C130" s="9" t="s">
        <v>890</v>
      </c>
      <c r="D130" t="s">
        <v>886</v>
      </c>
      <c r="E130" s="9" t="s">
        <v>887</v>
      </c>
      <c r="F130" s="9" t="s">
        <v>594</v>
      </c>
      <c r="G130" t="s">
        <v>16</v>
      </c>
      <c r="H130" t="s">
        <v>18</v>
      </c>
      <c r="I130" t="s">
        <v>18</v>
      </c>
    </row>
    <row r="131" spans="1:9" ht="72.599999999999994">
      <c r="A131">
        <v>130</v>
      </c>
      <c r="B131" t="s">
        <v>891</v>
      </c>
      <c r="C131" s="9" t="s">
        <v>885</v>
      </c>
      <c r="D131" t="s">
        <v>886</v>
      </c>
      <c r="E131" s="9" t="s">
        <v>887</v>
      </c>
      <c r="F131" s="9" t="s">
        <v>888</v>
      </c>
      <c r="G131" t="s">
        <v>16</v>
      </c>
      <c r="H131" t="s">
        <v>18</v>
      </c>
      <c r="I131" t="s">
        <v>18</v>
      </c>
    </row>
    <row r="132" spans="1:9" ht="72.599999999999994">
      <c r="A132">
        <v>131</v>
      </c>
      <c r="B132" t="s">
        <v>892</v>
      </c>
      <c r="C132" s="9" t="s">
        <v>893</v>
      </c>
      <c r="D132" t="s">
        <v>886</v>
      </c>
      <c r="E132" s="9" t="s">
        <v>887</v>
      </c>
      <c r="F132" s="9" t="s">
        <v>594</v>
      </c>
      <c r="G132" t="s">
        <v>16</v>
      </c>
      <c r="H132" t="s">
        <v>18</v>
      </c>
      <c r="I132" t="s">
        <v>18</v>
      </c>
    </row>
    <row r="133" spans="1:9" ht="72.599999999999994">
      <c r="A133">
        <v>132</v>
      </c>
      <c r="B133" t="s">
        <v>894</v>
      </c>
      <c r="C133" s="9" t="s">
        <v>895</v>
      </c>
      <c r="D133" t="s">
        <v>886</v>
      </c>
      <c r="E133" s="9" t="s">
        <v>887</v>
      </c>
      <c r="F133" s="9" t="s">
        <v>888</v>
      </c>
      <c r="G133" t="s">
        <v>16</v>
      </c>
      <c r="H133" t="s">
        <v>18</v>
      </c>
      <c r="I133" t="s">
        <v>18</v>
      </c>
    </row>
  </sheetData>
  <printOptions gridLines="1"/>
  <pageMargins left="0.75" right="0.75" top="1" bottom="1" header="0.5" footer="0.5"/>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2"/>
  <sheetViews>
    <sheetView topLeftCell="A36" zoomScale="85" zoomScaleNormal="85" workbookViewId="0">
      <selection activeCell="C24" sqref="C24"/>
    </sheetView>
  </sheetViews>
  <sheetFormatPr defaultColWidth="9" defaultRowHeight="14.45"/>
  <cols>
    <col min="2" max="2" width="28.875" customWidth="1"/>
    <col min="3" max="3" width="28.75" customWidth="1"/>
    <col min="4" max="4" width="30.125" customWidth="1"/>
    <col min="5" max="5" width="37.5" customWidth="1"/>
    <col min="6" max="6" width="27" customWidth="1"/>
    <col min="7" max="7" width="22.125" customWidth="1"/>
    <col min="8" max="8" width="41.875" customWidth="1"/>
    <col min="9" max="9" width="30" customWidth="1"/>
    <col min="10" max="10" width="15.5" customWidth="1"/>
  </cols>
  <sheetData>
    <row r="1" spans="1:10">
      <c r="A1" s="41" t="s">
        <v>0</v>
      </c>
      <c r="B1" s="41" t="s">
        <v>1</v>
      </c>
      <c r="C1" s="41" t="s">
        <v>2</v>
      </c>
      <c r="D1" s="42" t="s">
        <v>3</v>
      </c>
      <c r="E1" s="41" t="s">
        <v>4</v>
      </c>
      <c r="F1" s="43" t="s">
        <v>5</v>
      </c>
      <c r="G1" s="41" t="s">
        <v>6</v>
      </c>
      <c r="H1" s="44" t="s">
        <v>7</v>
      </c>
      <c r="I1" s="54" t="s">
        <v>8</v>
      </c>
      <c r="J1" s="54" t="s">
        <v>9</v>
      </c>
    </row>
    <row r="2" spans="1:10" ht="28.5">
      <c r="A2" s="45">
        <v>1</v>
      </c>
      <c r="B2" s="46" t="s">
        <v>896</v>
      </c>
      <c r="C2" s="46" t="s">
        <v>897</v>
      </c>
      <c r="D2" s="46" t="s">
        <v>898</v>
      </c>
      <c r="E2" s="46" t="s">
        <v>899</v>
      </c>
      <c r="F2" s="46" t="s">
        <v>33</v>
      </c>
      <c r="G2" s="46" t="s">
        <v>33</v>
      </c>
      <c r="H2" s="47" t="s">
        <v>18</v>
      </c>
      <c r="I2" s="47" t="s">
        <v>18</v>
      </c>
      <c r="J2" s="48" t="s">
        <v>19</v>
      </c>
    </row>
    <row r="3" spans="1:10" ht="28.5">
      <c r="A3" s="45">
        <v>2</v>
      </c>
      <c r="B3" s="46" t="s">
        <v>900</v>
      </c>
      <c r="C3" s="46" t="s">
        <v>901</v>
      </c>
      <c r="D3" s="46" t="s">
        <v>898</v>
      </c>
      <c r="E3" s="46" t="s">
        <v>899</v>
      </c>
      <c r="F3" s="46" t="s">
        <v>33</v>
      </c>
      <c r="G3" s="46" t="s">
        <v>33</v>
      </c>
      <c r="H3" s="47" t="s">
        <v>18</v>
      </c>
      <c r="I3" s="47" t="s">
        <v>18</v>
      </c>
      <c r="J3" s="48" t="s">
        <v>19</v>
      </c>
    </row>
    <row r="4" spans="1:10" ht="28.5">
      <c r="A4" s="45">
        <v>3</v>
      </c>
      <c r="B4" s="46" t="s">
        <v>902</v>
      </c>
      <c r="C4" s="46" t="s">
        <v>903</v>
      </c>
      <c r="D4" s="46" t="s">
        <v>898</v>
      </c>
      <c r="E4" s="46" t="s">
        <v>899</v>
      </c>
      <c r="F4" s="46" t="s">
        <v>33</v>
      </c>
      <c r="G4" s="46" t="s">
        <v>33</v>
      </c>
      <c r="H4" s="47" t="s">
        <v>18</v>
      </c>
      <c r="I4" s="47" t="s">
        <v>18</v>
      </c>
      <c r="J4" s="48" t="s">
        <v>19</v>
      </c>
    </row>
    <row r="5" spans="1:10" ht="28.5">
      <c r="A5" s="45">
        <v>4</v>
      </c>
      <c r="B5" s="46" t="s">
        <v>904</v>
      </c>
      <c r="C5" s="46" t="s">
        <v>905</v>
      </c>
      <c r="D5" s="46" t="s">
        <v>898</v>
      </c>
      <c r="E5" s="46" t="s">
        <v>899</v>
      </c>
      <c r="F5" s="46" t="s">
        <v>33</v>
      </c>
      <c r="G5" s="46" t="s">
        <v>33</v>
      </c>
      <c r="H5" s="47" t="s">
        <v>18</v>
      </c>
      <c r="I5" s="47" t="s">
        <v>18</v>
      </c>
      <c r="J5" s="48" t="s">
        <v>19</v>
      </c>
    </row>
    <row r="6" spans="1:10" ht="28.5">
      <c r="A6" s="45">
        <v>5</v>
      </c>
      <c r="B6" s="46" t="s">
        <v>906</v>
      </c>
      <c r="C6" s="46" t="s">
        <v>907</v>
      </c>
      <c r="D6" s="46" t="s">
        <v>898</v>
      </c>
      <c r="E6" s="46" t="s">
        <v>899</v>
      </c>
      <c r="F6" s="46" t="s">
        <v>33</v>
      </c>
      <c r="G6" s="46" t="s">
        <v>33</v>
      </c>
      <c r="H6" s="47" t="s">
        <v>18</v>
      </c>
      <c r="I6" s="47" t="s">
        <v>18</v>
      </c>
      <c r="J6" s="48" t="s">
        <v>19</v>
      </c>
    </row>
    <row r="7" spans="1:10" ht="42.6">
      <c r="A7" s="45">
        <v>6</v>
      </c>
      <c r="B7" s="41" t="s">
        <v>908</v>
      </c>
      <c r="C7" s="46"/>
      <c r="D7" s="46" t="s">
        <v>909</v>
      </c>
      <c r="E7" s="46" t="s">
        <v>910</v>
      </c>
      <c r="F7" s="46" t="s">
        <v>15</v>
      </c>
      <c r="G7" s="46" t="s">
        <v>16</v>
      </c>
      <c r="H7" s="45"/>
      <c r="I7" s="45"/>
      <c r="J7" s="45"/>
    </row>
    <row r="8" spans="1:10" ht="42.6">
      <c r="A8" s="45">
        <v>7</v>
      </c>
      <c r="B8" s="46" t="s">
        <v>911</v>
      </c>
      <c r="C8" s="46" t="s">
        <v>912</v>
      </c>
      <c r="D8" s="46" t="s">
        <v>913</v>
      </c>
      <c r="E8" s="46" t="s">
        <v>14</v>
      </c>
      <c r="F8" s="46" t="s">
        <v>15</v>
      </c>
      <c r="G8" s="46" t="s">
        <v>16</v>
      </c>
      <c r="H8" s="45"/>
      <c r="I8" s="45"/>
      <c r="J8" s="45"/>
    </row>
    <row r="9" spans="1:10" ht="42.6">
      <c r="A9" s="45">
        <v>8</v>
      </c>
      <c r="B9" s="46" t="s">
        <v>914</v>
      </c>
      <c r="C9" s="46" t="s">
        <v>915</v>
      </c>
      <c r="D9" s="46" t="s">
        <v>913</v>
      </c>
      <c r="E9" s="46" t="s">
        <v>14</v>
      </c>
      <c r="F9" s="46" t="s">
        <v>15</v>
      </c>
      <c r="G9" s="46" t="s">
        <v>16</v>
      </c>
      <c r="H9" s="47" t="s">
        <v>18</v>
      </c>
      <c r="I9" s="46" t="s">
        <v>916</v>
      </c>
      <c r="J9" s="48" t="s">
        <v>19</v>
      </c>
    </row>
    <row r="10" spans="1:10" ht="56.45">
      <c r="A10" s="45">
        <v>9</v>
      </c>
      <c r="B10" s="46" t="s">
        <v>917</v>
      </c>
      <c r="C10" s="46" t="s">
        <v>918</v>
      </c>
      <c r="D10" s="46" t="s">
        <v>919</v>
      </c>
      <c r="E10" s="46" t="s">
        <v>14</v>
      </c>
      <c r="F10" s="46" t="s">
        <v>594</v>
      </c>
      <c r="G10" s="46" t="s">
        <v>16</v>
      </c>
      <c r="H10" s="46" t="s">
        <v>920</v>
      </c>
      <c r="I10" s="47" t="s">
        <v>18</v>
      </c>
      <c r="J10" s="48" t="s">
        <v>19</v>
      </c>
    </row>
    <row r="11" spans="1:10" ht="28.5">
      <c r="A11" s="45">
        <v>10</v>
      </c>
      <c r="B11" s="46" t="s">
        <v>921</v>
      </c>
      <c r="C11" s="46" t="s">
        <v>922</v>
      </c>
      <c r="D11" s="46" t="s">
        <v>919</v>
      </c>
      <c r="E11" s="46" t="s">
        <v>71</v>
      </c>
      <c r="F11" s="46" t="s">
        <v>33</v>
      </c>
      <c r="G11" s="46" t="s">
        <v>33</v>
      </c>
      <c r="H11" s="47" t="s">
        <v>18</v>
      </c>
      <c r="I11" s="47" t="s">
        <v>18</v>
      </c>
      <c r="J11" s="48" t="s">
        <v>19</v>
      </c>
    </row>
    <row r="12" spans="1:10" ht="56.45">
      <c r="A12" s="45">
        <v>11</v>
      </c>
      <c r="B12" s="46" t="s">
        <v>262</v>
      </c>
      <c r="C12" s="46" t="s">
        <v>923</v>
      </c>
      <c r="D12" s="46" t="s">
        <v>919</v>
      </c>
      <c r="E12" s="46" t="s">
        <v>14</v>
      </c>
      <c r="F12" s="46" t="s">
        <v>594</v>
      </c>
      <c r="G12" s="46" t="s">
        <v>16</v>
      </c>
      <c r="H12" s="46" t="s">
        <v>924</v>
      </c>
      <c r="I12" s="48" t="s">
        <v>18</v>
      </c>
      <c r="J12" s="48" t="s">
        <v>19</v>
      </c>
    </row>
    <row r="13" spans="1:10" ht="56.45">
      <c r="A13" s="45">
        <v>12</v>
      </c>
      <c r="B13" s="46" t="s">
        <v>477</v>
      </c>
      <c r="C13" s="46" t="s">
        <v>925</v>
      </c>
      <c r="D13" s="46" t="s">
        <v>926</v>
      </c>
      <c r="E13" s="46" t="s">
        <v>14</v>
      </c>
      <c r="F13" s="46" t="s">
        <v>594</v>
      </c>
      <c r="G13" s="46" t="s">
        <v>16</v>
      </c>
      <c r="H13" s="45"/>
      <c r="I13" s="45"/>
      <c r="J13" s="45"/>
    </row>
    <row r="14" spans="1:10" ht="42.6">
      <c r="A14" s="45">
        <v>13</v>
      </c>
      <c r="B14" s="46" t="s">
        <v>927</v>
      </c>
      <c r="C14" s="46" t="s">
        <v>928</v>
      </c>
      <c r="D14" s="46" t="s">
        <v>929</v>
      </c>
      <c r="E14" s="46" t="s">
        <v>14</v>
      </c>
      <c r="F14" s="46" t="s">
        <v>15</v>
      </c>
      <c r="G14" s="46" t="s">
        <v>16</v>
      </c>
      <c r="H14" s="47" t="s">
        <v>18</v>
      </c>
      <c r="I14" s="46" t="s">
        <v>930</v>
      </c>
      <c r="J14" s="48" t="s">
        <v>19</v>
      </c>
    </row>
    <row r="15" spans="1:10" ht="46.5">
      <c r="A15" s="45">
        <v>14</v>
      </c>
      <c r="B15" s="46" t="s">
        <v>260</v>
      </c>
      <c r="C15" s="5" t="s">
        <v>931</v>
      </c>
      <c r="D15" s="6" t="s">
        <v>932</v>
      </c>
      <c r="E15" s="46" t="s">
        <v>14</v>
      </c>
      <c r="F15" s="46" t="s">
        <v>15</v>
      </c>
      <c r="G15" s="46" t="s">
        <v>16</v>
      </c>
      <c r="H15" s="45"/>
      <c r="I15" s="45"/>
      <c r="J15" s="45"/>
    </row>
    <row r="16" spans="1:10" ht="42.6">
      <c r="A16" s="45">
        <v>15</v>
      </c>
      <c r="B16" s="5" t="s">
        <v>933</v>
      </c>
      <c r="C16" s="5" t="s">
        <v>934</v>
      </c>
      <c r="D16" s="5" t="s">
        <v>935</v>
      </c>
      <c r="E16" s="45" t="s">
        <v>14</v>
      </c>
      <c r="F16" s="46" t="s">
        <v>15</v>
      </c>
      <c r="G16" s="45" t="s">
        <v>16</v>
      </c>
      <c r="H16" s="47" t="s">
        <v>18</v>
      </c>
      <c r="I16" s="46" t="s">
        <v>936</v>
      </c>
      <c r="J16" s="48" t="s">
        <v>19</v>
      </c>
    </row>
    <row r="17" spans="1:10" ht="46.5">
      <c r="A17" s="45">
        <v>16</v>
      </c>
      <c r="B17" s="6" t="s">
        <v>937</v>
      </c>
      <c r="C17" s="5" t="s">
        <v>938</v>
      </c>
      <c r="D17" s="5" t="s">
        <v>939</v>
      </c>
      <c r="E17" s="45" t="s">
        <v>14</v>
      </c>
      <c r="F17" s="46" t="s">
        <v>15</v>
      </c>
      <c r="G17" s="45" t="s">
        <v>16</v>
      </c>
      <c r="H17" s="47" t="s">
        <v>18</v>
      </c>
      <c r="I17" s="46" t="s">
        <v>940</v>
      </c>
      <c r="J17" s="48" t="s">
        <v>19</v>
      </c>
    </row>
    <row r="18" spans="1:10" ht="42.6">
      <c r="A18" s="45">
        <v>17</v>
      </c>
      <c r="B18" s="45" t="s">
        <v>941</v>
      </c>
      <c r="C18" s="45" t="s">
        <v>942</v>
      </c>
      <c r="D18" s="45" t="s">
        <v>943</v>
      </c>
      <c r="E18" s="45" t="s">
        <v>14</v>
      </c>
      <c r="F18" s="46" t="s">
        <v>15</v>
      </c>
      <c r="G18" s="45" t="s">
        <v>16</v>
      </c>
      <c r="H18" s="45"/>
      <c r="I18" s="45"/>
      <c r="J18" s="45"/>
    </row>
    <row r="19" spans="1:10" ht="56.45">
      <c r="A19" s="45">
        <v>18</v>
      </c>
      <c r="B19" s="45" t="s">
        <v>944</v>
      </c>
      <c r="C19" s="46" t="s">
        <v>945</v>
      </c>
      <c r="D19" s="45" t="s">
        <v>943</v>
      </c>
      <c r="E19" s="45" t="s">
        <v>14</v>
      </c>
      <c r="F19" s="46" t="s">
        <v>594</v>
      </c>
      <c r="G19" s="45" t="s">
        <v>16</v>
      </c>
      <c r="H19" s="45">
        <v>800000</v>
      </c>
      <c r="I19" s="45"/>
      <c r="J19" s="45"/>
    </row>
    <row r="20" spans="1:10" ht="56.45">
      <c r="A20" s="45">
        <v>19</v>
      </c>
      <c r="B20" s="45" t="s">
        <v>946</v>
      </c>
      <c r="C20" s="45" t="s">
        <v>947</v>
      </c>
      <c r="D20" s="45" t="s">
        <v>943</v>
      </c>
      <c r="E20" s="45" t="s">
        <v>14</v>
      </c>
      <c r="F20" s="46" t="s">
        <v>594</v>
      </c>
      <c r="G20" s="45" t="s">
        <v>16</v>
      </c>
      <c r="H20" s="47" t="s">
        <v>18</v>
      </c>
      <c r="I20" s="46" t="s">
        <v>948</v>
      </c>
      <c r="J20" s="48" t="s">
        <v>19</v>
      </c>
    </row>
    <row r="21" spans="1:10" ht="56.45">
      <c r="A21" s="45">
        <v>20</v>
      </c>
      <c r="B21" s="45" t="s">
        <v>949</v>
      </c>
      <c r="C21" s="45" t="s">
        <v>950</v>
      </c>
      <c r="D21" s="45" t="s">
        <v>951</v>
      </c>
      <c r="E21" s="45" t="s">
        <v>14</v>
      </c>
      <c r="F21" s="46" t="s">
        <v>594</v>
      </c>
      <c r="G21" s="45" t="s">
        <v>16</v>
      </c>
      <c r="H21" s="46" t="s">
        <v>952</v>
      </c>
      <c r="I21" s="48" t="s">
        <v>18</v>
      </c>
      <c r="J21" s="48" t="s">
        <v>19</v>
      </c>
    </row>
    <row r="22" spans="1:10" ht="56.45">
      <c r="A22" s="45">
        <v>21</v>
      </c>
      <c r="B22" s="45" t="s">
        <v>953</v>
      </c>
      <c r="C22" s="45" t="s">
        <v>954</v>
      </c>
      <c r="D22" s="45" t="s">
        <v>951</v>
      </c>
      <c r="E22" s="45" t="s">
        <v>14</v>
      </c>
      <c r="F22" s="46" t="s">
        <v>594</v>
      </c>
      <c r="G22" s="45" t="s">
        <v>16</v>
      </c>
      <c r="H22" s="48" t="s">
        <v>18</v>
      </c>
      <c r="I22" s="48" t="s">
        <v>18</v>
      </c>
      <c r="J22" s="48" t="s">
        <v>19</v>
      </c>
    </row>
    <row r="23" spans="1:10" ht="56.45">
      <c r="A23" s="45">
        <v>22</v>
      </c>
      <c r="B23" s="45" t="s">
        <v>955</v>
      </c>
      <c r="C23" s="46" t="s">
        <v>956</v>
      </c>
      <c r="D23" s="45" t="s">
        <v>951</v>
      </c>
      <c r="E23" s="45" t="s">
        <v>14</v>
      </c>
      <c r="F23" s="46" t="s">
        <v>594</v>
      </c>
      <c r="G23" s="45" t="s">
        <v>16</v>
      </c>
      <c r="H23" s="45"/>
      <c r="I23" s="45"/>
      <c r="J23" s="45"/>
    </row>
    <row r="24" spans="1:10" ht="56.45">
      <c r="A24" s="45">
        <v>23</v>
      </c>
      <c r="B24" s="45" t="s">
        <v>957</v>
      </c>
      <c r="C24" s="46" t="s">
        <v>958</v>
      </c>
      <c r="D24" s="45" t="s">
        <v>951</v>
      </c>
      <c r="E24" s="45" t="s">
        <v>14</v>
      </c>
      <c r="F24" s="46" t="s">
        <v>594</v>
      </c>
      <c r="G24" s="45" t="s">
        <v>16</v>
      </c>
      <c r="H24" s="48" t="s">
        <v>18</v>
      </c>
      <c r="I24" s="46" t="s">
        <v>959</v>
      </c>
      <c r="J24" s="48" t="s">
        <v>19</v>
      </c>
    </row>
    <row r="25" spans="1:10" ht="56.45">
      <c r="A25" s="45">
        <v>24</v>
      </c>
      <c r="B25" s="45" t="s">
        <v>960</v>
      </c>
      <c r="C25" s="46" t="s">
        <v>961</v>
      </c>
      <c r="D25" s="45" t="s">
        <v>962</v>
      </c>
      <c r="E25" s="45" t="s">
        <v>14</v>
      </c>
      <c r="F25" s="46" t="s">
        <v>594</v>
      </c>
      <c r="G25" s="45" t="s">
        <v>16</v>
      </c>
      <c r="H25" s="48" t="s">
        <v>18</v>
      </c>
      <c r="I25" s="46" t="s">
        <v>959</v>
      </c>
      <c r="J25" s="48" t="s">
        <v>19</v>
      </c>
    </row>
    <row r="26" spans="1:10" ht="56.45">
      <c r="A26" s="45">
        <v>25</v>
      </c>
      <c r="B26" s="45" t="s">
        <v>963</v>
      </c>
      <c r="C26" s="46" t="s">
        <v>964</v>
      </c>
      <c r="D26" s="45" t="s">
        <v>962</v>
      </c>
      <c r="E26" s="45" t="s">
        <v>14</v>
      </c>
      <c r="F26" s="46" t="s">
        <v>594</v>
      </c>
      <c r="G26" s="45" t="s">
        <v>16</v>
      </c>
      <c r="H26" s="48" t="s">
        <v>18</v>
      </c>
      <c r="I26" s="46" t="s">
        <v>965</v>
      </c>
      <c r="J26" s="48" t="s">
        <v>19</v>
      </c>
    </row>
    <row r="27" spans="1:10" ht="56.45">
      <c r="A27" s="45">
        <v>26</v>
      </c>
      <c r="B27" s="45" t="s">
        <v>966</v>
      </c>
      <c r="C27" s="45"/>
      <c r="D27" s="45" t="s">
        <v>962</v>
      </c>
      <c r="E27" s="45" t="s">
        <v>14</v>
      </c>
      <c r="F27" s="46" t="s">
        <v>594</v>
      </c>
      <c r="G27" s="45" t="s">
        <v>16</v>
      </c>
      <c r="H27" s="48" t="s">
        <v>18</v>
      </c>
      <c r="I27" s="45"/>
      <c r="J27" s="45"/>
    </row>
    <row r="28" spans="1:10">
      <c r="A28" s="45">
        <v>27</v>
      </c>
      <c r="B28" s="45" t="s">
        <v>967</v>
      </c>
      <c r="C28" s="45"/>
      <c r="D28" s="45" t="s">
        <v>962</v>
      </c>
      <c r="E28" s="45" t="s">
        <v>625</v>
      </c>
      <c r="F28" s="45" t="s">
        <v>33</v>
      </c>
      <c r="G28" s="45" t="s">
        <v>16</v>
      </c>
      <c r="H28" s="48" t="s">
        <v>18</v>
      </c>
      <c r="I28" s="45"/>
      <c r="J28" s="45"/>
    </row>
    <row r="29" spans="1:10">
      <c r="A29" s="45">
        <v>28</v>
      </c>
      <c r="B29" s="45" t="s">
        <v>968</v>
      </c>
      <c r="C29" s="45"/>
      <c r="D29" s="45" t="s">
        <v>962</v>
      </c>
      <c r="E29" s="45" t="s">
        <v>625</v>
      </c>
      <c r="F29" s="45" t="s">
        <v>33</v>
      </c>
      <c r="G29" s="45" t="s">
        <v>16</v>
      </c>
      <c r="H29" s="48" t="s">
        <v>18</v>
      </c>
      <c r="I29" s="45"/>
      <c r="J29" s="45"/>
    </row>
    <row r="30" spans="1:10">
      <c r="A30" s="45">
        <v>29</v>
      </c>
      <c r="B30" s="45" t="s">
        <v>969</v>
      </c>
      <c r="C30" s="45"/>
      <c r="D30" s="45" t="s">
        <v>962</v>
      </c>
      <c r="E30" s="45" t="s">
        <v>625</v>
      </c>
      <c r="F30" s="45" t="s">
        <v>33</v>
      </c>
      <c r="G30" s="45" t="s">
        <v>16</v>
      </c>
      <c r="H30" s="48" t="s">
        <v>18</v>
      </c>
      <c r="I30" s="45"/>
      <c r="J30" s="45"/>
    </row>
    <row r="31" spans="1:10" ht="28.5">
      <c r="A31" s="45">
        <v>30</v>
      </c>
      <c r="B31" s="49" t="s">
        <v>970</v>
      </c>
      <c r="C31" s="46" t="s">
        <v>971</v>
      </c>
      <c r="D31" s="45" t="s">
        <v>972</v>
      </c>
      <c r="E31" s="45" t="s">
        <v>625</v>
      </c>
      <c r="F31" s="45" t="s">
        <v>33</v>
      </c>
      <c r="G31" s="45" t="s">
        <v>16</v>
      </c>
      <c r="H31" s="48" t="s">
        <v>18</v>
      </c>
      <c r="I31" s="45"/>
      <c r="J31" s="45" t="s">
        <v>19</v>
      </c>
    </row>
    <row r="32" spans="1:10" ht="28.5">
      <c r="A32" s="46">
        <v>31</v>
      </c>
      <c r="B32" s="45" t="s">
        <v>973</v>
      </c>
      <c r="C32" s="46" t="s">
        <v>974</v>
      </c>
      <c r="D32" s="45" t="s">
        <v>972</v>
      </c>
      <c r="E32" s="45" t="s">
        <v>625</v>
      </c>
      <c r="F32" s="45" t="s">
        <v>33</v>
      </c>
      <c r="G32" s="45" t="s">
        <v>16</v>
      </c>
      <c r="H32" s="48" t="s">
        <v>18</v>
      </c>
      <c r="I32" s="45"/>
      <c r="J32" s="45" t="s">
        <v>19</v>
      </c>
    </row>
    <row r="33" spans="1:10" ht="42.6">
      <c r="A33" s="46">
        <v>32</v>
      </c>
      <c r="B33" s="45" t="s">
        <v>519</v>
      </c>
      <c r="C33" s="46" t="s">
        <v>975</v>
      </c>
      <c r="D33" s="45" t="s">
        <v>972</v>
      </c>
      <c r="E33" s="45" t="s">
        <v>625</v>
      </c>
      <c r="F33" s="46" t="s">
        <v>15</v>
      </c>
      <c r="G33" s="45" t="s">
        <v>16</v>
      </c>
      <c r="H33" s="48" t="s">
        <v>18</v>
      </c>
      <c r="I33" s="46" t="s">
        <v>976</v>
      </c>
      <c r="J33" s="45" t="s">
        <v>19</v>
      </c>
    </row>
    <row r="34" spans="1:10">
      <c r="A34" s="45">
        <v>33</v>
      </c>
      <c r="B34" s="49" t="s">
        <v>977</v>
      </c>
      <c r="C34" s="45"/>
      <c r="D34" s="45" t="s">
        <v>978</v>
      </c>
      <c r="E34" s="45" t="s">
        <v>625</v>
      </c>
      <c r="F34" s="45" t="s">
        <v>33</v>
      </c>
      <c r="G34" s="45" t="s">
        <v>16</v>
      </c>
      <c r="H34" s="48" t="s">
        <v>18</v>
      </c>
      <c r="I34" s="45"/>
      <c r="J34" s="45" t="s">
        <v>19</v>
      </c>
    </row>
    <row r="35" spans="1:10" ht="28.5">
      <c r="A35" s="45">
        <v>34</v>
      </c>
      <c r="B35" s="45" t="s">
        <v>979</v>
      </c>
      <c r="C35" s="46" t="s">
        <v>980</v>
      </c>
      <c r="D35" s="45" t="s">
        <v>978</v>
      </c>
      <c r="E35" s="45" t="s">
        <v>625</v>
      </c>
      <c r="F35" s="45" t="s">
        <v>33</v>
      </c>
      <c r="G35" s="45" t="s">
        <v>16</v>
      </c>
      <c r="H35" s="48" t="s">
        <v>18</v>
      </c>
      <c r="I35" s="45"/>
      <c r="J35" s="45" t="s">
        <v>19</v>
      </c>
    </row>
    <row r="36" spans="1:10" ht="28.5">
      <c r="A36" s="45">
        <v>35</v>
      </c>
      <c r="B36" s="46" t="s">
        <v>981</v>
      </c>
      <c r="C36" s="46" t="s">
        <v>982</v>
      </c>
      <c r="D36" s="45" t="s">
        <v>978</v>
      </c>
      <c r="E36" s="45" t="s">
        <v>625</v>
      </c>
      <c r="F36" s="45" t="s">
        <v>33</v>
      </c>
      <c r="G36" s="45" t="s">
        <v>16</v>
      </c>
      <c r="H36" s="48" t="s">
        <v>18</v>
      </c>
      <c r="I36" s="45"/>
      <c r="J36" s="45" t="s">
        <v>19</v>
      </c>
    </row>
    <row r="37" spans="1:10" ht="28.5">
      <c r="A37" s="45">
        <v>36</v>
      </c>
      <c r="B37" s="45" t="s">
        <v>983</v>
      </c>
      <c r="C37" s="46" t="s">
        <v>984</v>
      </c>
      <c r="D37" s="45" t="s">
        <v>978</v>
      </c>
      <c r="E37" s="45" t="s">
        <v>625</v>
      </c>
      <c r="F37" s="45" t="s">
        <v>33</v>
      </c>
      <c r="G37" s="45" t="s">
        <v>16</v>
      </c>
      <c r="H37" s="48" t="s">
        <v>18</v>
      </c>
      <c r="I37" s="45"/>
      <c r="J37" s="45" t="s">
        <v>19</v>
      </c>
    </row>
    <row r="38" spans="1:10" ht="42.6">
      <c r="A38" s="45">
        <v>37</v>
      </c>
      <c r="B38" s="49" t="s">
        <v>985</v>
      </c>
      <c r="C38" s="46" t="s">
        <v>986</v>
      </c>
      <c r="D38" s="45" t="s">
        <v>978</v>
      </c>
      <c r="E38" s="45" t="s">
        <v>625</v>
      </c>
      <c r="F38" s="46" t="s">
        <v>15</v>
      </c>
      <c r="G38" s="45" t="s">
        <v>16</v>
      </c>
      <c r="H38" s="48" t="s">
        <v>18</v>
      </c>
      <c r="I38" s="46" t="s">
        <v>987</v>
      </c>
      <c r="J38" s="45" t="s">
        <v>19</v>
      </c>
    </row>
    <row r="39" spans="1:10" ht="42.6">
      <c r="A39" s="45">
        <v>38</v>
      </c>
      <c r="B39" s="45" t="s">
        <v>988</v>
      </c>
      <c r="C39" s="50" t="s">
        <v>989</v>
      </c>
      <c r="D39" s="45" t="s">
        <v>978</v>
      </c>
      <c r="E39" s="45" t="s">
        <v>14</v>
      </c>
      <c r="F39" s="46" t="s">
        <v>15</v>
      </c>
      <c r="G39" s="45" t="s">
        <v>16</v>
      </c>
      <c r="H39" s="51">
        <v>2000000</v>
      </c>
      <c r="I39" s="45"/>
      <c r="J39" s="45" t="s">
        <v>19</v>
      </c>
    </row>
    <row r="40" spans="1:10" ht="42.6">
      <c r="A40" s="45">
        <v>39</v>
      </c>
      <c r="B40" s="45" t="s">
        <v>990</v>
      </c>
      <c r="C40" s="46" t="s">
        <v>991</v>
      </c>
      <c r="D40" s="45" t="s">
        <v>992</v>
      </c>
      <c r="E40" s="46" t="s">
        <v>14</v>
      </c>
      <c r="F40" s="46" t="s">
        <v>15</v>
      </c>
      <c r="G40" s="45" t="s">
        <v>16</v>
      </c>
      <c r="H40" s="45" t="s">
        <v>993</v>
      </c>
      <c r="I40" s="46" t="s">
        <v>994</v>
      </c>
      <c r="J40" s="45"/>
    </row>
    <row r="41" spans="1:10" ht="42.6">
      <c r="A41" s="45">
        <v>40</v>
      </c>
      <c r="B41" s="45" t="s">
        <v>995</v>
      </c>
      <c r="C41" s="46" t="s">
        <v>996</v>
      </c>
      <c r="D41" s="45" t="s">
        <v>997</v>
      </c>
      <c r="E41" s="46" t="s">
        <v>14</v>
      </c>
      <c r="F41" s="46" t="s">
        <v>15</v>
      </c>
      <c r="G41" s="45" t="s">
        <v>16</v>
      </c>
      <c r="H41" s="45" t="s">
        <v>993</v>
      </c>
      <c r="I41" s="46" t="s">
        <v>976</v>
      </c>
      <c r="J41" s="45" t="s">
        <v>19</v>
      </c>
    </row>
    <row r="42" spans="1:10" ht="42.6">
      <c r="A42" s="45">
        <v>41</v>
      </c>
      <c r="B42" s="45" t="s">
        <v>998</v>
      </c>
      <c r="C42" s="46" t="s">
        <v>999</v>
      </c>
      <c r="D42" s="45" t="s">
        <v>1000</v>
      </c>
      <c r="E42" s="46" t="s">
        <v>14</v>
      </c>
      <c r="F42" s="46" t="s">
        <v>15</v>
      </c>
      <c r="G42" s="45" t="s">
        <v>16</v>
      </c>
      <c r="H42" s="45"/>
      <c r="I42" s="46" t="s">
        <v>976</v>
      </c>
      <c r="J42" s="45" t="s">
        <v>19</v>
      </c>
    </row>
    <row r="43" spans="1:10" ht="28.5">
      <c r="A43" s="45">
        <v>42</v>
      </c>
      <c r="B43" s="46" t="s">
        <v>1001</v>
      </c>
      <c r="C43" s="46" t="s">
        <v>1002</v>
      </c>
      <c r="D43" s="45" t="s">
        <v>1000</v>
      </c>
      <c r="E43" s="46" t="s">
        <v>625</v>
      </c>
      <c r="F43" s="45" t="s">
        <v>33</v>
      </c>
      <c r="G43" s="45" t="s">
        <v>16</v>
      </c>
      <c r="H43" s="52">
        <v>5000000</v>
      </c>
      <c r="I43" s="45" t="s">
        <v>33</v>
      </c>
      <c r="J43" s="45" t="s">
        <v>19</v>
      </c>
    </row>
    <row r="44" spans="1:10" ht="42.6">
      <c r="A44" s="45">
        <v>43</v>
      </c>
      <c r="B44" s="45" t="s">
        <v>1003</v>
      </c>
      <c r="C44" s="46" t="s">
        <v>1004</v>
      </c>
      <c r="D44" s="45" t="s">
        <v>1000</v>
      </c>
      <c r="E44" s="46" t="s">
        <v>14</v>
      </c>
      <c r="F44" s="46" t="s">
        <v>15</v>
      </c>
      <c r="G44" s="45" t="s">
        <v>16</v>
      </c>
      <c r="H44" s="51">
        <v>5000000</v>
      </c>
      <c r="I44" s="45" t="s">
        <v>33</v>
      </c>
      <c r="J44" s="45" t="s">
        <v>19</v>
      </c>
    </row>
    <row r="45" spans="1:10" ht="42.6">
      <c r="A45" s="45">
        <v>44</v>
      </c>
      <c r="B45" s="45" t="s">
        <v>1005</v>
      </c>
      <c r="C45" s="45" t="s">
        <v>1006</v>
      </c>
      <c r="D45" s="45" t="s">
        <v>1007</v>
      </c>
      <c r="E45" s="46" t="s">
        <v>14</v>
      </c>
      <c r="F45" s="46" t="s">
        <v>15</v>
      </c>
      <c r="G45" s="45" t="s">
        <v>16</v>
      </c>
      <c r="H45" s="45"/>
      <c r="I45" s="45"/>
      <c r="J45" s="45"/>
    </row>
    <row r="46" spans="1:10" ht="42.6">
      <c r="A46" s="45">
        <v>45</v>
      </c>
      <c r="B46" s="45" t="s">
        <v>1008</v>
      </c>
      <c r="C46" s="46" t="s">
        <v>1009</v>
      </c>
      <c r="D46" s="45" t="s">
        <v>1010</v>
      </c>
      <c r="E46" s="46" t="s">
        <v>14</v>
      </c>
      <c r="F46" s="46" t="s">
        <v>15</v>
      </c>
      <c r="G46" s="45" t="s">
        <v>16</v>
      </c>
      <c r="H46" s="52">
        <v>1000000</v>
      </c>
      <c r="I46" s="45" t="s">
        <v>33</v>
      </c>
      <c r="J46" s="45"/>
    </row>
    <row r="47" spans="1:10" ht="28.5">
      <c r="A47" s="45">
        <v>46</v>
      </c>
      <c r="B47" s="45" t="s">
        <v>1011</v>
      </c>
      <c r="C47" s="46" t="s">
        <v>1009</v>
      </c>
      <c r="D47" s="45" t="s">
        <v>1010</v>
      </c>
      <c r="E47" s="46" t="s">
        <v>625</v>
      </c>
      <c r="F47" s="46" t="s">
        <v>33</v>
      </c>
      <c r="G47" s="45" t="s">
        <v>16</v>
      </c>
      <c r="H47" s="45" t="s">
        <v>993</v>
      </c>
      <c r="I47" s="45" t="s">
        <v>33</v>
      </c>
      <c r="J47" s="45" t="s">
        <v>19</v>
      </c>
    </row>
    <row r="48" spans="1:10" ht="42.6">
      <c r="A48" s="45">
        <v>47</v>
      </c>
      <c r="B48" s="45" t="s">
        <v>1012</v>
      </c>
      <c r="C48" s="46" t="s">
        <v>1013</v>
      </c>
      <c r="D48" s="45" t="s">
        <v>1010</v>
      </c>
      <c r="E48" s="46" t="s">
        <v>14</v>
      </c>
      <c r="F48" s="46" t="s">
        <v>15</v>
      </c>
      <c r="G48" s="45" t="s">
        <v>16</v>
      </c>
      <c r="H48" s="45" t="s">
        <v>993</v>
      </c>
      <c r="I48" s="46" t="s">
        <v>1014</v>
      </c>
      <c r="J48" s="45"/>
    </row>
    <row r="49" spans="1:10" ht="28.5">
      <c r="A49" s="45">
        <v>48</v>
      </c>
      <c r="B49" s="45" t="s">
        <v>1015</v>
      </c>
      <c r="C49" s="46" t="s">
        <v>1016</v>
      </c>
      <c r="D49" s="45" t="s">
        <v>1010</v>
      </c>
      <c r="E49" s="46" t="s">
        <v>625</v>
      </c>
      <c r="F49" s="45" t="s">
        <v>33</v>
      </c>
      <c r="G49" s="45" t="s">
        <v>16</v>
      </c>
      <c r="H49" s="45" t="s">
        <v>993</v>
      </c>
      <c r="I49" s="45" t="s">
        <v>33</v>
      </c>
      <c r="J49" s="45" t="s">
        <v>19</v>
      </c>
    </row>
    <row r="50" spans="1:10" ht="42.6">
      <c r="A50" s="45">
        <v>49</v>
      </c>
      <c r="B50" s="45" t="s">
        <v>1017</v>
      </c>
      <c r="C50" s="46" t="s">
        <v>1018</v>
      </c>
      <c r="D50" s="45" t="s">
        <v>1010</v>
      </c>
      <c r="E50" s="46" t="s">
        <v>14</v>
      </c>
      <c r="F50" s="46" t="s">
        <v>15</v>
      </c>
      <c r="G50" s="45" t="s">
        <v>16</v>
      </c>
      <c r="H50" s="45" t="s">
        <v>993</v>
      </c>
      <c r="I50" s="46" t="s">
        <v>1019</v>
      </c>
      <c r="J50" s="45" t="s">
        <v>19</v>
      </c>
    </row>
    <row r="51" spans="1:10" ht="42.6">
      <c r="A51" s="45">
        <v>50</v>
      </c>
      <c r="B51" s="45" t="s">
        <v>1020</v>
      </c>
      <c r="C51" s="46" t="s">
        <v>1021</v>
      </c>
      <c r="D51" s="45" t="s">
        <v>1022</v>
      </c>
      <c r="E51" s="46" t="s">
        <v>14</v>
      </c>
      <c r="F51" s="46" t="s">
        <v>15</v>
      </c>
      <c r="G51" s="45" t="s">
        <v>16</v>
      </c>
      <c r="H51" s="52">
        <v>5000000</v>
      </c>
      <c r="I51" s="46" t="s">
        <v>33</v>
      </c>
      <c r="J51" s="45"/>
    </row>
    <row r="52" spans="1:10" ht="42.6">
      <c r="A52" s="45">
        <v>51</v>
      </c>
      <c r="B52" s="45" t="s">
        <v>1023</v>
      </c>
      <c r="C52" s="46" t="s">
        <v>1024</v>
      </c>
      <c r="D52" s="45" t="s">
        <v>1022</v>
      </c>
      <c r="E52" s="46" t="s">
        <v>14</v>
      </c>
      <c r="F52" s="46" t="s">
        <v>15</v>
      </c>
      <c r="G52" s="45" t="s">
        <v>16</v>
      </c>
      <c r="H52" s="45" t="s">
        <v>993</v>
      </c>
      <c r="I52" s="45"/>
      <c r="J52" s="45"/>
    </row>
    <row r="53" spans="1:10" ht="42.6">
      <c r="A53" s="45">
        <v>52</v>
      </c>
      <c r="B53" s="45" t="s">
        <v>1025</v>
      </c>
      <c r="C53" s="53" t="s">
        <v>1026</v>
      </c>
      <c r="D53" s="45" t="s">
        <v>1022</v>
      </c>
      <c r="E53" s="46" t="s">
        <v>14</v>
      </c>
      <c r="F53" s="46" t="s">
        <v>15</v>
      </c>
      <c r="G53" s="45" t="s">
        <v>16</v>
      </c>
      <c r="H53" s="45"/>
      <c r="I53" s="45"/>
      <c r="J53" s="45"/>
    </row>
    <row r="54" spans="1:10" ht="42.6">
      <c r="A54" s="45">
        <v>53</v>
      </c>
      <c r="B54" s="45" t="s">
        <v>1027</v>
      </c>
      <c r="C54" s="46" t="s">
        <v>1028</v>
      </c>
      <c r="D54" s="45" t="s">
        <v>1022</v>
      </c>
      <c r="E54" s="46" t="s">
        <v>14</v>
      </c>
      <c r="F54" s="46" t="s">
        <v>15</v>
      </c>
      <c r="G54" s="45" t="s">
        <v>16</v>
      </c>
      <c r="H54" s="52">
        <v>5537500</v>
      </c>
      <c r="I54" s="45" t="s">
        <v>33</v>
      </c>
      <c r="J54" s="45"/>
    </row>
    <row r="55" spans="1:10" ht="42.6">
      <c r="A55" s="45">
        <v>54</v>
      </c>
      <c r="B55" s="45" t="s">
        <v>1029</v>
      </c>
      <c r="C55" s="46" t="s">
        <v>1030</v>
      </c>
      <c r="D55" s="45" t="s">
        <v>1031</v>
      </c>
      <c r="E55" s="46" t="s">
        <v>625</v>
      </c>
      <c r="F55" s="46" t="s">
        <v>33</v>
      </c>
      <c r="G55" s="45" t="s">
        <v>16</v>
      </c>
      <c r="H55" s="45" t="s">
        <v>993</v>
      </c>
      <c r="I55" s="45" t="s">
        <v>33</v>
      </c>
      <c r="J55" s="45" t="s">
        <v>19</v>
      </c>
    </row>
    <row r="56" spans="1:10" ht="42.6">
      <c r="A56" s="45">
        <v>55</v>
      </c>
      <c r="B56" s="46" t="s">
        <v>1032</v>
      </c>
      <c r="C56" s="46" t="s">
        <v>1033</v>
      </c>
      <c r="D56" s="45" t="s">
        <v>1031</v>
      </c>
      <c r="E56" s="46" t="s">
        <v>14</v>
      </c>
      <c r="F56" s="46" t="s">
        <v>15</v>
      </c>
      <c r="G56" s="45" t="s">
        <v>16</v>
      </c>
      <c r="H56" s="45" t="s">
        <v>993</v>
      </c>
      <c r="I56" s="46" t="s">
        <v>1034</v>
      </c>
      <c r="J56" s="45"/>
    </row>
    <row r="57" spans="1:10" ht="42.6">
      <c r="A57" s="45">
        <v>56</v>
      </c>
      <c r="B57" s="46" t="s">
        <v>1035</v>
      </c>
      <c r="C57" s="46" t="s">
        <v>1036</v>
      </c>
      <c r="D57" s="45" t="s">
        <v>1031</v>
      </c>
      <c r="E57" s="46" t="s">
        <v>14</v>
      </c>
      <c r="F57" s="46" t="s">
        <v>15</v>
      </c>
      <c r="G57" s="45" t="s">
        <v>16</v>
      </c>
      <c r="H57" s="45" t="s">
        <v>993</v>
      </c>
      <c r="I57" s="46" t="s">
        <v>1037</v>
      </c>
      <c r="J57" s="45" t="s">
        <v>19</v>
      </c>
    </row>
    <row r="58" spans="1:10" ht="28.5">
      <c r="A58" s="45">
        <v>57</v>
      </c>
      <c r="B58" s="46" t="s">
        <v>1038</v>
      </c>
      <c r="C58" s="46" t="s">
        <v>1039</v>
      </c>
      <c r="D58" s="45" t="s">
        <v>1031</v>
      </c>
      <c r="E58" s="46" t="s">
        <v>625</v>
      </c>
      <c r="F58" s="46" t="s">
        <v>33</v>
      </c>
      <c r="G58" s="45" t="s">
        <v>16</v>
      </c>
      <c r="H58" s="45" t="s">
        <v>993</v>
      </c>
      <c r="I58" s="46" t="s">
        <v>33</v>
      </c>
      <c r="J58" s="45" t="s">
        <v>19</v>
      </c>
    </row>
    <row r="59" spans="1:10" ht="42.6">
      <c r="A59" s="45">
        <v>58</v>
      </c>
      <c r="B59" s="46" t="s">
        <v>1040</v>
      </c>
      <c r="C59" s="46" t="s">
        <v>1041</v>
      </c>
      <c r="D59" s="45" t="s">
        <v>1031</v>
      </c>
      <c r="E59" s="46" t="s">
        <v>14</v>
      </c>
      <c r="F59" s="46" t="s">
        <v>15</v>
      </c>
      <c r="G59" s="45" t="s">
        <v>16</v>
      </c>
      <c r="H59" s="45" t="s">
        <v>993</v>
      </c>
      <c r="I59" s="46" t="s">
        <v>1034</v>
      </c>
      <c r="J59" s="45" t="s">
        <v>19</v>
      </c>
    </row>
    <row r="60" spans="1:10">
      <c r="A60" s="45">
        <v>59</v>
      </c>
      <c r="B60" s="46" t="s">
        <v>1042</v>
      </c>
      <c r="C60" s="46" t="s">
        <v>1043</v>
      </c>
      <c r="D60" s="45" t="s">
        <v>1031</v>
      </c>
      <c r="E60" s="46" t="s">
        <v>625</v>
      </c>
      <c r="F60" s="46" t="s">
        <v>33</v>
      </c>
      <c r="G60" s="45" t="s">
        <v>16</v>
      </c>
      <c r="H60" s="45" t="s">
        <v>993</v>
      </c>
      <c r="I60" s="46" t="s">
        <v>33</v>
      </c>
      <c r="J60" s="45" t="s">
        <v>19</v>
      </c>
    </row>
    <row r="61" spans="1:10" ht="42.6">
      <c r="A61" s="45">
        <v>60</v>
      </c>
      <c r="B61" s="46" t="s">
        <v>1044</v>
      </c>
      <c r="C61" s="46" t="s">
        <v>1045</v>
      </c>
      <c r="D61" s="45" t="s">
        <v>886</v>
      </c>
      <c r="E61" s="46" t="s">
        <v>14</v>
      </c>
      <c r="F61" s="46" t="s">
        <v>15</v>
      </c>
      <c r="G61" s="45" t="s">
        <v>16</v>
      </c>
      <c r="H61" s="45" t="s">
        <v>993</v>
      </c>
      <c r="I61" s="46" t="s">
        <v>1046</v>
      </c>
      <c r="J61" s="45" t="s">
        <v>19</v>
      </c>
    </row>
    <row r="62" spans="1:10">
      <c r="C62" s="9"/>
      <c r="E62" s="9"/>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7"/>
  <sheetViews>
    <sheetView workbookViewId="0">
      <selection activeCell="F4" sqref="F4"/>
    </sheetView>
  </sheetViews>
  <sheetFormatPr defaultColWidth="9" defaultRowHeight="14.45"/>
  <cols>
    <col min="2" max="2" width="23.75" customWidth="1"/>
    <col min="3" max="3" width="21.5" customWidth="1"/>
    <col min="4" max="4" width="20.125" customWidth="1"/>
    <col min="5" max="5" width="21.125" customWidth="1"/>
    <col min="6" max="6" width="18.125" customWidth="1"/>
    <col min="7" max="7" width="21.5" customWidth="1"/>
    <col min="8" max="8" width="33.5" customWidth="1"/>
    <col min="9" max="9" width="27.875" customWidth="1"/>
    <col min="10" max="10" width="18.125" customWidth="1"/>
  </cols>
  <sheetData>
    <row r="1" spans="1:10">
      <c r="A1" s="34" t="s">
        <v>0</v>
      </c>
      <c r="B1" s="34" t="s">
        <v>1</v>
      </c>
      <c r="C1" s="34" t="s">
        <v>2</v>
      </c>
      <c r="D1" s="35" t="s">
        <v>3</v>
      </c>
      <c r="E1" s="34" t="s">
        <v>4</v>
      </c>
      <c r="F1" s="36" t="s">
        <v>5</v>
      </c>
      <c r="G1" s="34" t="s">
        <v>6</v>
      </c>
      <c r="H1" s="9" t="s">
        <v>7</v>
      </c>
      <c r="I1" t="s">
        <v>8</v>
      </c>
      <c r="J1" t="s">
        <v>9</v>
      </c>
    </row>
    <row r="2" spans="1:10" ht="43.5">
      <c r="A2">
        <v>1</v>
      </c>
      <c r="B2" s="9" t="s">
        <v>406</v>
      </c>
      <c r="C2" s="9" t="s">
        <v>1047</v>
      </c>
      <c r="D2" s="9" t="s">
        <v>1048</v>
      </c>
      <c r="E2" s="9" t="s">
        <v>1049</v>
      </c>
      <c r="F2" s="9" t="s">
        <v>33</v>
      </c>
      <c r="G2" s="9" t="s">
        <v>16</v>
      </c>
      <c r="H2" s="39" t="s">
        <v>18</v>
      </c>
      <c r="I2" s="39" t="s">
        <v>18</v>
      </c>
      <c r="J2" t="s">
        <v>1050</v>
      </c>
    </row>
    <row r="3" spans="1:10" ht="57.95">
      <c r="A3">
        <v>2</v>
      </c>
      <c r="B3" s="9" t="s">
        <v>1051</v>
      </c>
      <c r="C3" s="9"/>
      <c r="D3" s="9" t="s">
        <v>1048</v>
      </c>
      <c r="E3" s="9" t="s">
        <v>14</v>
      </c>
      <c r="F3" s="9" t="s">
        <v>15</v>
      </c>
      <c r="G3" s="9" t="s">
        <v>16</v>
      </c>
      <c r="H3" s="39" t="s">
        <v>18</v>
      </c>
      <c r="I3" s="9" t="s">
        <v>1052</v>
      </c>
      <c r="J3" t="s">
        <v>1050</v>
      </c>
    </row>
    <row r="4" spans="1:10" ht="87">
      <c r="A4">
        <v>3</v>
      </c>
      <c r="B4" s="9" t="s">
        <v>260</v>
      </c>
      <c r="C4" s="9" t="s">
        <v>1053</v>
      </c>
      <c r="D4" s="9" t="s">
        <v>1048</v>
      </c>
      <c r="E4" s="9" t="s">
        <v>1054</v>
      </c>
      <c r="F4" s="9" t="s">
        <v>15</v>
      </c>
      <c r="G4" s="9" t="s">
        <v>16</v>
      </c>
      <c r="H4" s="9"/>
      <c r="J4" s="9" t="s">
        <v>1055</v>
      </c>
    </row>
    <row r="5" spans="1:10" ht="57.95">
      <c r="A5">
        <v>4</v>
      </c>
      <c r="B5" s="9" t="s">
        <v>280</v>
      </c>
      <c r="C5" s="9" t="s">
        <v>1056</v>
      </c>
      <c r="D5" s="9" t="s">
        <v>1048</v>
      </c>
      <c r="E5" s="9" t="s">
        <v>1054</v>
      </c>
      <c r="F5" s="9" t="s">
        <v>15</v>
      </c>
      <c r="G5" s="9" t="s">
        <v>16</v>
      </c>
      <c r="H5" s="9"/>
      <c r="J5" s="9" t="s">
        <v>1057</v>
      </c>
    </row>
    <row r="6" spans="1:10" ht="57.95">
      <c r="A6">
        <v>5</v>
      </c>
      <c r="B6" s="9" t="s">
        <v>1058</v>
      </c>
      <c r="C6" s="9" t="s">
        <v>1056</v>
      </c>
      <c r="D6" s="9" t="s">
        <v>1048</v>
      </c>
      <c r="E6" s="9" t="s">
        <v>1054</v>
      </c>
      <c r="F6" s="9" t="s">
        <v>15</v>
      </c>
      <c r="G6" s="9" t="s">
        <v>16</v>
      </c>
      <c r="H6" s="39" t="s">
        <v>18</v>
      </c>
      <c r="I6" s="9" t="s">
        <v>1059</v>
      </c>
      <c r="J6" t="s">
        <v>1050</v>
      </c>
    </row>
    <row r="7" spans="1:10" ht="57.95">
      <c r="A7">
        <v>6</v>
      </c>
      <c r="B7" s="9" t="s">
        <v>1060</v>
      </c>
      <c r="C7" s="9" t="s">
        <v>1061</v>
      </c>
      <c r="D7" s="9" t="s">
        <v>1048</v>
      </c>
      <c r="E7" s="9" t="s">
        <v>14</v>
      </c>
      <c r="F7" s="9" t="s">
        <v>15</v>
      </c>
      <c r="G7" s="9" t="s">
        <v>16</v>
      </c>
      <c r="H7" s="9"/>
    </row>
    <row r="8" spans="1:10" ht="57.95">
      <c r="A8">
        <v>7</v>
      </c>
      <c r="B8" s="9" t="s">
        <v>1062</v>
      </c>
      <c r="C8" s="9" t="s">
        <v>1063</v>
      </c>
      <c r="D8" s="9" t="s">
        <v>1048</v>
      </c>
      <c r="E8" s="9" t="s">
        <v>14</v>
      </c>
      <c r="F8" s="9" t="s">
        <v>15</v>
      </c>
      <c r="G8" s="9" t="s">
        <v>16</v>
      </c>
      <c r="H8" s="9"/>
    </row>
    <row r="9" spans="1:10" ht="57.95">
      <c r="A9">
        <v>8</v>
      </c>
      <c r="B9" s="9" t="s">
        <v>406</v>
      </c>
      <c r="C9" s="9" t="s">
        <v>1064</v>
      </c>
      <c r="D9" s="9" t="s">
        <v>1048</v>
      </c>
      <c r="E9" s="9" t="s">
        <v>14</v>
      </c>
      <c r="F9" s="9" t="s">
        <v>15</v>
      </c>
      <c r="G9" s="9" t="s">
        <v>16</v>
      </c>
      <c r="H9" s="9"/>
    </row>
    <row r="10" spans="1:10" ht="57.95">
      <c r="A10">
        <v>9</v>
      </c>
      <c r="B10" s="9" t="s">
        <v>260</v>
      </c>
      <c r="C10" s="9" t="s">
        <v>1064</v>
      </c>
      <c r="D10" s="9" t="s">
        <v>1048</v>
      </c>
      <c r="E10" s="9" t="s">
        <v>1054</v>
      </c>
      <c r="F10" s="9" t="s">
        <v>15</v>
      </c>
      <c r="G10" s="9" t="s">
        <v>16</v>
      </c>
      <c r="H10" s="9"/>
    </row>
    <row r="11" spans="1:10" ht="57.95">
      <c r="A11">
        <v>10</v>
      </c>
      <c r="B11" s="9" t="s">
        <v>1065</v>
      </c>
      <c r="C11" s="9"/>
      <c r="D11" s="9" t="s">
        <v>1066</v>
      </c>
      <c r="E11" s="9" t="s">
        <v>14</v>
      </c>
      <c r="F11" s="9" t="s">
        <v>15</v>
      </c>
      <c r="G11" s="9" t="s">
        <v>16</v>
      </c>
      <c r="H11" s="9"/>
    </row>
    <row r="12" spans="1:10" ht="57.95">
      <c r="A12">
        <v>11</v>
      </c>
      <c r="B12" s="9" t="s">
        <v>1067</v>
      </c>
      <c r="C12" s="9"/>
      <c r="D12" s="9" t="s">
        <v>1066</v>
      </c>
      <c r="E12" s="9" t="s">
        <v>14</v>
      </c>
      <c r="F12" s="9" t="s">
        <v>15</v>
      </c>
      <c r="G12" s="9" t="s">
        <v>16</v>
      </c>
      <c r="H12" s="9"/>
    </row>
    <row r="13" spans="1:10" ht="57.95">
      <c r="A13">
        <v>12</v>
      </c>
      <c r="B13" s="9" t="s">
        <v>1068</v>
      </c>
      <c r="C13" s="9"/>
      <c r="D13" s="9" t="s">
        <v>1066</v>
      </c>
      <c r="E13" s="9" t="s">
        <v>14</v>
      </c>
      <c r="F13" s="9" t="s">
        <v>15</v>
      </c>
      <c r="G13" s="9" t="s">
        <v>16</v>
      </c>
      <c r="H13" s="9"/>
    </row>
    <row r="14" spans="1:10" ht="57.95">
      <c r="A14">
        <v>13</v>
      </c>
      <c r="B14" s="9" t="s">
        <v>1069</v>
      </c>
      <c r="C14" s="9" t="s">
        <v>1070</v>
      </c>
      <c r="D14" s="9" t="s">
        <v>1071</v>
      </c>
      <c r="E14" s="9" t="s">
        <v>14</v>
      </c>
      <c r="F14" s="9" t="s">
        <v>15</v>
      </c>
      <c r="G14" s="9" t="s">
        <v>16</v>
      </c>
      <c r="H14" s="9"/>
    </row>
    <row r="15" spans="1:10" ht="87">
      <c r="A15">
        <v>14</v>
      </c>
      <c r="B15" s="9" t="s">
        <v>1072</v>
      </c>
      <c r="C15" s="9" t="s">
        <v>1073</v>
      </c>
      <c r="D15" s="9" t="s">
        <v>1074</v>
      </c>
      <c r="E15" s="9" t="s">
        <v>1075</v>
      </c>
      <c r="F15" s="9" t="s">
        <v>33</v>
      </c>
      <c r="G15" s="9" t="s">
        <v>33</v>
      </c>
      <c r="H15" s="9"/>
    </row>
    <row r="16" spans="1:10" ht="43.5">
      <c r="A16">
        <v>15</v>
      </c>
      <c r="B16" s="9" t="s">
        <v>1076</v>
      </c>
      <c r="C16" s="9" t="s">
        <v>1077</v>
      </c>
      <c r="D16" s="40" t="s">
        <v>1078</v>
      </c>
      <c r="E16" s="9" t="s">
        <v>1079</v>
      </c>
      <c r="F16" s="9" t="s">
        <v>33</v>
      </c>
      <c r="G16" s="9" t="s">
        <v>33</v>
      </c>
      <c r="H16" s="9"/>
    </row>
    <row r="17" spans="1:10" ht="57.95">
      <c r="A17">
        <v>16</v>
      </c>
      <c r="B17" s="9" t="s">
        <v>1080</v>
      </c>
      <c r="C17" s="9" t="s">
        <v>1081</v>
      </c>
      <c r="D17" s="9" t="s">
        <v>1078</v>
      </c>
      <c r="E17" s="9" t="s">
        <v>14</v>
      </c>
      <c r="F17" s="9" t="s">
        <v>15</v>
      </c>
      <c r="G17" s="9" t="s">
        <v>16</v>
      </c>
      <c r="H17" s="39" t="s">
        <v>18</v>
      </c>
      <c r="I17" s="9" t="s">
        <v>1082</v>
      </c>
      <c r="J17" t="s">
        <v>1050</v>
      </c>
    </row>
    <row r="18" spans="1:10" ht="57.95">
      <c r="A18">
        <v>17</v>
      </c>
      <c r="B18" s="9" t="s">
        <v>1083</v>
      </c>
      <c r="C18" s="9" t="s">
        <v>1084</v>
      </c>
      <c r="D18" s="9" t="s">
        <v>1085</v>
      </c>
      <c r="E18" s="9" t="s">
        <v>14</v>
      </c>
      <c r="F18" s="9" t="s">
        <v>15</v>
      </c>
      <c r="G18" s="9" t="s">
        <v>16</v>
      </c>
      <c r="H18" s="39" t="s">
        <v>18</v>
      </c>
      <c r="I18" s="9" t="s">
        <v>1086</v>
      </c>
      <c r="J18" t="s">
        <v>1050</v>
      </c>
    </row>
    <row r="19" spans="1:10" ht="57.95">
      <c r="A19">
        <v>18</v>
      </c>
      <c r="B19" s="9" t="s">
        <v>1087</v>
      </c>
      <c r="C19" s="9" t="s">
        <v>1088</v>
      </c>
      <c r="D19" s="9" t="s">
        <v>1089</v>
      </c>
      <c r="E19" s="9" t="s">
        <v>14</v>
      </c>
      <c r="F19" s="9" t="s">
        <v>15</v>
      </c>
      <c r="G19" s="9" t="s">
        <v>16</v>
      </c>
      <c r="H19" s="39" t="s">
        <v>18</v>
      </c>
      <c r="I19" s="9" t="s">
        <v>1090</v>
      </c>
      <c r="J19" t="s">
        <v>1050</v>
      </c>
    </row>
    <row r="20" spans="1:10" ht="43.5">
      <c r="A20">
        <v>19</v>
      </c>
      <c r="B20" s="9" t="s">
        <v>1091</v>
      </c>
      <c r="C20" s="9" t="s">
        <v>1092</v>
      </c>
      <c r="D20" s="9" t="s">
        <v>1089</v>
      </c>
      <c r="E20" s="9" t="s">
        <v>1079</v>
      </c>
      <c r="F20" s="9" t="s">
        <v>33</v>
      </c>
      <c r="G20" s="9" t="s">
        <v>33</v>
      </c>
      <c r="H20" s="9"/>
    </row>
    <row r="21" spans="1:10" ht="57.95">
      <c r="A21">
        <v>20</v>
      </c>
      <c r="B21" s="9" t="s">
        <v>1093</v>
      </c>
      <c r="C21" s="9" t="s">
        <v>1094</v>
      </c>
      <c r="D21" s="9" t="s">
        <v>1089</v>
      </c>
      <c r="E21" s="9" t="s">
        <v>1079</v>
      </c>
      <c r="F21" s="9" t="s">
        <v>33</v>
      </c>
      <c r="G21" s="9" t="s">
        <v>33</v>
      </c>
      <c r="H21" s="39" t="s">
        <v>18</v>
      </c>
      <c r="I21" s="9" t="s">
        <v>1086</v>
      </c>
      <c r="J21" t="s">
        <v>1050</v>
      </c>
    </row>
    <row r="22" spans="1:10" ht="43.5">
      <c r="A22">
        <v>17</v>
      </c>
      <c r="B22" s="9" t="s">
        <v>1095</v>
      </c>
      <c r="C22" s="9" t="s">
        <v>1096</v>
      </c>
      <c r="D22" s="9" t="s">
        <v>1097</v>
      </c>
      <c r="E22" s="9" t="s">
        <v>1079</v>
      </c>
      <c r="F22" s="9" t="s">
        <v>33</v>
      </c>
      <c r="G22" s="9" t="s">
        <v>33</v>
      </c>
      <c r="H22" s="9"/>
    </row>
    <row r="23" spans="1:10" ht="57.95">
      <c r="A23">
        <v>18</v>
      </c>
      <c r="B23" s="9" t="s">
        <v>1098</v>
      </c>
      <c r="C23" s="9" t="s">
        <v>1099</v>
      </c>
      <c r="D23" s="9" t="s">
        <v>1097</v>
      </c>
      <c r="E23" s="9" t="s">
        <v>14</v>
      </c>
      <c r="F23" s="9" t="s">
        <v>15</v>
      </c>
      <c r="G23" s="9" t="s">
        <v>16</v>
      </c>
      <c r="H23" s="39" t="s">
        <v>18</v>
      </c>
      <c r="I23" s="9" t="s">
        <v>1100</v>
      </c>
      <c r="J23" t="s">
        <v>1050</v>
      </c>
    </row>
    <row r="24" spans="1:10" ht="57.95">
      <c r="A24">
        <v>19</v>
      </c>
      <c r="B24" s="9" t="s">
        <v>1101</v>
      </c>
      <c r="C24" s="9" t="s">
        <v>1102</v>
      </c>
      <c r="D24" s="9" t="s">
        <v>1097</v>
      </c>
      <c r="E24" s="9" t="s">
        <v>14</v>
      </c>
      <c r="F24" s="9" t="s">
        <v>15</v>
      </c>
      <c r="G24" s="9" t="s">
        <v>16</v>
      </c>
      <c r="H24" s="39" t="s">
        <v>18</v>
      </c>
      <c r="I24" s="9" t="s">
        <v>1100</v>
      </c>
      <c r="J24" t="s">
        <v>1050</v>
      </c>
    </row>
    <row r="25" spans="1:10" ht="57.95">
      <c r="A25">
        <v>21</v>
      </c>
      <c r="B25" s="9" t="s">
        <v>1103</v>
      </c>
      <c r="C25" s="9" t="s">
        <v>1104</v>
      </c>
      <c r="D25" s="9" t="s">
        <v>1105</v>
      </c>
      <c r="E25" s="9" t="s">
        <v>14</v>
      </c>
      <c r="F25" s="9" t="s">
        <v>15</v>
      </c>
      <c r="G25" s="9" t="s">
        <v>16</v>
      </c>
      <c r="H25" s="38" t="s">
        <v>18</v>
      </c>
      <c r="I25" s="9" t="s">
        <v>1106</v>
      </c>
      <c r="J25" t="s">
        <v>1050</v>
      </c>
    </row>
    <row r="26" spans="1:10" ht="57.95">
      <c r="A26">
        <v>22</v>
      </c>
      <c r="B26" s="9" t="s">
        <v>1103</v>
      </c>
      <c r="C26" s="9" t="s">
        <v>1107</v>
      </c>
      <c r="D26" s="9" t="s">
        <v>1105</v>
      </c>
      <c r="E26" s="9" t="s">
        <v>14</v>
      </c>
      <c r="F26" s="9" t="s">
        <v>15</v>
      </c>
      <c r="G26" s="9" t="s">
        <v>16</v>
      </c>
    </row>
    <row r="27" spans="1:10" ht="57.95">
      <c r="A27">
        <v>23</v>
      </c>
      <c r="B27" s="9" t="s">
        <v>1108</v>
      </c>
      <c r="C27" s="9" t="s">
        <v>1109</v>
      </c>
      <c r="D27" s="9" t="s">
        <v>1105</v>
      </c>
      <c r="E27" s="9" t="s">
        <v>14</v>
      </c>
      <c r="F27" s="9" t="s">
        <v>15</v>
      </c>
      <c r="G27" s="9" t="s">
        <v>16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1"/>
  <sheetViews>
    <sheetView topLeftCell="A9" zoomScale="55" workbookViewId="0">
      <selection activeCell="B13" sqref="B13"/>
    </sheetView>
  </sheetViews>
  <sheetFormatPr defaultColWidth="9" defaultRowHeight="14.45"/>
  <cols>
    <col min="2" max="2" width="36.75" customWidth="1"/>
    <col min="3" max="3" width="64.875" customWidth="1"/>
    <col min="4" max="4" width="19.125" customWidth="1"/>
    <col min="5" max="5" width="37.25" customWidth="1"/>
    <col min="6" max="6" width="37.375" customWidth="1"/>
    <col min="7" max="7" width="26" customWidth="1"/>
    <col min="8" max="8" width="27.5" bestFit="1" customWidth="1"/>
    <col min="9" max="9" width="24.75" customWidth="1"/>
    <col min="10" max="10" width="12.5" bestFit="1" customWidth="1"/>
  </cols>
  <sheetData>
    <row r="1" spans="1:10">
      <c r="A1" s="34" t="s">
        <v>0</v>
      </c>
      <c r="B1" s="34" t="s">
        <v>1</v>
      </c>
      <c r="C1" s="34" t="s">
        <v>2</v>
      </c>
      <c r="D1" s="35" t="s">
        <v>3</v>
      </c>
      <c r="E1" s="34" t="s">
        <v>4</v>
      </c>
      <c r="F1" s="36" t="s">
        <v>5</v>
      </c>
      <c r="G1" s="34" t="s">
        <v>6</v>
      </c>
      <c r="H1" s="80" t="s">
        <v>7</v>
      </c>
      <c r="I1" s="85" t="s">
        <v>8</v>
      </c>
      <c r="J1" s="85" t="s">
        <v>9</v>
      </c>
    </row>
    <row r="2" spans="1:10" ht="91.5" customHeight="1">
      <c r="A2" s="20">
        <f>ROW() - ROW(Table6[[#Headers],[S/N]])</f>
        <v>1</v>
      </c>
      <c r="B2" s="20" t="s">
        <v>1110</v>
      </c>
      <c r="C2" s="17" t="s">
        <v>1111</v>
      </c>
      <c r="D2" s="20" t="s">
        <v>1112</v>
      </c>
      <c r="E2" s="25" t="s">
        <v>1113</v>
      </c>
      <c r="F2" s="17" t="s">
        <v>1114</v>
      </c>
      <c r="G2" s="75" t="s">
        <v>1115</v>
      </c>
      <c r="H2" s="20"/>
      <c r="I2" s="77" t="s">
        <v>1116</v>
      </c>
      <c r="J2" s="20"/>
    </row>
    <row r="3" spans="1:10" ht="63" customHeight="1">
      <c r="A3" s="20">
        <f>ROW() - ROW(Table6[[#Headers],[S/N]])</f>
        <v>2</v>
      </c>
      <c r="B3" s="20" t="s">
        <v>1117</v>
      </c>
      <c r="C3" s="20" t="s">
        <v>1118</v>
      </c>
      <c r="D3" s="20" t="s">
        <v>1119</v>
      </c>
      <c r="E3" s="25" t="s">
        <v>1120</v>
      </c>
      <c r="F3" s="87" t="s">
        <v>1114</v>
      </c>
      <c r="G3" s="75" t="s">
        <v>1115</v>
      </c>
      <c r="H3" s="20"/>
      <c r="I3" s="77" t="s">
        <v>1121</v>
      </c>
      <c r="J3" s="20"/>
    </row>
    <row r="4" spans="1:10" ht="60" customHeight="1">
      <c r="A4" s="20">
        <f>ROW() - ROW(Table6[[#Headers],[S/N]])</f>
        <v>3</v>
      </c>
      <c r="B4" s="20" t="s">
        <v>1122</v>
      </c>
      <c r="C4" s="20" t="s">
        <v>1123</v>
      </c>
      <c r="D4" s="20" t="s">
        <v>1119</v>
      </c>
      <c r="E4" s="25" t="s">
        <v>1124</v>
      </c>
      <c r="F4" s="77" t="s">
        <v>1125</v>
      </c>
      <c r="G4" s="75" t="s">
        <v>1115</v>
      </c>
      <c r="H4" s="20"/>
      <c r="I4" s="77" t="s">
        <v>1126</v>
      </c>
      <c r="J4" s="20"/>
    </row>
    <row r="5" spans="1:10" ht="72.599999999999994">
      <c r="A5" s="20">
        <f>ROW() - ROW(Table6[[#Headers],[S/N]])</f>
        <v>4</v>
      </c>
      <c r="B5" s="75" t="s">
        <v>1127</v>
      </c>
      <c r="C5" s="75" t="s">
        <v>1128</v>
      </c>
      <c r="D5" s="75" t="s">
        <v>1119</v>
      </c>
      <c r="E5" s="78" t="s">
        <v>1129</v>
      </c>
      <c r="F5" s="77" t="s">
        <v>1130</v>
      </c>
      <c r="G5" s="75" t="s">
        <v>1115</v>
      </c>
      <c r="H5" s="20"/>
      <c r="I5" s="77" t="s">
        <v>1131</v>
      </c>
      <c r="J5" s="20"/>
    </row>
    <row r="6" spans="1:10" ht="72.599999999999994">
      <c r="A6" s="20">
        <f>ROW() - ROW(Table6[[#Headers],[S/N]])</f>
        <v>5</v>
      </c>
      <c r="B6" s="75" t="s">
        <v>1132</v>
      </c>
      <c r="C6" s="75" t="s">
        <v>1133</v>
      </c>
      <c r="D6" s="75" t="s">
        <v>1119</v>
      </c>
      <c r="E6" s="79" t="s">
        <v>1134</v>
      </c>
      <c r="F6" s="77" t="s">
        <v>1135</v>
      </c>
      <c r="G6" s="75" t="s">
        <v>1115</v>
      </c>
      <c r="H6" s="20"/>
      <c r="I6" s="77" t="s">
        <v>1136</v>
      </c>
      <c r="J6" s="20"/>
    </row>
    <row r="7" spans="1:10" ht="130.5">
      <c r="A7" s="20">
        <f>ROW() - ROW(Table6[[#Headers],[S/N]])</f>
        <v>6</v>
      </c>
      <c r="B7" s="75" t="s">
        <v>1137</v>
      </c>
      <c r="C7" s="76" t="s">
        <v>1138</v>
      </c>
      <c r="D7" s="75" t="s">
        <v>1139</v>
      </c>
      <c r="E7" s="78" t="s">
        <v>1140</v>
      </c>
      <c r="F7" s="77" t="s">
        <v>1141</v>
      </c>
      <c r="G7" s="75" t="s">
        <v>1115</v>
      </c>
      <c r="H7" s="20"/>
      <c r="I7" s="77" t="s">
        <v>1142</v>
      </c>
      <c r="J7" s="20"/>
    </row>
    <row r="8" spans="1:10" ht="57.95">
      <c r="A8" s="20">
        <f>ROW() - ROW(Table6[[#Headers],[S/N]])</f>
        <v>7</v>
      </c>
      <c r="B8" s="75" t="s">
        <v>1143</v>
      </c>
      <c r="C8" s="20" t="s">
        <v>1144</v>
      </c>
      <c r="D8" s="20" t="s">
        <v>1119</v>
      </c>
      <c r="E8" s="25" t="s">
        <v>1145</v>
      </c>
      <c r="F8" s="77" t="s">
        <v>1146</v>
      </c>
      <c r="G8" s="75" t="s">
        <v>1115</v>
      </c>
      <c r="H8" s="20" t="s">
        <v>33</v>
      </c>
      <c r="I8" s="77" t="s">
        <v>1147</v>
      </c>
      <c r="J8" s="20" t="s">
        <v>19</v>
      </c>
    </row>
    <row r="9" spans="1:10" ht="57.95">
      <c r="A9" s="20">
        <f>ROW() - ROW(Table6[[#Headers],[S/N]])</f>
        <v>8</v>
      </c>
      <c r="B9" s="20" t="s">
        <v>967</v>
      </c>
      <c r="C9" s="20" t="s">
        <v>1148</v>
      </c>
      <c r="D9" s="20" t="s">
        <v>1119</v>
      </c>
      <c r="E9" s="25" t="s">
        <v>1145</v>
      </c>
      <c r="F9" s="77" t="s">
        <v>1146</v>
      </c>
      <c r="G9" s="75" t="s">
        <v>1115</v>
      </c>
      <c r="H9" s="20" t="s">
        <v>33</v>
      </c>
      <c r="I9" s="77" t="s">
        <v>1149</v>
      </c>
      <c r="J9" s="20" t="s">
        <v>19</v>
      </c>
    </row>
    <row r="10" spans="1:10">
      <c r="A10" s="20">
        <f>ROW() - ROW(Table6[[#Headers],[S/N]])</f>
        <v>9</v>
      </c>
      <c r="B10" s="20" t="s">
        <v>1150</v>
      </c>
      <c r="C10" s="20" t="s">
        <v>1151</v>
      </c>
      <c r="D10" s="20"/>
      <c r="E10" s="25"/>
      <c r="F10" s="20"/>
      <c r="G10" s="75" t="s">
        <v>1115</v>
      </c>
      <c r="H10" s="20"/>
      <c r="I10" s="20"/>
      <c r="J10" s="20"/>
    </row>
    <row r="11" spans="1:10" ht="57.95">
      <c r="A11" s="20">
        <f>ROW() - ROW(Table6[[#Headers],[S/N]])</f>
        <v>10</v>
      </c>
      <c r="B11" s="20" t="s">
        <v>1152</v>
      </c>
      <c r="C11" s="20" t="s">
        <v>1153</v>
      </c>
      <c r="D11" s="20" t="s">
        <v>1139</v>
      </c>
      <c r="E11" s="25" t="s">
        <v>1154</v>
      </c>
      <c r="F11" s="17" t="s">
        <v>1155</v>
      </c>
      <c r="G11" s="75" t="s">
        <v>1115</v>
      </c>
      <c r="H11" s="20"/>
      <c r="I11" s="81" t="s">
        <v>1147</v>
      </c>
      <c r="J11" s="20" t="s">
        <v>19</v>
      </c>
    </row>
    <row r="12" spans="1:10" ht="87">
      <c r="A12" s="20">
        <v>11</v>
      </c>
      <c r="B12" s="20" t="s">
        <v>1156</v>
      </c>
      <c r="C12" s="20"/>
      <c r="D12" s="20" t="s">
        <v>1157</v>
      </c>
      <c r="E12" s="25" t="s">
        <v>1158</v>
      </c>
      <c r="F12" s="17" t="s">
        <v>1159</v>
      </c>
      <c r="G12" s="75" t="s">
        <v>1115</v>
      </c>
      <c r="H12" s="81" t="s">
        <v>1160</v>
      </c>
      <c r="I12" s="20" t="s">
        <v>33</v>
      </c>
      <c r="J12" s="20" t="s">
        <v>19</v>
      </c>
    </row>
    <row r="13" spans="1:10" ht="29.1">
      <c r="A13" s="20">
        <f>ROW() - ROW(Table6[[#Headers],[S/N]])</f>
        <v>12</v>
      </c>
      <c r="B13" s="20" t="s">
        <v>1161</v>
      </c>
      <c r="C13" s="20" t="s">
        <v>1162</v>
      </c>
      <c r="D13" s="20" t="s">
        <v>1157</v>
      </c>
      <c r="E13" s="25" t="s">
        <v>1163</v>
      </c>
      <c r="F13" s="17" t="s">
        <v>1159</v>
      </c>
      <c r="G13" s="75" t="s">
        <v>1115</v>
      </c>
      <c r="H13" s="20"/>
      <c r="I13" s="20"/>
      <c r="J13" s="20"/>
    </row>
    <row r="14" spans="1:10" ht="29.1">
      <c r="A14" s="20">
        <f>ROW() - ROW(Table6[[#Headers],[S/N]])</f>
        <v>13</v>
      </c>
      <c r="B14" s="20" t="s">
        <v>1164</v>
      </c>
      <c r="C14" s="20"/>
      <c r="D14" s="20" t="s">
        <v>1165</v>
      </c>
      <c r="E14" s="25" t="s">
        <v>1166</v>
      </c>
      <c r="F14" s="17" t="s">
        <v>1159</v>
      </c>
      <c r="G14" s="75" t="s">
        <v>1115</v>
      </c>
      <c r="H14" s="20"/>
      <c r="I14" s="20"/>
      <c r="J14" s="20"/>
    </row>
    <row r="15" spans="1:10" ht="87">
      <c r="A15" s="20">
        <f>ROW() - ROW(Table6[[#Headers],[S/N]])</f>
        <v>14</v>
      </c>
      <c r="B15" s="20" t="s">
        <v>1167</v>
      </c>
      <c r="C15" s="20" t="s">
        <v>1168</v>
      </c>
      <c r="D15" s="20" t="s">
        <v>1165</v>
      </c>
      <c r="E15" s="25" t="s">
        <v>1169</v>
      </c>
      <c r="F15" s="17" t="s">
        <v>1159</v>
      </c>
      <c r="G15" s="75" t="s">
        <v>1115</v>
      </c>
      <c r="H15" s="81" t="s">
        <v>1160</v>
      </c>
      <c r="I15" s="20" t="s">
        <v>33</v>
      </c>
      <c r="J15" s="20"/>
    </row>
    <row r="16" spans="1:10" ht="87">
      <c r="A16" s="20">
        <f>ROW() - ROW(Table6[[#Headers],[S/N]])</f>
        <v>15</v>
      </c>
      <c r="B16" s="20" t="s">
        <v>1170</v>
      </c>
      <c r="C16" s="20" t="s">
        <v>1171</v>
      </c>
      <c r="D16" s="20" t="s">
        <v>1165</v>
      </c>
      <c r="E16" s="25" t="s">
        <v>1172</v>
      </c>
      <c r="F16" s="17" t="s">
        <v>1159</v>
      </c>
      <c r="G16" s="75" t="s">
        <v>1115</v>
      </c>
      <c r="H16" s="17" t="s">
        <v>1160</v>
      </c>
      <c r="I16" s="20" t="s">
        <v>33</v>
      </c>
      <c r="J16" s="20" t="s">
        <v>19</v>
      </c>
    </row>
    <row r="17" spans="1:10" ht="87">
      <c r="A17" s="20">
        <f>ROW() - ROW(Table6[[#Headers],[S/N]])</f>
        <v>16</v>
      </c>
      <c r="B17" s="20" t="s">
        <v>1173</v>
      </c>
      <c r="C17" s="82" t="s">
        <v>1174</v>
      </c>
      <c r="D17" s="20" t="s">
        <v>1165</v>
      </c>
      <c r="E17" s="25" t="s">
        <v>1175</v>
      </c>
      <c r="F17" s="17" t="s">
        <v>1159</v>
      </c>
      <c r="G17" s="75" t="s">
        <v>1115</v>
      </c>
      <c r="H17" s="17" t="s">
        <v>1160</v>
      </c>
      <c r="I17" s="20" t="s">
        <v>33</v>
      </c>
      <c r="J17" s="20" t="s">
        <v>19</v>
      </c>
    </row>
    <row r="18" spans="1:10" ht="87">
      <c r="A18" s="20">
        <f>ROW() - ROW(Table6[[#Headers],[S/N]])</f>
        <v>17</v>
      </c>
      <c r="B18" s="20" t="s">
        <v>1176</v>
      </c>
      <c r="C18" s="20"/>
      <c r="D18" s="20" t="s">
        <v>1165</v>
      </c>
      <c r="E18" s="25" t="s">
        <v>1177</v>
      </c>
      <c r="F18" s="17" t="s">
        <v>1159</v>
      </c>
      <c r="G18" s="75" t="s">
        <v>1115</v>
      </c>
      <c r="H18" s="17" t="s">
        <v>1178</v>
      </c>
      <c r="I18" s="20" t="s">
        <v>33</v>
      </c>
      <c r="J18" s="20" t="s">
        <v>19</v>
      </c>
    </row>
    <row r="19" spans="1:10" ht="72.599999999999994">
      <c r="A19" s="20">
        <f>ROW() - ROW(Table6[[#Headers],[S/N]])</f>
        <v>18</v>
      </c>
      <c r="B19" s="20" t="s">
        <v>1179</v>
      </c>
      <c r="C19" s="17" t="s">
        <v>1180</v>
      </c>
      <c r="D19" s="20" t="s">
        <v>1165</v>
      </c>
      <c r="E19" s="25" t="s">
        <v>1181</v>
      </c>
      <c r="F19" s="17" t="s">
        <v>1159</v>
      </c>
      <c r="G19" s="75" t="s">
        <v>1115</v>
      </c>
      <c r="H19" s="17" t="s">
        <v>33</v>
      </c>
      <c r="I19" s="81" t="s">
        <v>1182</v>
      </c>
      <c r="J19" s="20" t="s">
        <v>19</v>
      </c>
    </row>
    <row r="20" spans="1:10" ht="87">
      <c r="A20" s="20">
        <f>ROW() - ROW(Table6[[#Headers],[S/N]])</f>
        <v>19</v>
      </c>
      <c r="B20" s="20" t="s">
        <v>1183</v>
      </c>
      <c r="C20" s="20" t="s">
        <v>1184</v>
      </c>
      <c r="D20" s="20" t="s">
        <v>1165</v>
      </c>
      <c r="E20" s="25" t="s">
        <v>1185</v>
      </c>
      <c r="F20" s="17" t="s">
        <v>1159</v>
      </c>
      <c r="G20" s="75" t="s">
        <v>1115</v>
      </c>
      <c r="H20" s="17" t="s">
        <v>1160</v>
      </c>
      <c r="I20" s="20" t="s">
        <v>33</v>
      </c>
      <c r="J20" s="20" t="s">
        <v>19</v>
      </c>
    </row>
    <row r="21" spans="1:10" ht="87">
      <c r="A21" s="20">
        <f>ROW() - ROW(Table6[[#Headers],[S/N]])</f>
        <v>20</v>
      </c>
      <c r="B21" s="20" t="s">
        <v>1186</v>
      </c>
      <c r="C21" s="20" t="s">
        <v>1187</v>
      </c>
      <c r="D21" s="20" t="s">
        <v>1165</v>
      </c>
      <c r="E21" s="25" t="s">
        <v>1188</v>
      </c>
      <c r="F21" s="17" t="s">
        <v>1159</v>
      </c>
      <c r="G21" s="75" t="s">
        <v>1115</v>
      </c>
      <c r="H21" s="81" t="s">
        <v>1189</v>
      </c>
      <c r="I21" s="20" t="s">
        <v>33</v>
      </c>
      <c r="J21" s="20" t="s">
        <v>19</v>
      </c>
    </row>
    <row r="22" spans="1:10" ht="87">
      <c r="A22" s="20">
        <f>ROW() - ROW(Table6[[#Headers],[S/N]])</f>
        <v>21</v>
      </c>
      <c r="B22" s="20" t="s">
        <v>1190</v>
      </c>
      <c r="C22" s="20" t="s">
        <v>1191</v>
      </c>
      <c r="D22" s="20" t="s">
        <v>1165</v>
      </c>
      <c r="E22" s="25" t="s">
        <v>1192</v>
      </c>
      <c r="F22" s="17" t="s">
        <v>1159</v>
      </c>
      <c r="G22" s="75" t="s">
        <v>1115</v>
      </c>
      <c r="H22" s="81" t="s">
        <v>1160</v>
      </c>
      <c r="I22" s="20" t="s">
        <v>33</v>
      </c>
      <c r="J22" s="20" t="s">
        <v>19</v>
      </c>
    </row>
    <row r="23" spans="1:10" ht="87">
      <c r="A23" s="20">
        <f>ROW() - ROW(Table6[[#Headers],[S/N]])</f>
        <v>22</v>
      </c>
      <c r="B23" s="20" t="s">
        <v>1193</v>
      </c>
      <c r="C23" s="20"/>
      <c r="D23" s="20" t="s">
        <v>1165</v>
      </c>
      <c r="E23" s="25" t="s">
        <v>1194</v>
      </c>
      <c r="F23" s="17" t="s">
        <v>1159</v>
      </c>
      <c r="G23" s="75" t="s">
        <v>1115</v>
      </c>
      <c r="H23" s="81" t="s">
        <v>1160</v>
      </c>
      <c r="I23" s="20" t="s">
        <v>33</v>
      </c>
      <c r="J23" s="20" t="s">
        <v>19</v>
      </c>
    </row>
    <row r="24" spans="1:10" ht="87">
      <c r="A24" s="20">
        <f>ROW() - ROW(Table6[[#Headers],[S/N]])</f>
        <v>23</v>
      </c>
      <c r="B24" s="20" t="s">
        <v>1195</v>
      </c>
      <c r="C24" s="20" t="s">
        <v>1196</v>
      </c>
      <c r="D24" s="20" t="s">
        <v>1165</v>
      </c>
      <c r="E24" s="25" t="s">
        <v>1197</v>
      </c>
      <c r="F24" s="17" t="s">
        <v>1159</v>
      </c>
      <c r="G24" s="75" t="s">
        <v>1115</v>
      </c>
      <c r="H24" s="81" t="s">
        <v>1160</v>
      </c>
      <c r="I24" s="20" t="s">
        <v>33</v>
      </c>
      <c r="J24" s="20" t="s">
        <v>19</v>
      </c>
    </row>
    <row r="25" spans="1:10" ht="87">
      <c r="A25" s="20">
        <f>ROW() - ROW(Table6[[#Headers],[S/N]])</f>
        <v>24</v>
      </c>
      <c r="B25" s="20" t="s">
        <v>1198</v>
      </c>
      <c r="C25" s="20" t="s">
        <v>1199</v>
      </c>
      <c r="D25" s="20" t="s">
        <v>1165</v>
      </c>
      <c r="E25" s="25" t="s">
        <v>1200</v>
      </c>
      <c r="F25" s="17" t="s">
        <v>1159</v>
      </c>
      <c r="G25" s="75" t="s">
        <v>1115</v>
      </c>
      <c r="H25" s="81" t="s">
        <v>1160</v>
      </c>
      <c r="I25" s="20" t="s">
        <v>33</v>
      </c>
      <c r="J25" s="20" t="s">
        <v>19</v>
      </c>
    </row>
    <row r="26" spans="1:10" ht="87">
      <c r="A26" s="20">
        <f>ROW() - ROW(Table6[[#Headers],[S/N]])</f>
        <v>25</v>
      </c>
      <c r="B26" s="20" t="s">
        <v>1201</v>
      </c>
      <c r="C26" s="20" t="s">
        <v>1202</v>
      </c>
      <c r="D26" s="20" t="s">
        <v>1165</v>
      </c>
      <c r="E26" s="25" t="s">
        <v>1203</v>
      </c>
      <c r="F26" s="17" t="s">
        <v>1159</v>
      </c>
      <c r="G26" s="75" t="s">
        <v>1115</v>
      </c>
      <c r="H26" s="81" t="s">
        <v>1160</v>
      </c>
      <c r="I26" s="20" t="s">
        <v>33</v>
      </c>
      <c r="J26" s="20" t="s">
        <v>19</v>
      </c>
    </row>
    <row r="27" spans="1:10" ht="87">
      <c r="A27" s="20">
        <f>ROW() - ROW(Table6[[#Headers],[S/N]])</f>
        <v>26</v>
      </c>
      <c r="B27" s="20" t="s">
        <v>1204</v>
      </c>
      <c r="C27" s="20" t="s">
        <v>1205</v>
      </c>
      <c r="D27" s="20" t="s">
        <v>1165</v>
      </c>
      <c r="E27" s="25" t="s">
        <v>1206</v>
      </c>
      <c r="F27" s="17" t="s">
        <v>1159</v>
      </c>
      <c r="G27" s="75" t="s">
        <v>1115</v>
      </c>
      <c r="H27" s="81" t="s">
        <v>1160</v>
      </c>
      <c r="I27" s="20" t="s">
        <v>33</v>
      </c>
      <c r="J27" s="20" t="s">
        <v>19</v>
      </c>
    </row>
    <row r="28" spans="1:10" ht="87">
      <c r="A28" s="20">
        <f>ROW() - ROW(Table6[[#Headers],[S/N]])</f>
        <v>27</v>
      </c>
      <c r="B28" s="20" t="s">
        <v>1207</v>
      </c>
      <c r="C28" s="20"/>
      <c r="D28" s="20" t="s">
        <v>1165</v>
      </c>
      <c r="E28" s="25" t="s">
        <v>1208</v>
      </c>
      <c r="F28" s="17" t="s">
        <v>1159</v>
      </c>
      <c r="G28" s="75" t="s">
        <v>1115</v>
      </c>
      <c r="H28" s="81" t="s">
        <v>1160</v>
      </c>
      <c r="I28" s="20" t="s">
        <v>33</v>
      </c>
      <c r="J28" s="20" t="s">
        <v>19</v>
      </c>
    </row>
    <row r="29" spans="1:10" ht="87">
      <c r="A29" s="20">
        <f>ROW() - ROW(Table6[[#Headers],[S/N]])</f>
        <v>28</v>
      </c>
      <c r="B29" s="20" t="s">
        <v>1209</v>
      </c>
      <c r="C29" s="20"/>
      <c r="D29" s="20" t="s">
        <v>1165</v>
      </c>
      <c r="E29" s="25" t="s">
        <v>1210</v>
      </c>
      <c r="F29" s="17" t="s">
        <v>1159</v>
      </c>
      <c r="G29" s="75" t="s">
        <v>1115</v>
      </c>
      <c r="H29" s="81" t="s">
        <v>1160</v>
      </c>
      <c r="I29" s="20" t="s">
        <v>33</v>
      </c>
      <c r="J29" s="20" t="s">
        <v>19</v>
      </c>
    </row>
    <row r="30" spans="1:10" ht="87">
      <c r="A30" s="20">
        <f>ROW() - ROW(Table6[[#Headers],[S/N]])</f>
        <v>29</v>
      </c>
      <c r="B30" s="20" t="s">
        <v>1211</v>
      </c>
      <c r="C30" s="20" t="s">
        <v>1212</v>
      </c>
      <c r="D30" s="20" t="s">
        <v>1213</v>
      </c>
      <c r="E30" s="25" t="s">
        <v>1214</v>
      </c>
      <c r="F30" s="17" t="s">
        <v>1159</v>
      </c>
      <c r="G30" s="75" t="s">
        <v>1115</v>
      </c>
      <c r="H30" s="81" t="s">
        <v>1160</v>
      </c>
      <c r="I30" s="20" t="s">
        <v>33</v>
      </c>
      <c r="J30" s="20" t="s">
        <v>19</v>
      </c>
    </row>
    <row r="31" spans="1:10" ht="87">
      <c r="A31" s="20">
        <f>ROW() - ROW(Table6[[#Headers],[S/N]])</f>
        <v>30</v>
      </c>
      <c r="B31" s="20" t="s">
        <v>1215</v>
      </c>
      <c r="C31" s="20" t="s">
        <v>1216</v>
      </c>
      <c r="D31" s="20" t="s">
        <v>1213</v>
      </c>
      <c r="E31" s="25" t="s">
        <v>1217</v>
      </c>
      <c r="F31" s="17" t="s">
        <v>1159</v>
      </c>
      <c r="G31" s="75" t="s">
        <v>1115</v>
      </c>
      <c r="H31" s="81" t="s">
        <v>1160</v>
      </c>
      <c r="I31" s="20" t="s">
        <v>33</v>
      </c>
      <c r="J31" s="20" t="s">
        <v>19</v>
      </c>
    </row>
  </sheetData>
  <phoneticPr fontId="21"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
  <sheetViews>
    <sheetView workbookViewId="0">
      <selection activeCell="C3" sqref="C3"/>
    </sheetView>
  </sheetViews>
  <sheetFormatPr defaultColWidth="9" defaultRowHeight="14.45"/>
  <cols>
    <col min="2" max="3" width="20.875" customWidth="1"/>
    <col min="4" max="4" width="19.5" customWidth="1"/>
    <col min="5" max="5" width="17.125" customWidth="1"/>
    <col min="6" max="6" width="17.5" customWidth="1"/>
    <col min="7" max="7" width="25.5" customWidth="1"/>
    <col min="8" max="8" width="30.25" customWidth="1"/>
    <col min="9" max="9" width="21" customWidth="1"/>
    <col min="10" max="10" width="11.75" customWidth="1"/>
  </cols>
  <sheetData>
    <row r="1" spans="1:10">
      <c r="A1" s="34" t="s">
        <v>0</v>
      </c>
      <c r="B1" s="34" t="s">
        <v>1</v>
      </c>
      <c r="C1" s="34" t="s">
        <v>2</v>
      </c>
      <c r="D1" s="35" t="s">
        <v>3</v>
      </c>
      <c r="E1" s="34" t="s">
        <v>4</v>
      </c>
      <c r="F1" s="36" t="s">
        <v>5</v>
      </c>
      <c r="G1" s="34" t="s">
        <v>6</v>
      </c>
      <c r="H1" t="s">
        <v>7</v>
      </c>
      <c r="I1" t="s">
        <v>8</v>
      </c>
      <c r="J1" t="s">
        <v>9</v>
      </c>
    </row>
    <row r="2" spans="1:10" ht="72.599999999999994">
      <c r="A2" s="9">
        <v>1</v>
      </c>
      <c r="B2" s="9" t="s">
        <v>406</v>
      </c>
      <c r="C2" s="9" t="s">
        <v>1218</v>
      </c>
      <c r="D2" s="9" t="s">
        <v>1219</v>
      </c>
      <c r="E2" s="9" t="s">
        <v>1220</v>
      </c>
      <c r="F2" s="9" t="s">
        <v>1221</v>
      </c>
      <c r="G2" s="9" t="s">
        <v>16</v>
      </c>
    </row>
    <row r="3" spans="1:10" ht="72.599999999999994">
      <c r="A3" s="9">
        <v>2</v>
      </c>
      <c r="B3" s="9" t="s">
        <v>1222</v>
      </c>
      <c r="C3" s="9" t="s">
        <v>1218</v>
      </c>
      <c r="D3" s="9" t="s">
        <v>1219</v>
      </c>
      <c r="E3" s="9" t="s">
        <v>1223</v>
      </c>
      <c r="F3" s="9" t="s">
        <v>33</v>
      </c>
      <c r="G3" s="9" t="s">
        <v>16</v>
      </c>
      <c r="H3" s="38" t="s">
        <v>18</v>
      </c>
      <c r="I3" s="38" t="s">
        <v>18</v>
      </c>
      <c r="J3" t="s">
        <v>19</v>
      </c>
    </row>
    <row r="4" spans="1:10" ht="72.599999999999994">
      <c r="A4" s="9">
        <v>3</v>
      </c>
      <c r="B4" s="9" t="s">
        <v>1224</v>
      </c>
      <c r="C4" s="9" t="s">
        <v>1225</v>
      </c>
      <c r="D4" s="9" t="s">
        <v>1226</v>
      </c>
      <c r="E4" s="9" t="s">
        <v>1223</v>
      </c>
      <c r="F4" s="9" t="s">
        <v>33</v>
      </c>
      <c r="G4" s="9" t="s">
        <v>16</v>
      </c>
      <c r="H4" s="38" t="s">
        <v>18</v>
      </c>
      <c r="I4" s="38" t="s">
        <v>18</v>
      </c>
      <c r="J4" t="s">
        <v>19</v>
      </c>
    </row>
    <row r="5" spans="1:10" ht="57.95">
      <c r="A5" s="9">
        <v>4</v>
      </c>
      <c r="B5" s="9" t="s">
        <v>406</v>
      </c>
      <c r="C5" s="9" t="s">
        <v>1227</v>
      </c>
      <c r="D5" s="9" t="s">
        <v>1228</v>
      </c>
      <c r="E5" s="9" t="s">
        <v>1220</v>
      </c>
      <c r="F5" s="9" t="s">
        <v>1221</v>
      </c>
      <c r="G5" s="9" t="s">
        <v>16</v>
      </c>
    </row>
    <row r="6" spans="1:10" ht="57.95">
      <c r="A6" s="9">
        <v>5</v>
      </c>
      <c r="B6" s="9" t="s">
        <v>1229</v>
      </c>
      <c r="C6" s="9" t="s">
        <v>1230</v>
      </c>
      <c r="D6" s="9" t="s">
        <v>1228</v>
      </c>
      <c r="E6" s="9" t="s">
        <v>1220</v>
      </c>
      <c r="F6" s="9" t="s">
        <v>1221</v>
      </c>
      <c r="G6" s="9" t="s">
        <v>16</v>
      </c>
      <c r="H6" s="9" t="s">
        <v>1231</v>
      </c>
    </row>
    <row r="7" spans="1:10" ht="57.95">
      <c r="A7" s="9">
        <v>6</v>
      </c>
      <c r="B7" s="9" t="s">
        <v>1232</v>
      </c>
      <c r="C7" s="9" t="s">
        <v>1227</v>
      </c>
      <c r="D7" s="9" t="s">
        <v>1228</v>
      </c>
      <c r="E7" s="9" t="s">
        <v>1220</v>
      </c>
      <c r="F7" s="9" t="s">
        <v>1221</v>
      </c>
      <c r="G7" s="9" t="s">
        <v>16</v>
      </c>
      <c r="H7" s="9" t="s">
        <v>1233</v>
      </c>
    </row>
    <row r="8" spans="1:10" ht="72.599999999999994">
      <c r="A8" s="9">
        <v>7</v>
      </c>
      <c r="B8" s="9" t="s">
        <v>1234</v>
      </c>
      <c r="C8" s="9" t="s">
        <v>1235</v>
      </c>
      <c r="D8" s="9" t="s">
        <v>1236</v>
      </c>
      <c r="E8" s="9" t="s">
        <v>1220</v>
      </c>
      <c r="F8" s="9" t="s">
        <v>1221</v>
      </c>
      <c r="G8" s="9" t="s">
        <v>16</v>
      </c>
      <c r="H8" s="9" t="s">
        <v>1237</v>
      </c>
    </row>
    <row r="9" spans="1:10" ht="72.599999999999994">
      <c r="A9" s="9">
        <v>8</v>
      </c>
      <c r="B9" s="9" t="s">
        <v>1238</v>
      </c>
      <c r="C9" s="9" t="s">
        <v>1239</v>
      </c>
      <c r="D9" s="9" t="s">
        <v>1236</v>
      </c>
      <c r="E9" s="9" t="s">
        <v>1223</v>
      </c>
      <c r="F9" s="9" t="s">
        <v>33</v>
      </c>
      <c r="G9" s="9" t="s">
        <v>33</v>
      </c>
    </row>
    <row r="10" spans="1:10" ht="57.95">
      <c r="A10" s="9">
        <v>9</v>
      </c>
      <c r="B10" s="9" t="s">
        <v>1240</v>
      </c>
      <c r="C10" s="9" t="s">
        <v>1241</v>
      </c>
      <c r="D10" s="9" t="s">
        <v>1236</v>
      </c>
      <c r="E10" s="9" t="s">
        <v>1220</v>
      </c>
      <c r="F10" s="9" t="s">
        <v>1221</v>
      </c>
      <c r="G10" s="9" t="s">
        <v>16</v>
      </c>
      <c r="H10" s="9" t="s">
        <v>1237</v>
      </c>
    </row>
    <row r="11" spans="1:10" ht="57.95">
      <c r="A11" s="9">
        <v>10</v>
      </c>
      <c r="B11" s="9" t="s">
        <v>1242</v>
      </c>
      <c r="C11" s="9" t="s">
        <v>1243</v>
      </c>
      <c r="D11" s="9" t="s">
        <v>1236</v>
      </c>
      <c r="E11" s="9" t="s">
        <v>1220</v>
      </c>
      <c r="F11" s="9" t="s">
        <v>1221</v>
      </c>
      <c r="G11" s="9" t="s">
        <v>16</v>
      </c>
    </row>
    <row r="12" spans="1:10" ht="72.599999999999994">
      <c r="A12" s="9">
        <v>11</v>
      </c>
      <c r="B12" s="9" t="s">
        <v>1244</v>
      </c>
      <c r="C12" s="9" t="s">
        <v>1245</v>
      </c>
      <c r="D12" s="9" t="s">
        <v>1236</v>
      </c>
      <c r="E12" s="9" t="s">
        <v>1223</v>
      </c>
      <c r="F12" s="9" t="s">
        <v>33</v>
      </c>
      <c r="G12" s="9" t="s">
        <v>16</v>
      </c>
    </row>
    <row r="13" spans="1:10" ht="72.599999999999994">
      <c r="A13" s="9">
        <v>12</v>
      </c>
      <c r="B13" s="9" t="s">
        <v>1246</v>
      </c>
      <c r="C13" s="9" t="s">
        <v>1247</v>
      </c>
      <c r="D13" s="9" t="s">
        <v>1236</v>
      </c>
      <c r="E13" s="9" t="s">
        <v>1223</v>
      </c>
      <c r="F13" s="9" t="s">
        <v>33</v>
      </c>
      <c r="G13" s="9" t="s">
        <v>16</v>
      </c>
    </row>
    <row r="14" spans="1:10" ht="57.95">
      <c r="A14" s="9">
        <v>13</v>
      </c>
      <c r="B14" s="9" t="s">
        <v>1248</v>
      </c>
      <c r="C14" s="9" t="s">
        <v>1249</v>
      </c>
      <c r="D14" s="9" t="s">
        <v>1236</v>
      </c>
      <c r="E14" s="9" t="s">
        <v>1220</v>
      </c>
      <c r="F14" s="9" t="s">
        <v>1221</v>
      </c>
      <c r="G14" s="9" t="s">
        <v>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2"/>
  <sheetViews>
    <sheetView zoomScale="60" zoomScaleNormal="60" workbookViewId="0">
      <selection activeCell="H3" sqref="H3"/>
    </sheetView>
  </sheetViews>
  <sheetFormatPr defaultColWidth="9" defaultRowHeight="14.45"/>
  <cols>
    <col min="2" max="2" width="26.25" customWidth="1"/>
    <col min="3" max="3" width="19.5" customWidth="1"/>
    <col min="4" max="4" width="18.5" customWidth="1"/>
    <col min="5" max="5" width="14.75" customWidth="1"/>
    <col min="6" max="6" width="17.875" customWidth="1"/>
    <col min="7" max="7" width="20.5" customWidth="1"/>
    <col min="8" max="8" width="46.125" customWidth="1"/>
  </cols>
  <sheetData>
    <row r="1" spans="1:8">
      <c r="A1" s="34" t="s">
        <v>0</v>
      </c>
      <c r="B1" s="34" t="s">
        <v>1</v>
      </c>
      <c r="C1" s="34" t="s">
        <v>2</v>
      </c>
      <c r="D1" s="35" t="s">
        <v>3</v>
      </c>
      <c r="E1" s="34" t="s">
        <v>4</v>
      </c>
      <c r="F1" s="36" t="s">
        <v>5</v>
      </c>
      <c r="G1" s="34" t="s">
        <v>6</v>
      </c>
      <c r="H1" s="37" t="s">
        <v>1250</v>
      </c>
    </row>
    <row r="2" spans="1:8" ht="57.95">
      <c r="A2" s="9">
        <v>1</v>
      </c>
      <c r="B2" s="9" t="s">
        <v>1251</v>
      </c>
      <c r="C2" s="9" t="s">
        <v>1252</v>
      </c>
      <c r="D2" s="9" t="s">
        <v>1253</v>
      </c>
      <c r="E2" s="9" t="s">
        <v>14</v>
      </c>
      <c r="F2" s="9" t="s">
        <v>15</v>
      </c>
      <c r="G2" s="9" t="s">
        <v>16</v>
      </c>
      <c r="H2" s="9"/>
    </row>
    <row r="3" spans="1:8" ht="57.95">
      <c r="A3" s="9">
        <v>2</v>
      </c>
      <c r="B3" s="9" t="s">
        <v>1254</v>
      </c>
      <c r="C3" s="9" t="s">
        <v>1255</v>
      </c>
      <c r="D3" s="9" t="s">
        <v>1253</v>
      </c>
      <c r="E3" s="9" t="s">
        <v>14</v>
      </c>
      <c r="F3" s="9" t="s">
        <v>15</v>
      </c>
      <c r="G3" s="9" t="s">
        <v>16</v>
      </c>
      <c r="H3" s="9"/>
    </row>
    <row r="4" spans="1:8" ht="57.95">
      <c r="A4" s="9">
        <v>3</v>
      </c>
      <c r="B4" s="9" t="s">
        <v>269</v>
      </c>
      <c r="C4" s="9" t="s">
        <v>1256</v>
      </c>
      <c r="D4" s="9" t="s">
        <v>1253</v>
      </c>
      <c r="E4" s="9" t="s">
        <v>14</v>
      </c>
      <c r="F4" s="9" t="s">
        <v>15</v>
      </c>
      <c r="G4" s="9" t="s">
        <v>16</v>
      </c>
      <c r="H4" s="9"/>
    </row>
    <row r="5" spans="1:8" ht="57.95">
      <c r="A5" s="9">
        <v>4</v>
      </c>
      <c r="B5" s="9" t="s">
        <v>284</v>
      </c>
      <c r="C5" s="9" t="s">
        <v>1257</v>
      </c>
      <c r="D5" s="9" t="s">
        <v>1258</v>
      </c>
      <c r="E5" s="9" t="s">
        <v>14</v>
      </c>
      <c r="F5" s="9" t="s">
        <v>15</v>
      </c>
      <c r="G5" s="9" t="s">
        <v>16</v>
      </c>
      <c r="H5" s="9"/>
    </row>
    <row r="6" spans="1:8" ht="57.95">
      <c r="A6" s="9">
        <v>5</v>
      </c>
      <c r="B6" s="9" t="s">
        <v>1259</v>
      </c>
      <c r="C6" s="9" t="s">
        <v>1260</v>
      </c>
      <c r="D6" s="9" t="s">
        <v>1258</v>
      </c>
      <c r="E6" s="9" t="s">
        <v>14</v>
      </c>
      <c r="F6" s="9" t="s">
        <v>15</v>
      </c>
      <c r="G6" s="9" t="s">
        <v>16</v>
      </c>
      <c r="H6" s="9"/>
    </row>
    <row r="7" spans="1:8" ht="57.95">
      <c r="A7" s="9">
        <v>6</v>
      </c>
      <c r="B7" s="9" t="s">
        <v>1261</v>
      </c>
      <c r="C7" s="9" t="s">
        <v>1262</v>
      </c>
      <c r="D7" s="9" t="s">
        <v>1258</v>
      </c>
      <c r="E7" s="9" t="s">
        <v>1263</v>
      </c>
      <c r="F7" s="9" t="s">
        <v>15</v>
      </c>
      <c r="G7" s="9" t="s">
        <v>16</v>
      </c>
      <c r="H7" s="9"/>
    </row>
    <row r="8" spans="1:8" ht="87">
      <c r="A8" s="9">
        <v>7</v>
      </c>
      <c r="B8" s="9" t="s">
        <v>1264</v>
      </c>
      <c r="C8" s="9" t="s">
        <v>1265</v>
      </c>
      <c r="D8" s="9" t="s">
        <v>1258</v>
      </c>
      <c r="E8" s="9" t="s">
        <v>1266</v>
      </c>
      <c r="F8" s="9" t="s">
        <v>15</v>
      </c>
      <c r="G8" s="9" t="s">
        <v>16</v>
      </c>
      <c r="H8" s="9"/>
    </row>
    <row r="9" spans="1:8" ht="57.95">
      <c r="A9" s="9">
        <v>8</v>
      </c>
      <c r="B9" s="9" t="s">
        <v>1267</v>
      </c>
      <c r="C9" s="9" t="s">
        <v>1268</v>
      </c>
      <c r="D9" s="9" t="s">
        <v>1258</v>
      </c>
      <c r="E9" s="9" t="s">
        <v>14</v>
      </c>
      <c r="F9" s="9" t="s">
        <v>15</v>
      </c>
      <c r="G9" s="9" t="s">
        <v>16</v>
      </c>
      <c r="H9" s="9"/>
    </row>
    <row r="10" spans="1:8" ht="57.95">
      <c r="A10" s="9">
        <v>9</v>
      </c>
      <c r="B10" s="9" t="s">
        <v>1269</v>
      </c>
      <c r="C10" s="9"/>
      <c r="D10" s="9" t="s">
        <v>1270</v>
      </c>
      <c r="E10" s="9" t="s">
        <v>14</v>
      </c>
      <c r="F10" s="9" t="s">
        <v>15</v>
      </c>
      <c r="G10" s="9" t="s">
        <v>16</v>
      </c>
      <c r="H10" s="9"/>
    </row>
    <row r="11" spans="1:8" ht="57.95">
      <c r="A11" s="9">
        <v>10</v>
      </c>
      <c r="B11" s="9" t="s">
        <v>1271</v>
      </c>
      <c r="C11" s="9"/>
      <c r="D11" s="9" t="s">
        <v>1272</v>
      </c>
      <c r="E11" s="9" t="s">
        <v>14</v>
      </c>
      <c r="F11" s="9" t="s">
        <v>15</v>
      </c>
      <c r="G11" s="9" t="s">
        <v>16</v>
      </c>
      <c r="H11" s="9"/>
    </row>
    <row r="12" spans="1:8" ht="57.95">
      <c r="A12" s="9">
        <v>11</v>
      </c>
      <c r="B12" s="9" t="s">
        <v>428</v>
      </c>
      <c r="C12" s="9"/>
      <c r="D12" s="9" t="s">
        <v>1272</v>
      </c>
      <c r="E12" s="9" t="s">
        <v>14</v>
      </c>
      <c r="F12" s="9" t="s">
        <v>15</v>
      </c>
      <c r="G12" s="9" t="s">
        <v>16</v>
      </c>
      <c r="H12" s="9"/>
    </row>
    <row r="13" spans="1:8" ht="57.95">
      <c r="A13" s="9">
        <v>12</v>
      </c>
      <c r="B13" s="9" t="s">
        <v>1273</v>
      </c>
      <c r="C13" s="9"/>
      <c r="D13" s="9" t="s">
        <v>1272</v>
      </c>
      <c r="E13" s="9" t="s">
        <v>14</v>
      </c>
      <c r="F13" s="9" t="s">
        <v>15</v>
      </c>
      <c r="G13" s="9" t="s">
        <v>16</v>
      </c>
      <c r="H13" s="9"/>
    </row>
    <row r="14" spans="1:8" ht="57.95">
      <c r="A14" s="9">
        <v>13</v>
      </c>
      <c r="B14" s="9" t="s">
        <v>1274</v>
      </c>
      <c r="C14" s="9"/>
      <c r="D14" s="9" t="s">
        <v>1272</v>
      </c>
      <c r="E14" s="9" t="s">
        <v>14</v>
      </c>
      <c r="F14" s="9" t="s">
        <v>15</v>
      </c>
      <c r="G14" s="9" t="s">
        <v>16</v>
      </c>
      <c r="H14" s="9"/>
    </row>
    <row r="15" spans="1:8" ht="57.95">
      <c r="A15" s="9">
        <v>14</v>
      </c>
      <c r="B15" s="9" t="s">
        <v>440</v>
      </c>
      <c r="C15" s="9"/>
      <c r="D15" s="9" t="s">
        <v>1272</v>
      </c>
      <c r="E15" s="9" t="s">
        <v>14</v>
      </c>
      <c r="F15" s="9" t="s">
        <v>15</v>
      </c>
      <c r="G15" s="9" t="s">
        <v>16</v>
      </c>
      <c r="H15" s="9"/>
    </row>
    <row r="16" spans="1:8" ht="57.95">
      <c r="A16" s="9">
        <v>15</v>
      </c>
      <c r="B16" s="9" t="s">
        <v>1275</v>
      </c>
      <c r="C16" s="9"/>
      <c r="D16" s="9" t="s">
        <v>1272</v>
      </c>
      <c r="E16" s="9" t="s">
        <v>14</v>
      </c>
      <c r="F16" s="9" t="s">
        <v>15</v>
      </c>
      <c r="G16" s="9" t="s">
        <v>16</v>
      </c>
      <c r="H16" s="9"/>
    </row>
    <row r="17" spans="1:8" ht="57.95">
      <c r="A17" s="9">
        <v>16</v>
      </c>
      <c r="B17" s="9" t="s">
        <v>1276</v>
      </c>
      <c r="C17" s="9"/>
      <c r="D17" s="9" t="s">
        <v>1272</v>
      </c>
      <c r="E17" s="9" t="s">
        <v>14</v>
      </c>
      <c r="F17" s="9" t="s">
        <v>15</v>
      </c>
      <c r="G17" s="9" t="s">
        <v>16</v>
      </c>
      <c r="H17" s="9"/>
    </row>
    <row r="18" spans="1:8" ht="57.95">
      <c r="A18" s="9">
        <v>17</v>
      </c>
      <c r="B18" s="9" t="s">
        <v>169</v>
      </c>
      <c r="C18" s="9" t="s">
        <v>1277</v>
      </c>
      <c r="D18" s="9" t="s">
        <v>1278</v>
      </c>
      <c r="E18" s="9" t="s">
        <v>14</v>
      </c>
      <c r="F18" s="9" t="s">
        <v>15</v>
      </c>
      <c r="G18" s="9" t="s">
        <v>16</v>
      </c>
      <c r="H18" s="9"/>
    </row>
    <row r="19" spans="1:8" ht="57.95">
      <c r="A19" s="9">
        <v>18</v>
      </c>
      <c r="B19" s="9" t="s">
        <v>1279</v>
      </c>
      <c r="C19" s="9"/>
      <c r="D19" s="9" t="s">
        <v>1278</v>
      </c>
      <c r="E19" s="9" t="s">
        <v>14</v>
      </c>
      <c r="F19" s="9" t="s">
        <v>15</v>
      </c>
      <c r="G19" s="9" t="s">
        <v>16</v>
      </c>
      <c r="H19" s="9"/>
    </row>
    <row r="20" spans="1:8" ht="57.95">
      <c r="A20" s="9">
        <v>19</v>
      </c>
      <c r="B20" s="9" t="s">
        <v>1280</v>
      </c>
      <c r="C20" s="9" t="s">
        <v>1281</v>
      </c>
      <c r="D20" s="9" t="s">
        <v>1278</v>
      </c>
      <c r="E20" s="9" t="s">
        <v>14</v>
      </c>
      <c r="F20" s="9" t="s">
        <v>15</v>
      </c>
      <c r="G20" s="9" t="s">
        <v>16</v>
      </c>
      <c r="H20" s="9"/>
    </row>
    <row r="21" spans="1:8" ht="57.95">
      <c r="A21" s="9">
        <v>20</v>
      </c>
      <c r="B21" s="9" t="s">
        <v>1282</v>
      </c>
      <c r="C21" s="9" t="s">
        <v>1283</v>
      </c>
      <c r="D21" s="9" t="s">
        <v>1278</v>
      </c>
      <c r="E21" s="9" t="s">
        <v>14</v>
      </c>
      <c r="F21" s="9" t="s">
        <v>15</v>
      </c>
      <c r="G21" s="9" t="s">
        <v>16</v>
      </c>
      <c r="H21" s="9"/>
    </row>
    <row r="22" spans="1:8" ht="57.95">
      <c r="A22" s="9">
        <v>21</v>
      </c>
      <c r="B22" s="9" t="s">
        <v>1284</v>
      </c>
      <c r="C22" s="9" t="s">
        <v>1285</v>
      </c>
      <c r="D22" s="9" t="s">
        <v>1278</v>
      </c>
      <c r="E22" s="9" t="s">
        <v>14</v>
      </c>
      <c r="F22" s="9" t="s">
        <v>15</v>
      </c>
      <c r="G22" s="9" t="s">
        <v>16</v>
      </c>
      <c r="H22" s="9"/>
    </row>
    <row r="23" spans="1:8" ht="57.95">
      <c r="A23" s="9">
        <v>22</v>
      </c>
      <c r="B23" s="9" t="s">
        <v>1286</v>
      </c>
      <c r="C23" s="9" t="s">
        <v>1287</v>
      </c>
      <c r="D23" s="9" t="s">
        <v>1278</v>
      </c>
      <c r="E23" s="9" t="s">
        <v>14</v>
      </c>
      <c r="F23" s="9" t="s">
        <v>15</v>
      </c>
      <c r="G23" s="9" t="s">
        <v>16</v>
      </c>
      <c r="H23" s="9"/>
    </row>
    <row r="24" spans="1:8">
      <c r="A24" s="9">
        <v>23</v>
      </c>
      <c r="B24" s="9" t="s">
        <v>1288</v>
      </c>
      <c r="C24" s="9"/>
      <c r="D24" s="9"/>
      <c r="E24" s="9"/>
      <c r="F24" s="9"/>
      <c r="G24" s="9"/>
      <c r="H24" s="9"/>
    </row>
    <row r="25" spans="1:8" ht="57.95">
      <c r="A25" s="9">
        <v>24</v>
      </c>
      <c r="B25" s="9" t="s">
        <v>1289</v>
      </c>
      <c r="C25" s="9" t="s">
        <v>1290</v>
      </c>
      <c r="D25" s="9" t="s">
        <v>1291</v>
      </c>
      <c r="E25" s="9" t="s">
        <v>14</v>
      </c>
      <c r="F25" s="9" t="s">
        <v>15</v>
      </c>
      <c r="G25" s="9" t="s">
        <v>16</v>
      </c>
      <c r="H25" s="9" t="s">
        <v>1292</v>
      </c>
    </row>
    <row r="26" spans="1:8" ht="57.95">
      <c r="A26" s="9">
        <v>25</v>
      </c>
      <c r="B26" s="9" t="s">
        <v>1293</v>
      </c>
      <c r="C26" s="9" t="s">
        <v>1294</v>
      </c>
      <c r="D26" s="9" t="s">
        <v>1291</v>
      </c>
      <c r="E26" s="9" t="s">
        <v>14</v>
      </c>
      <c r="F26" s="9" t="s">
        <v>15</v>
      </c>
      <c r="G26" s="9" t="s">
        <v>16</v>
      </c>
      <c r="H26" s="9" t="s">
        <v>1292</v>
      </c>
    </row>
    <row r="27" spans="1:8" ht="57.95">
      <c r="A27" s="9">
        <v>26</v>
      </c>
      <c r="B27" s="9" t="s">
        <v>1295</v>
      </c>
      <c r="C27" s="9" t="s">
        <v>1296</v>
      </c>
      <c r="D27" s="9" t="s">
        <v>1291</v>
      </c>
      <c r="E27" s="9" t="s">
        <v>14</v>
      </c>
      <c r="F27" s="9" t="s">
        <v>15</v>
      </c>
      <c r="G27" s="9" t="s">
        <v>16</v>
      </c>
      <c r="H27" s="9" t="s">
        <v>1297</v>
      </c>
    </row>
    <row r="28" spans="1:8" ht="57.95">
      <c r="A28" s="9">
        <v>27</v>
      </c>
      <c r="B28" s="9" t="s">
        <v>1298</v>
      </c>
      <c r="C28" s="9" t="s">
        <v>1299</v>
      </c>
      <c r="D28" s="9" t="s">
        <v>1300</v>
      </c>
      <c r="E28" s="9" t="s">
        <v>14</v>
      </c>
      <c r="F28" s="9" t="s">
        <v>15</v>
      </c>
      <c r="G28" s="9" t="s">
        <v>16</v>
      </c>
      <c r="H28" s="9"/>
    </row>
    <row r="29" spans="1:8" ht="57.95">
      <c r="A29" s="9">
        <v>28</v>
      </c>
      <c r="B29" s="9" t="s">
        <v>1301</v>
      </c>
      <c r="C29" s="9" t="s">
        <v>1302</v>
      </c>
      <c r="D29" s="9" t="s">
        <v>1300</v>
      </c>
      <c r="E29" s="9" t="s">
        <v>14</v>
      </c>
      <c r="F29" s="9" t="s">
        <v>15</v>
      </c>
      <c r="G29" s="9" t="s">
        <v>16</v>
      </c>
      <c r="H29" s="9" t="s">
        <v>1303</v>
      </c>
    </row>
    <row r="30" spans="1:8" ht="57.95">
      <c r="A30" s="9">
        <v>29</v>
      </c>
      <c r="B30" s="9" t="s">
        <v>1304</v>
      </c>
      <c r="C30" s="9" t="s">
        <v>1305</v>
      </c>
      <c r="D30" s="9" t="s">
        <v>1300</v>
      </c>
      <c r="E30" s="9" t="s">
        <v>14</v>
      </c>
      <c r="F30" s="9" t="s">
        <v>15</v>
      </c>
      <c r="G30" s="9" t="s">
        <v>16</v>
      </c>
      <c r="H30" s="9"/>
    </row>
    <row r="31" spans="1:8" ht="57.95">
      <c r="A31" s="9">
        <v>30</v>
      </c>
      <c r="B31" s="9" t="s">
        <v>1282</v>
      </c>
      <c r="C31" s="9" t="s">
        <v>1306</v>
      </c>
      <c r="D31" s="9" t="s">
        <v>1300</v>
      </c>
      <c r="E31" s="9" t="s">
        <v>14</v>
      </c>
      <c r="F31" s="9" t="s">
        <v>15</v>
      </c>
      <c r="G31" s="9" t="s">
        <v>16</v>
      </c>
      <c r="H31" s="9" t="s">
        <v>1307</v>
      </c>
    </row>
    <row r="32" spans="1:8" ht="57.95">
      <c r="A32" s="9">
        <v>31</v>
      </c>
      <c r="B32" s="9" t="s">
        <v>1308</v>
      </c>
      <c r="C32" s="9" t="s">
        <v>1309</v>
      </c>
      <c r="D32" s="9" t="s">
        <v>1300</v>
      </c>
      <c r="E32" s="9" t="s">
        <v>14</v>
      </c>
      <c r="F32" s="9" t="s">
        <v>15</v>
      </c>
      <c r="G32" s="9" t="s">
        <v>16</v>
      </c>
      <c r="H32" s="9" t="s">
        <v>1310</v>
      </c>
    </row>
    <row r="33" spans="1:8" ht="57.95">
      <c r="A33" s="9">
        <v>32</v>
      </c>
      <c r="B33" s="9" t="s">
        <v>1311</v>
      </c>
      <c r="C33" s="9" t="s">
        <v>1312</v>
      </c>
      <c r="D33" s="9" t="s">
        <v>1313</v>
      </c>
      <c r="E33" s="9" t="s">
        <v>1314</v>
      </c>
      <c r="F33" s="9" t="s">
        <v>15</v>
      </c>
      <c r="G33" s="9" t="s">
        <v>16</v>
      </c>
      <c r="H33" s="9"/>
    </row>
    <row r="34" spans="1:8" ht="57.95">
      <c r="A34" s="9">
        <v>33</v>
      </c>
      <c r="B34" s="9" t="s">
        <v>1315</v>
      </c>
      <c r="C34" s="9" t="s">
        <v>1316</v>
      </c>
      <c r="D34" s="9" t="s">
        <v>1317</v>
      </c>
      <c r="E34" s="9" t="s">
        <v>14</v>
      </c>
      <c r="F34" s="9" t="s">
        <v>15</v>
      </c>
      <c r="G34" s="9" t="s">
        <v>16</v>
      </c>
      <c r="H34" s="9" t="s">
        <v>1318</v>
      </c>
    </row>
    <row r="35" spans="1:8" ht="57.95">
      <c r="A35" s="9">
        <v>34</v>
      </c>
      <c r="B35" s="9" t="s">
        <v>260</v>
      </c>
      <c r="C35" s="9" t="s">
        <v>1319</v>
      </c>
      <c r="D35" s="9" t="s">
        <v>1320</v>
      </c>
      <c r="E35" s="9" t="s">
        <v>14</v>
      </c>
      <c r="F35" s="9" t="s">
        <v>15</v>
      </c>
      <c r="G35" s="9" t="s">
        <v>16</v>
      </c>
      <c r="H35" s="9" t="s">
        <v>1321</v>
      </c>
    </row>
    <row r="36" spans="1:8" ht="57.95">
      <c r="A36" s="9">
        <v>35</v>
      </c>
      <c r="B36" s="9" t="s">
        <v>1322</v>
      </c>
      <c r="C36" s="9" t="s">
        <v>1323</v>
      </c>
      <c r="D36" s="9" t="s">
        <v>1320</v>
      </c>
      <c r="E36" s="9" t="s">
        <v>14</v>
      </c>
      <c r="F36" s="9" t="s">
        <v>15</v>
      </c>
      <c r="G36" s="9" t="s">
        <v>16</v>
      </c>
      <c r="H36" s="9" t="s">
        <v>1324</v>
      </c>
    </row>
    <row r="37" spans="1:8" ht="144.94999999999999">
      <c r="A37" s="9">
        <v>36</v>
      </c>
      <c r="B37" s="9" t="s">
        <v>440</v>
      </c>
      <c r="C37" s="9" t="s">
        <v>1325</v>
      </c>
      <c r="D37" s="9" t="s">
        <v>1326</v>
      </c>
      <c r="E37" s="9" t="s">
        <v>1327</v>
      </c>
      <c r="F37" s="9" t="s">
        <v>1328</v>
      </c>
      <c r="G37" s="9" t="s">
        <v>16</v>
      </c>
      <c r="H37" s="9"/>
    </row>
    <row r="38" spans="1:8" ht="101.45">
      <c r="A38" s="9">
        <v>37</v>
      </c>
      <c r="B38" s="9" t="s">
        <v>1329</v>
      </c>
      <c r="C38" s="9" t="s">
        <v>1330</v>
      </c>
      <c r="D38" s="9" t="s">
        <v>1326</v>
      </c>
      <c r="E38" s="9" t="s">
        <v>1327</v>
      </c>
      <c r="F38" s="9" t="s">
        <v>1331</v>
      </c>
      <c r="G38" s="9" t="s">
        <v>16</v>
      </c>
      <c r="H38" s="9"/>
    </row>
    <row r="39" spans="1:8" ht="57.95">
      <c r="A39" s="9">
        <v>38</v>
      </c>
      <c r="B39" s="9" t="s">
        <v>260</v>
      </c>
      <c r="C39" s="9" t="s">
        <v>1332</v>
      </c>
      <c r="D39" s="9" t="s">
        <v>1333</v>
      </c>
      <c r="E39" s="9" t="s">
        <v>14</v>
      </c>
      <c r="F39" s="9" t="s">
        <v>15</v>
      </c>
      <c r="G39" s="9" t="s">
        <v>16</v>
      </c>
      <c r="H39" s="9"/>
    </row>
    <row r="40" spans="1:8" ht="57.95">
      <c r="A40" s="9">
        <v>39</v>
      </c>
      <c r="B40" s="9" t="s">
        <v>406</v>
      </c>
      <c r="C40" s="9" t="s">
        <v>1334</v>
      </c>
      <c r="D40" s="9" t="s">
        <v>1333</v>
      </c>
      <c r="E40" s="9" t="s">
        <v>14</v>
      </c>
      <c r="F40" s="9" t="s">
        <v>15</v>
      </c>
      <c r="G40" s="9" t="s">
        <v>16</v>
      </c>
      <c r="H40" s="9"/>
    </row>
    <row r="41" spans="1:8" ht="57.95">
      <c r="A41" s="9">
        <v>40</v>
      </c>
      <c r="B41" s="9" t="s">
        <v>1335</v>
      </c>
      <c r="C41" s="9" t="s">
        <v>1336</v>
      </c>
      <c r="D41" s="9" t="s">
        <v>1333</v>
      </c>
      <c r="E41" s="9" t="s">
        <v>14</v>
      </c>
      <c r="F41" s="9" t="s">
        <v>15</v>
      </c>
      <c r="G41" s="9" t="s">
        <v>16</v>
      </c>
      <c r="H41" s="9" t="s">
        <v>1337</v>
      </c>
    </row>
    <row r="42" spans="1:8" ht="57.95">
      <c r="A42" s="9">
        <v>41</v>
      </c>
      <c r="B42" s="9" t="s">
        <v>1338</v>
      </c>
      <c r="C42" s="9" t="s">
        <v>1339</v>
      </c>
      <c r="D42" s="9" t="s">
        <v>1340</v>
      </c>
      <c r="E42" s="9" t="s">
        <v>14</v>
      </c>
      <c r="F42" s="9" t="s">
        <v>15</v>
      </c>
      <c r="G42" s="9" t="s">
        <v>16</v>
      </c>
      <c r="H42" s="9" t="s">
        <v>1341</v>
      </c>
    </row>
  </sheetData>
  <pageMargins left="0.7" right="0.7" top="0.75" bottom="0.75" header="0.3" footer="0.3"/>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5"/>
  <sheetViews>
    <sheetView topLeftCell="A14" zoomScale="115" zoomScaleNormal="115" workbookViewId="0">
      <selection activeCell="A14" sqref="A1:XFD1048576"/>
    </sheetView>
  </sheetViews>
  <sheetFormatPr defaultColWidth="8.75" defaultRowHeight="14.45"/>
  <cols>
    <col min="1" max="1" width="8.75" style="20"/>
    <col min="2" max="2" width="20" style="20" customWidth="1"/>
    <col min="3" max="3" width="25.5" style="20" customWidth="1"/>
    <col min="4" max="4" width="20.25" style="20" customWidth="1"/>
    <col min="5" max="5" width="32" style="20" customWidth="1"/>
    <col min="6" max="6" width="27.875" style="20" customWidth="1"/>
    <col min="7" max="7" width="26.5" style="20" customWidth="1"/>
    <col min="8" max="8" width="49.875" style="20" customWidth="1"/>
    <col min="9" max="16384" width="8.75" style="20"/>
  </cols>
  <sheetData>
    <row r="1" spans="1:8">
      <c r="A1" s="21" t="s">
        <v>0</v>
      </c>
      <c r="B1" s="21" t="s">
        <v>1</v>
      </c>
      <c r="C1" s="21" t="s">
        <v>2</v>
      </c>
      <c r="D1" s="22" t="s">
        <v>3</v>
      </c>
      <c r="E1" s="21" t="s">
        <v>4</v>
      </c>
      <c r="F1" s="23" t="s">
        <v>5</v>
      </c>
      <c r="G1" s="21" t="s">
        <v>6</v>
      </c>
      <c r="H1" s="24" t="s">
        <v>1250</v>
      </c>
    </row>
    <row r="2" spans="1:8" ht="57.95">
      <c r="A2" s="20">
        <v>1</v>
      </c>
      <c r="B2" s="17" t="s">
        <v>1342</v>
      </c>
      <c r="C2" s="17" t="s">
        <v>1343</v>
      </c>
      <c r="D2" s="17" t="s">
        <v>1344</v>
      </c>
      <c r="E2" s="17" t="s">
        <v>1345</v>
      </c>
      <c r="F2" s="25" t="s">
        <v>1346</v>
      </c>
      <c r="G2" s="26" t="s">
        <v>1347</v>
      </c>
    </row>
    <row r="3" spans="1:8" ht="87">
      <c r="A3" s="20">
        <v>2</v>
      </c>
      <c r="B3" s="17" t="s">
        <v>1348</v>
      </c>
      <c r="C3" s="17" t="s">
        <v>1349</v>
      </c>
      <c r="D3" s="17" t="s">
        <v>1350</v>
      </c>
      <c r="E3" s="25" t="s">
        <v>1351</v>
      </c>
      <c r="F3" s="25" t="s">
        <v>1352</v>
      </c>
      <c r="G3" s="17" t="s">
        <v>1353</v>
      </c>
    </row>
    <row r="4" spans="1:8" ht="57.95">
      <c r="A4" s="20">
        <v>4</v>
      </c>
      <c r="B4" s="17" t="s">
        <v>260</v>
      </c>
      <c r="C4" s="17" t="s">
        <v>1354</v>
      </c>
      <c r="D4" s="17" t="s">
        <v>1355</v>
      </c>
      <c r="E4" s="17" t="s">
        <v>1356</v>
      </c>
      <c r="F4" s="27" t="s">
        <v>15</v>
      </c>
      <c r="G4" s="27" t="s">
        <v>16</v>
      </c>
      <c r="H4" s="17" t="s">
        <v>1357</v>
      </c>
    </row>
    <row r="5" spans="1:8" ht="134.1" customHeight="1">
      <c r="A5" s="20">
        <v>5</v>
      </c>
      <c r="B5" s="17" t="s">
        <v>1358</v>
      </c>
      <c r="C5" s="17" t="s">
        <v>1359</v>
      </c>
      <c r="D5" s="17" t="s">
        <v>1355</v>
      </c>
      <c r="E5" s="17" t="s">
        <v>1360</v>
      </c>
      <c r="F5" s="27" t="s">
        <v>15</v>
      </c>
      <c r="G5" s="27" t="s">
        <v>16</v>
      </c>
      <c r="H5" s="17" t="s">
        <v>1361</v>
      </c>
    </row>
    <row r="6" spans="1:8" ht="188.45">
      <c r="A6" s="20">
        <v>6</v>
      </c>
      <c r="B6" s="17" t="s">
        <v>1362</v>
      </c>
      <c r="C6" s="17" t="s">
        <v>1363</v>
      </c>
      <c r="D6" s="17" t="s">
        <v>1355</v>
      </c>
      <c r="E6" s="17" t="s">
        <v>1364</v>
      </c>
      <c r="F6" s="27" t="s">
        <v>15</v>
      </c>
      <c r="G6" s="27" t="s">
        <v>16</v>
      </c>
      <c r="H6" s="17" t="s">
        <v>1365</v>
      </c>
    </row>
    <row r="7" spans="1:8" ht="62.1">
      <c r="A7" s="20">
        <v>7</v>
      </c>
      <c r="B7" s="28" t="s">
        <v>127</v>
      </c>
      <c r="C7" s="28" t="s">
        <v>1366</v>
      </c>
      <c r="D7" s="29" t="s">
        <v>1367</v>
      </c>
      <c r="E7" s="30" t="s">
        <v>1368</v>
      </c>
      <c r="F7" s="27" t="s">
        <v>15</v>
      </c>
      <c r="G7" s="27" t="s">
        <v>16</v>
      </c>
      <c r="H7" s="17" t="s">
        <v>1369</v>
      </c>
    </row>
    <row r="8" spans="1:8" ht="209.45" customHeight="1">
      <c r="A8" s="20">
        <v>8</v>
      </c>
      <c r="B8" s="17" t="s">
        <v>1370</v>
      </c>
      <c r="C8" s="17" t="s">
        <v>1371</v>
      </c>
      <c r="D8" s="17" t="s">
        <v>1372</v>
      </c>
      <c r="E8" s="30" t="s">
        <v>1373</v>
      </c>
      <c r="F8" s="27" t="s">
        <v>15</v>
      </c>
      <c r="G8" s="27" t="s">
        <v>16</v>
      </c>
      <c r="H8" s="17" t="s">
        <v>1374</v>
      </c>
    </row>
    <row r="9" spans="1:8" ht="57.95">
      <c r="A9" s="20">
        <v>9</v>
      </c>
      <c r="B9" s="31" t="s">
        <v>1375</v>
      </c>
      <c r="C9" s="31" t="s">
        <v>1376</v>
      </c>
      <c r="D9" s="31" t="s">
        <v>1377</v>
      </c>
      <c r="E9" s="31" t="s">
        <v>1378</v>
      </c>
      <c r="F9" s="31" t="s">
        <v>1379</v>
      </c>
      <c r="G9" s="31" t="s">
        <v>1380</v>
      </c>
    </row>
    <row r="10" spans="1:8" ht="18.600000000000001">
      <c r="A10" s="20">
        <v>10</v>
      </c>
      <c r="B10" s="32" t="s">
        <v>1381</v>
      </c>
      <c r="C10" s="17" t="s">
        <v>1382</v>
      </c>
      <c r="D10" s="33" t="s">
        <v>1383</v>
      </c>
      <c r="E10" s="32" t="s">
        <v>1384</v>
      </c>
      <c r="F10" s="17"/>
      <c r="G10" s="17" t="s">
        <v>16</v>
      </c>
    </row>
    <row r="11" spans="1:8" ht="18.600000000000001">
      <c r="A11" s="20">
        <v>11</v>
      </c>
      <c r="B11" s="32" t="s">
        <v>1385</v>
      </c>
      <c r="C11" s="17" t="s">
        <v>1382</v>
      </c>
      <c r="D11" s="33" t="s">
        <v>1383</v>
      </c>
      <c r="E11" s="32" t="s">
        <v>1386</v>
      </c>
      <c r="F11" s="17"/>
      <c r="G11" s="17" t="s">
        <v>16</v>
      </c>
    </row>
    <row r="12" spans="1:8" ht="18.600000000000001">
      <c r="A12" s="20">
        <v>12</v>
      </c>
      <c r="B12" s="32" t="s">
        <v>1387</v>
      </c>
      <c r="C12" s="17" t="s">
        <v>1382</v>
      </c>
      <c r="D12" s="33" t="s">
        <v>1383</v>
      </c>
      <c r="E12" s="32" t="s">
        <v>1386</v>
      </c>
      <c r="F12" s="17"/>
      <c r="G12" s="17" t="s">
        <v>16</v>
      </c>
    </row>
    <row r="13" spans="1:8" ht="18.600000000000001">
      <c r="A13" s="20">
        <v>13</v>
      </c>
      <c r="B13" s="32" t="s">
        <v>1388</v>
      </c>
      <c r="C13" s="17" t="s">
        <v>1382</v>
      </c>
      <c r="D13" s="33" t="s">
        <v>1383</v>
      </c>
      <c r="E13" s="32" t="s">
        <v>1386</v>
      </c>
      <c r="F13" s="17"/>
      <c r="G13" s="17" t="s">
        <v>16</v>
      </c>
    </row>
    <row r="14" spans="1:8" ht="46.5">
      <c r="A14" s="20">
        <v>14</v>
      </c>
      <c r="B14" s="33" t="s">
        <v>1389</v>
      </c>
      <c r="C14" s="17" t="s">
        <v>1382</v>
      </c>
      <c r="D14" s="33" t="s">
        <v>1383</v>
      </c>
      <c r="E14" s="32" t="s">
        <v>1384</v>
      </c>
      <c r="F14" s="17"/>
      <c r="G14" s="17" t="s">
        <v>16</v>
      </c>
    </row>
    <row r="15" spans="1:8" ht="46.5">
      <c r="A15" s="20">
        <v>15</v>
      </c>
      <c r="B15" s="33" t="s">
        <v>1390</v>
      </c>
      <c r="C15" s="17" t="s">
        <v>1382</v>
      </c>
      <c r="D15" s="33" t="s">
        <v>1383</v>
      </c>
      <c r="E15" s="32" t="s">
        <v>1384</v>
      </c>
      <c r="F15" s="17"/>
      <c r="G15" s="17" t="s">
        <v>16</v>
      </c>
    </row>
    <row r="16" spans="1:8" ht="18.600000000000001">
      <c r="A16" s="20">
        <v>16</v>
      </c>
      <c r="B16" s="32" t="s">
        <v>1391</v>
      </c>
      <c r="C16" s="17" t="s">
        <v>1382</v>
      </c>
      <c r="D16" s="33" t="s">
        <v>1383</v>
      </c>
      <c r="E16" s="32" t="s">
        <v>1392</v>
      </c>
      <c r="F16" s="17"/>
      <c r="G16" s="17" t="s">
        <v>16</v>
      </c>
    </row>
    <row r="17" spans="1:7" ht="18.600000000000001">
      <c r="A17" s="20">
        <v>17</v>
      </c>
      <c r="B17" s="32" t="s">
        <v>1393</v>
      </c>
      <c r="C17" s="32" t="s">
        <v>1394</v>
      </c>
      <c r="D17" s="33" t="s">
        <v>1383</v>
      </c>
      <c r="E17" s="32" t="s">
        <v>1386</v>
      </c>
      <c r="F17" s="17"/>
      <c r="G17" s="17" t="s">
        <v>16</v>
      </c>
    </row>
    <row r="18" spans="1:7" ht="18.600000000000001">
      <c r="A18" s="20">
        <v>18</v>
      </c>
      <c r="B18" s="32" t="s">
        <v>1395</v>
      </c>
      <c r="C18" s="32" t="s">
        <v>1394</v>
      </c>
      <c r="D18" s="33" t="s">
        <v>1383</v>
      </c>
      <c r="E18" s="32" t="s">
        <v>1384</v>
      </c>
      <c r="F18" s="17"/>
      <c r="G18" s="17" t="s">
        <v>16</v>
      </c>
    </row>
    <row r="19" spans="1:7" ht="18.600000000000001">
      <c r="A19" s="20">
        <v>19</v>
      </c>
      <c r="B19" s="32" t="s">
        <v>1396</v>
      </c>
      <c r="C19" s="32" t="s">
        <v>1394</v>
      </c>
      <c r="D19" s="33" t="s">
        <v>1383</v>
      </c>
      <c r="E19" s="32" t="s">
        <v>1386</v>
      </c>
      <c r="F19" s="17"/>
      <c r="G19" s="17" t="s">
        <v>16</v>
      </c>
    </row>
    <row r="20" spans="1:7" ht="46.5">
      <c r="A20" s="20">
        <v>20</v>
      </c>
      <c r="B20" s="30" t="s">
        <v>1397</v>
      </c>
      <c r="C20" s="30" t="s">
        <v>1398</v>
      </c>
      <c r="D20" s="29" t="s">
        <v>1399</v>
      </c>
      <c r="E20" s="30" t="s">
        <v>775</v>
      </c>
      <c r="F20" s="17" t="s">
        <v>1400</v>
      </c>
      <c r="G20" s="17" t="s">
        <v>16</v>
      </c>
    </row>
    <row r="21" spans="1:7" ht="30.95">
      <c r="A21" s="20">
        <v>21</v>
      </c>
      <c r="B21" s="30" t="s">
        <v>1401</v>
      </c>
      <c r="C21" s="29" t="s">
        <v>1402</v>
      </c>
      <c r="D21" s="29" t="s">
        <v>1399</v>
      </c>
      <c r="E21" s="29" t="s">
        <v>1403</v>
      </c>
      <c r="F21" s="29" t="s">
        <v>33</v>
      </c>
      <c r="G21" s="17" t="s">
        <v>16</v>
      </c>
    </row>
    <row r="22" spans="1:7" ht="18.600000000000001">
      <c r="A22" s="20">
        <v>22</v>
      </c>
      <c r="B22" s="30" t="s">
        <v>1404</v>
      </c>
      <c r="C22" s="29" t="s">
        <v>1405</v>
      </c>
      <c r="D22" s="29" t="s">
        <v>1399</v>
      </c>
      <c r="E22" s="29" t="s">
        <v>1403</v>
      </c>
      <c r="F22" s="29" t="s">
        <v>33</v>
      </c>
      <c r="G22" s="29" t="s">
        <v>33</v>
      </c>
    </row>
    <row r="23" spans="1:7" ht="30.95">
      <c r="A23" s="20">
        <v>23</v>
      </c>
      <c r="B23" s="30" t="s">
        <v>1406</v>
      </c>
      <c r="C23" s="29" t="s">
        <v>1407</v>
      </c>
      <c r="D23" s="29" t="s">
        <v>1399</v>
      </c>
      <c r="E23" s="30" t="s">
        <v>775</v>
      </c>
      <c r="F23" s="17" t="s">
        <v>1400</v>
      </c>
      <c r="G23" s="29" t="s">
        <v>33</v>
      </c>
    </row>
    <row r="24" spans="1:7" ht="30.95">
      <c r="A24" s="20">
        <v>24</v>
      </c>
      <c r="B24" s="30" t="s">
        <v>1408</v>
      </c>
      <c r="C24" s="29" t="s">
        <v>1409</v>
      </c>
      <c r="D24" s="29" t="s">
        <v>1399</v>
      </c>
      <c r="E24" s="30" t="s">
        <v>775</v>
      </c>
      <c r="F24" s="17" t="s">
        <v>1400</v>
      </c>
      <c r="G24" s="17" t="s">
        <v>16</v>
      </c>
    </row>
    <row r="25" spans="1:7">
      <c r="G25" s="17" t="s">
        <v>16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5"/>
  <sheetViews>
    <sheetView zoomScale="40" zoomScaleNormal="40" workbookViewId="0">
      <selection sqref="A1:XFD1048576"/>
    </sheetView>
  </sheetViews>
  <sheetFormatPr defaultColWidth="9.125" defaultRowHeight="14.45"/>
  <cols>
    <col min="1" max="1" width="9.125" style="13"/>
    <col min="2" max="2" width="33" style="13" customWidth="1"/>
    <col min="3" max="3" width="34.125" style="13" customWidth="1"/>
    <col min="4" max="4" width="22.25" style="13" customWidth="1"/>
    <col min="5" max="5" width="30.5" style="13" customWidth="1"/>
    <col min="6" max="6" width="30" style="13" customWidth="1"/>
    <col min="7" max="7" width="29.5" style="13" customWidth="1"/>
    <col min="8" max="16384" width="9.125" style="13"/>
  </cols>
  <sheetData>
    <row r="1" spans="1:7">
      <c r="A1" s="1" t="s">
        <v>0</v>
      </c>
      <c r="B1" s="1" t="s">
        <v>1</v>
      </c>
      <c r="C1" s="1" t="s">
        <v>2</v>
      </c>
      <c r="D1" s="2" t="s">
        <v>3</v>
      </c>
      <c r="E1" s="1" t="s">
        <v>4</v>
      </c>
      <c r="F1" s="3" t="s">
        <v>5</v>
      </c>
      <c r="G1" s="1" t="s">
        <v>6</v>
      </c>
    </row>
    <row r="2" spans="1:7" ht="46.5">
      <c r="A2" s="13">
        <v>1</v>
      </c>
      <c r="B2" s="14" t="s">
        <v>1410</v>
      </c>
      <c r="C2" s="14" t="s">
        <v>1411</v>
      </c>
      <c r="D2" s="14" t="s">
        <v>1412</v>
      </c>
      <c r="E2" s="15" t="s">
        <v>1413</v>
      </c>
      <c r="F2" s="15" t="s">
        <v>1414</v>
      </c>
      <c r="G2" s="15" t="s">
        <v>1415</v>
      </c>
    </row>
    <row r="3" spans="1:7" ht="46.5">
      <c r="A3" s="13">
        <v>2</v>
      </c>
      <c r="B3" s="16"/>
      <c r="C3" s="16"/>
      <c r="D3" s="16" t="s">
        <v>1416</v>
      </c>
      <c r="E3" s="15" t="s">
        <v>1417</v>
      </c>
      <c r="F3" s="15"/>
      <c r="G3" s="15"/>
    </row>
    <row r="4" spans="1:7" ht="30.95">
      <c r="A4" s="13">
        <v>3</v>
      </c>
      <c r="B4" s="15" t="s">
        <v>1418</v>
      </c>
      <c r="C4" s="15" t="s">
        <v>1419</v>
      </c>
      <c r="D4" s="15" t="s">
        <v>1420</v>
      </c>
      <c r="E4" s="15" t="s">
        <v>1421</v>
      </c>
      <c r="F4" s="15" t="s">
        <v>1422</v>
      </c>
      <c r="G4" s="15" t="s">
        <v>1423</v>
      </c>
    </row>
    <row r="5" spans="1:7" ht="30.95">
      <c r="A5" s="13">
        <v>4</v>
      </c>
      <c r="B5" s="15" t="s">
        <v>1424</v>
      </c>
      <c r="C5" s="15" t="s">
        <v>1425</v>
      </c>
      <c r="D5" s="15" t="s">
        <v>1412</v>
      </c>
      <c r="E5" s="15" t="s">
        <v>1426</v>
      </c>
      <c r="F5" s="15" t="s">
        <v>1427</v>
      </c>
      <c r="G5" s="15"/>
    </row>
    <row r="6" spans="1:7" ht="46.5">
      <c r="A6" s="13">
        <v>5</v>
      </c>
      <c r="B6" s="15" t="s">
        <v>1428</v>
      </c>
      <c r="C6" s="15" t="s">
        <v>1429</v>
      </c>
      <c r="D6" s="15" t="s">
        <v>1412</v>
      </c>
      <c r="E6" s="15" t="s">
        <v>1430</v>
      </c>
      <c r="F6" s="15" t="s">
        <v>1431</v>
      </c>
      <c r="G6" s="15" t="s">
        <v>1432</v>
      </c>
    </row>
    <row r="7" spans="1:7" ht="46.5">
      <c r="A7" s="13">
        <v>6</v>
      </c>
      <c r="B7" s="14" t="s">
        <v>1410</v>
      </c>
      <c r="C7" s="14" t="s">
        <v>1411</v>
      </c>
      <c r="D7" s="14" t="s">
        <v>1412</v>
      </c>
      <c r="E7" s="15" t="s">
        <v>1413</v>
      </c>
      <c r="F7" s="15" t="s">
        <v>1414</v>
      </c>
      <c r="G7" s="15" t="s">
        <v>1415</v>
      </c>
    </row>
    <row r="8" spans="1:7" ht="46.5">
      <c r="A8" s="13">
        <v>7</v>
      </c>
      <c r="B8" s="16"/>
      <c r="C8" s="16"/>
      <c r="D8" s="16" t="s">
        <v>1416</v>
      </c>
      <c r="E8" s="15" t="s">
        <v>1417</v>
      </c>
      <c r="F8" s="15"/>
      <c r="G8" s="15"/>
    </row>
    <row r="9" spans="1:7" ht="30.95">
      <c r="A9" s="13">
        <v>8</v>
      </c>
      <c r="B9" s="15" t="s">
        <v>1418</v>
      </c>
      <c r="C9" s="15" t="s">
        <v>1419</v>
      </c>
      <c r="D9" s="15" t="s">
        <v>1420</v>
      </c>
      <c r="E9" s="15" t="s">
        <v>1421</v>
      </c>
      <c r="F9" s="15" t="s">
        <v>1422</v>
      </c>
      <c r="G9" s="15" t="s">
        <v>1423</v>
      </c>
    </row>
    <row r="10" spans="1:7" ht="57.95">
      <c r="A10" s="13">
        <v>9</v>
      </c>
      <c r="B10" s="17" t="s">
        <v>1433</v>
      </c>
      <c r="C10" s="17" t="s">
        <v>1434</v>
      </c>
      <c r="D10" s="17" t="s">
        <v>1435</v>
      </c>
      <c r="E10" s="17" t="s">
        <v>1436</v>
      </c>
      <c r="F10" s="17" t="s">
        <v>1437</v>
      </c>
    </row>
    <row r="11" spans="1:7" ht="77.45">
      <c r="A11" s="13">
        <v>10</v>
      </c>
      <c r="B11" s="15" t="s">
        <v>1438</v>
      </c>
      <c r="C11" s="15" t="s">
        <v>1439</v>
      </c>
      <c r="D11" s="15" t="s">
        <v>1440</v>
      </c>
      <c r="E11" s="15" t="s">
        <v>1441</v>
      </c>
      <c r="F11" s="15" t="s">
        <v>1442</v>
      </c>
      <c r="G11" s="15" t="s">
        <v>1443</v>
      </c>
    </row>
    <row r="12" spans="1:7" ht="116.1">
      <c r="B12" s="17" t="s">
        <v>1444</v>
      </c>
      <c r="C12" s="17" t="s">
        <v>1445</v>
      </c>
      <c r="D12" s="17" t="s">
        <v>1446</v>
      </c>
      <c r="E12" s="17" t="s">
        <v>1447</v>
      </c>
      <c r="F12" s="18" t="s">
        <v>1448</v>
      </c>
      <c r="G12" s="15"/>
    </row>
    <row r="13" spans="1:7" ht="43.5">
      <c r="B13" s="19" t="s">
        <v>1449</v>
      </c>
      <c r="C13" s="19" t="s">
        <v>1450</v>
      </c>
      <c r="D13" s="19" t="s">
        <v>1451</v>
      </c>
      <c r="E13" s="19" t="s">
        <v>1452</v>
      </c>
      <c r="F13" s="19" t="s">
        <v>1453</v>
      </c>
      <c r="G13" s="19" t="s">
        <v>1454</v>
      </c>
    </row>
    <row r="14" spans="1:7" ht="43.5">
      <c r="B14" s="9" t="s">
        <v>1455</v>
      </c>
      <c r="C14" s="9" t="s">
        <v>1456</v>
      </c>
      <c r="D14" s="9" t="s">
        <v>1457</v>
      </c>
      <c r="E14" s="9" t="s">
        <v>1458</v>
      </c>
      <c r="F14" s="9" t="s">
        <v>1459</v>
      </c>
      <c r="G14" s="15"/>
    </row>
    <row r="15" spans="1:7" ht="15.6">
      <c r="B15" s="15"/>
      <c r="C15" s="15"/>
      <c r="D15" s="15"/>
      <c r="E15" s="15"/>
      <c r="F15" s="15"/>
      <c r="G15" s="15"/>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
  <sheetViews>
    <sheetView zoomScaleNormal="30" workbookViewId="0">
      <selection sqref="A1:XFD1048576"/>
    </sheetView>
  </sheetViews>
  <sheetFormatPr defaultColWidth="9" defaultRowHeight="14.45"/>
  <cols>
    <col min="2" max="2" width="32" customWidth="1"/>
    <col min="3" max="3" width="33.5" customWidth="1"/>
    <col min="4" max="4" width="19.5" customWidth="1"/>
    <col min="5" max="5" width="31.5" customWidth="1"/>
    <col min="6" max="6" width="26.875" customWidth="1"/>
    <col min="7" max="7" width="28.5" customWidth="1"/>
  </cols>
  <sheetData>
    <row r="1" spans="1:7">
      <c r="A1" s="1" t="s">
        <v>0</v>
      </c>
      <c r="B1" s="1" t="s">
        <v>1</v>
      </c>
      <c r="C1" s="1" t="s">
        <v>2</v>
      </c>
      <c r="D1" s="2" t="s">
        <v>3</v>
      </c>
      <c r="E1" s="1" t="s">
        <v>4</v>
      </c>
      <c r="F1" s="3" t="s">
        <v>5</v>
      </c>
      <c r="G1" s="1" t="s">
        <v>6</v>
      </c>
    </row>
    <row r="2" spans="1:7" ht="62.1">
      <c r="A2">
        <v>1</v>
      </c>
      <c r="B2" s="4" t="s">
        <v>1460</v>
      </c>
      <c r="C2" s="5" t="s">
        <v>1461</v>
      </c>
      <c r="D2" s="6" t="s">
        <v>1462</v>
      </c>
      <c r="E2" s="7" t="s">
        <v>1463</v>
      </c>
      <c r="F2" t="s">
        <v>33</v>
      </c>
      <c r="G2" t="s">
        <v>33</v>
      </c>
    </row>
    <row r="3" spans="1:7" ht="46.5">
      <c r="A3">
        <v>2</v>
      </c>
      <c r="B3" s="4" t="s">
        <v>1464</v>
      </c>
      <c r="C3" s="5" t="s">
        <v>1465</v>
      </c>
      <c r="D3" s="6" t="s">
        <v>1462</v>
      </c>
      <c r="E3" s="5" t="s">
        <v>1466</v>
      </c>
      <c r="F3" t="s">
        <v>33</v>
      </c>
      <c r="G3" t="s">
        <v>33</v>
      </c>
    </row>
    <row r="4" spans="1:7" ht="46.5">
      <c r="A4">
        <v>3</v>
      </c>
      <c r="B4" s="8" t="s">
        <v>1467</v>
      </c>
      <c r="C4" s="5" t="s">
        <v>1468</v>
      </c>
      <c r="D4" s="6" t="s">
        <v>1462</v>
      </c>
      <c r="E4" s="7" t="s">
        <v>1469</v>
      </c>
      <c r="F4" t="s">
        <v>33</v>
      </c>
      <c r="G4" t="s">
        <v>33</v>
      </c>
    </row>
    <row r="5" spans="1:7" ht="46.5">
      <c r="A5">
        <v>4</v>
      </c>
      <c r="B5" s="8" t="s">
        <v>1470</v>
      </c>
      <c r="C5" s="5" t="s">
        <v>1471</v>
      </c>
      <c r="D5" s="6" t="s">
        <v>1462</v>
      </c>
      <c r="E5" s="5" t="s">
        <v>1472</v>
      </c>
      <c r="F5" s="9" t="s">
        <v>1473</v>
      </c>
      <c r="G5" t="s">
        <v>16</v>
      </c>
    </row>
    <row r="6" spans="1:7" ht="46.5">
      <c r="A6">
        <v>5</v>
      </c>
      <c r="B6" s="4" t="s">
        <v>1474</v>
      </c>
      <c r="C6" s="5" t="s">
        <v>1475</v>
      </c>
      <c r="D6" s="6" t="s">
        <v>1476</v>
      </c>
      <c r="E6" s="10" t="s">
        <v>1477</v>
      </c>
      <c r="F6" s="9" t="s">
        <v>33</v>
      </c>
    </row>
    <row r="7" spans="1:7" ht="43.5">
      <c r="A7">
        <v>6</v>
      </c>
      <c r="B7" s="11" t="s">
        <v>1478</v>
      </c>
      <c r="C7" s="5" t="s">
        <v>1479</v>
      </c>
      <c r="D7" s="9" t="s">
        <v>1480</v>
      </c>
      <c r="E7" s="9" t="s">
        <v>1477</v>
      </c>
      <c r="F7" s="9" t="s">
        <v>33</v>
      </c>
      <c r="G7" s="9" t="s">
        <v>33</v>
      </c>
    </row>
    <row r="8" spans="1:7" ht="62.1">
      <c r="A8">
        <v>7</v>
      </c>
      <c r="B8" s="12" t="s">
        <v>1481</v>
      </c>
      <c r="C8" s="5" t="s">
        <v>1482</v>
      </c>
      <c r="D8" s="9" t="s">
        <v>1480</v>
      </c>
      <c r="E8" s="7" t="s">
        <v>1483</v>
      </c>
      <c r="F8" s="9" t="s">
        <v>33</v>
      </c>
      <c r="G8" s="9" t="s">
        <v>33</v>
      </c>
    </row>
    <row r="9" spans="1:7" ht="43.5">
      <c r="A9">
        <v>8</v>
      </c>
      <c r="B9" s="12" t="s">
        <v>1484</v>
      </c>
      <c r="C9" s="5" t="s">
        <v>1485</v>
      </c>
      <c r="D9" s="9" t="s">
        <v>1480</v>
      </c>
      <c r="E9" s="5" t="s">
        <v>1486</v>
      </c>
      <c r="F9" s="9" t="s">
        <v>1400</v>
      </c>
      <c r="G9" s="9" t="s">
        <v>33</v>
      </c>
    </row>
    <row r="10" spans="1:7" ht="43.5">
      <c r="A10">
        <v>9</v>
      </c>
      <c r="B10" s="12" t="s">
        <v>1487</v>
      </c>
      <c r="C10" s="5" t="s">
        <v>1488</v>
      </c>
      <c r="D10" s="9" t="s">
        <v>1480</v>
      </c>
      <c r="E10" s="5" t="s">
        <v>1486</v>
      </c>
      <c r="F10" s="9" t="s">
        <v>1400</v>
      </c>
      <c r="G10" s="9" t="s">
        <v>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21bd304-a54e-439b-a9ba-31413026572b" xsi:nil="true"/>
    <lcf76f155ced4ddcb4097134ff3c332f xmlns="b13d5edd-c324-4cc7-96f8-eb6094d850cb">
      <Terms xmlns="http://schemas.microsoft.com/office/infopath/2007/PartnerControls"/>
    </lcf76f155ced4ddcb4097134ff3c332f>
    <_ApprovalAssignedTo xmlns="b13d5edd-c324-4cc7-96f8-eb6094d850cb">
      <UserInfo>
        <DisplayName/>
        <AccountId xsi:nil="true"/>
        <AccountType/>
      </UserInfo>
    </_ApprovalAssignedTo>
    <_ApprovalRespondedBy xmlns="b13d5edd-c324-4cc7-96f8-eb6094d850cb">
      <UserInfo>
        <DisplayName/>
        <AccountId xsi:nil="true"/>
        <AccountType/>
      </UserInfo>
    </_ApprovalRespondedBy>
    <_ApprovalStatus xmlns="b13d5edd-c324-4cc7-96f8-eb6094d850cb">0</_ApprovalStatus>
    <_ApprovalSentBy xmlns="b13d5edd-c324-4cc7-96f8-eb6094d850cb">
      <UserInfo>
        <DisplayName/>
        <AccountId xsi:nil="true"/>
        <AccountType/>
      </UserInfo>
    </_ApprovalSentBy>
    <STATUS xmlns="b13d5edd-c324-4cc7-96f8-eb6094d850cb" xsi:nil="true"/>
    <DATE xmlns="b13d5edd-c324-4cc7-96f8-eb6094d850c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3A50307184774BB7A9D49ED3BE5A05" ma:contentTypeVersion="18" ma:contentTypeDescription="Create a new document." ma:contentTypeScope="" ma:versionID="cebf06cfe1bc491528261ec5791327b7">
  <xsd:schema xmlns:xsd="http://www.w3.org/2001/XMLSchema" xmlns:xs="http://www.w3.org/2001/XMLSchema" xmlns:p="http://schemas.microsoft.com/office/2006/metadata/properties" xmlns:ns2="b13d5edd-c324-4cc7-96f8-eb6094d850cb" xmlns:ns3="c21bd304-a54e-439b-a9ba-31413026572b" targetNamespace="http://schemas.microsoft.com/office/2006/metadata/properties" ma:root="true" ma:fieldsID="0d095e353217eaeabbec79e46defccda" ns2:_="" ns3:_="">
    <xsd:import namespace="b13d5edd-c324-4cc7-96f8-eb6094d850cb"/>
    <xsd:import namespace="c21bd304-a54e-439b-a9ba-31413026572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_ApprovalAssignedTo" minOccurs="0"/>
                <xsd:element ref="ns2:_ApprovalRespondedBy" minOccurs="0"/>
                <xsd:element ref="ns2:_ApprovalSentBy" minOccurs="0"/>
                <xsd:element ref="ns2:_ApprovalStatus" minOccurs="0"/>
                <xsd:element ref="ns2:MediaLengthInSeconds" minOccurs="0"/>
                <xsd:element ref="ns2:STATUS"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3d5edd-c324-4cc7-96f8-eb6094d850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a725ea-f8e8-41c1-94f5-24b5de1ba31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pprovalAssignedTo" ma:index="19"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0"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1"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2" nillable="true" ma:displayName="Approval status" ma:internalName="_ApprovalStatus" ma:readOnly="true">
      <xsd:simpleType>
        <xsd:restriction base="dms:Unknown"/>
      </xsd:simpleType>
    </xsd:element>
    <xsd:element name="MediaLengthInSeconds" ma:index="23" nillable="true" ma:displayName="MediaLengthInSeconds" ma:hidden="true" ma:internalName="MediaLengthInSeconds" ma:readOnly="true">
      <xsd:simpleType>
        <xsd:restriction base="dms:Unknown"/>
      </xsd:simpleType>
    </xsd:element>
    <xsd:element name="STATUS" ma:index="24" nillable="true" ma:displayName="STATUS" ma:format="Dropdown" ma:internalName="STATUS">
      <xsd:simpleType>
        <xsd:restriction base="dms:Choice">
          <xsd:enumeration value="Pending"/>
          <xsd:enumeration value="Approved"/>
          <xsd:enumeration value="Rejected"/>
        </xsd:restriction>
      </xsd:simpleType>
    </xsd:element>
    <xsd:element name="DATE" ma:index="25"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21bd304-a54e-439b-a9ba-31413026572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06c5e0a-eadb-46cd-89a2-074f48e70ec6}" ma:internalName="TaxCatchAll" ma:showField="CatchAllData" ma:web="c21bd304-a54e-439b-a9ba-3141302657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459CB4-825C-4A23-AC29-6E79D72AA86B}"/>
</file>

<file path=customXml/itemProps2.xml><?xml version="1.0" encoding="utf-8"?>
<ds:datastoreItem xmlns:ds="http://schemas.openxmlformats.org/officeDocument/2006/customXml" ds:itemID="{BE4E7709-8947-4FBF-A0D2-07E67B303AB5}"/>
</file>

<file path=customXml/itemProps3.xml><?xml version="1.0" encoding="utf-8"?>
<ds:datastoreItem xmlns:ds="http://schemas.openxmlformats.org/officeDocument/2006/customXml" ds:itemID="{E22D9BB6-176F-4A41-ACF9-E1CEA70A3C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PVPMS</dc:creator>
  <cp:keywords/>
  <dc:description/>
  <cp:lastModifiedBy>pms Lagos</cp:lastModifiedBy>
  <cp:revision/>
  <dcterms:created xsi:type="dcterms:W3CDTF">2023-07-10T14:22:00Z</dcterms:created>
  <dcterms:modified xsi:type="dcterms:W3CDTF">2026-02-17T10:04:28Z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7DDC39907E2B4FF19DE73D18A70B9BEB</vt:lpwstr>
  </property>
  <property fmtid="{D5CDD505-2E9C-101B-9397-08002B2CF9AE}" pid="3" name="KSOProductBuildVer">
    <vt:lpwstr>1033-12.2.0.13431</vt:lpwstr>
  </property>
  <property fmtid="{D5CDD505-2E9C-101B-9397-08002B2CF9AE}" pid="4" name="ContentTypeId">
    <vt:lpwstr>0x010100163A50307184774BB7A9D49ED3BE5A05</vt:lpwstr>
  </property>
  <property fmtid="{D5CDD505-2E9C-101B-9397-08002B2CF9AE}" pid="5" name="MediaServiceImageTags">
    <vt:lpwstr/>
  </property>
</Properties>
</file>