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mc:AlternateContent xmlns:mc="http://schemas.openxmlformats.org/markup-compatibility/2006">
    <mc:Choice Requires="x15">
      <x15ac:absPath xmlns:x15ac="http://schemas.microsoft.com/office/spreadsheetml/2010/11/ac" url="https://nafdacng.sharepoint.com/sites/PMSLAGOS/Shared Documents/GSDP (GOOD STORAGE AND DISTRIBUTION PRACTICE)/2024/"/>
    </mc:Choice>
  </mc:AlternateContent>
  <xr:revisionPtr revIDLastSave="343" documentId="11_1C0302CD5E4D5E5F6EB0CCD21E1396354A218D57" xr6:coauthVersionLast="47" xr6:coauthVersionMax="47" xr10:uidLastSave="{1367CB19-E710-4BA1-912E-0B3F0C5E50A3}"/>
  <bookViews>
    <workbookView xWindow="-108" yWindow="-108" windowWidth="23256" windowHeight="13176" xr2:uid="{00000000-000D-0000-FFFF-FFFF00000000}"/>
  </bookViews>
  <sheets>
    <sheet name="INSPECTED FACILITIES 2024" sheetId="4" r:id="rId1"/>
    <sheet name="MARCH" sheetId="6" r:id="rId2"/>
    <sheet name="MAY" sheetId="7" r:id="rId3"/>
    <sheet name="AUGUST" sheetId="8" r:id="rId4"/>
    <sheet name="SEPTEMBER" sheetId="9" r:id="rId5"/>
    <sheet name="OCTOBER" sheetId="10" r:id="rId6"/>
    <sheet name="NOVEMBER" sheetId="11" r:id="rId7"/>
    <sheet name="DECEMBER" sheetId="12" r:id="rId8"/>
    <sheet name="VISUAL DATA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2" l="1"/>
  <c r="N4" i="12"/>
  <c r="K7" i="12"/>
  <c r="K6" i="12"/>
  <c r="K5" i="12"/>
  <c r="K4" i="12"/>
  <c r="N3" i="12"/>
  <c r="K3" i="12"/>
  <c r="N11" i="11"/>
  <c r="N10" i="11"/>
  <c r="N9" i="11"/>
  <c r="N8" i="11"/>
  <c r="N7" i="11"/>
  <c r="N6" i="11"/>
  <c r="N5" i="11"/>
  <c r="N4" i="11"/>
  <c r="N3" i="11"/>
  <c r="K11" i="11"/>
  <c r="K10" i="11"/>
  <c r="K9" i="11"/>
  <c r="K8" i="11"/>
  <c r="K7" i="11"/>
  <c r="K6" i="11"/>
  <c r="K5" i="11"/>
  <c r="K3" i="11"/>
  <c r="N3" i="10"/>
  <c r="N10" i="9"/>
  <c r="N9" i="9"/>
  <c r="N8" i="9"/>
  <c r="N7" i="9"/>
  <c r="N6" i="9"/>
  <c r="N5" i="9"/>
  <c r="N4" i="9"/>
  <c r="N3" i="9"/>
  <c r="K10" i="9"/>
  <c r="K9" i="9"/>
  <c r="K8" i="9"/>
  <c r="K7" i="9"/>
  <c r="K6" i="9"/>
  <c r="K5" i="9"/>
  <c r="K4" i="9"/>
  <c r="K3" i="9"/>
  <c r="N4" i="8"/>
  <c r="N5" i="8"/>
  <c r="N6" i="8"/>
  <c r="N7" i="8"/>
  <c r="N8" i="8"/>
  <c r="N9" i="8"/>
  <c r="N10" i="8"/>
  <c r="N11" i="8"/>
  <c r="N12" i="8"/>
  <c r="N3" i="8"/>
  <c r="K11" i="8"/>
  <c r="K10" i="8"/>
  <c r="K9" i="8"/>
  <c r="K8" i="8"/>
  <c r="K7" i="8"/>
  <c r="K6" i="8"/>
  <c r="K5" i="8"/>
  <c r="K4" i="8"/>
  <c r="K3" i="8"/>
  <c r="N4" i="7"/>
  <c r="N5" i="7"/>
  <c r="N6" i="7"/>
  <c r="N7" i="7"/>
  <c r="N8" i="7"/>
  <c r="N9" i="7"/>
  <c r="N10" i="7"/>
  <c r="N11" i="7"/>
  <c r="N12" i="7"/>
  <c r="N13" i="7"/>
  <c r="N3" i="7"/>
  <c r="K13" i="7"/>
  <c r="K11" i="7"/>
  <c r="K10" i="7"/>
  <c r="K9" i="7"/>
  <c r="K8" i="7"/>
  <c r="K7" i="7"/>
  <c r="K6" i="7"/>
  <c r="K5" i="7"/>
  <c r="K4" i="7"/>
  <c r="K3" i="7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3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O3" i="4"/>
  <c r="O5" i="4"/>
  <c r="E4" i="5"/>
  <c r="E5" i="5"/>
  <c r="E6" i="5"/>
  <c r="E7" i="5"/>
  <c r="E8" i="5"/>
  <c r="E9" i="5"/>
  <c r="E10" i="5"/>
  <c r="E11" i="5"/>
  <c r="E12" i="5"/>
  <c r="E13" i="5"/>
  <c r="E14" i="5"/>
  <c r="E3" i="5"/>
  <c r="G4" i="5"/>
  <c r="G5" i="5"/>
  <c r="G6" i="5"/>
  <c r="G7" i="5"/>
  <c r="G8" i="5"/>
  <c r="G9" i="5"/>
  <c r="G10" i="5"/>
  <c r="G11" i="5"/>
  <c r="G12" i="5"/>
  <c r="G13" i="5"/>
  <c r="G14" i="5"/>
  <c r="G3" i="5"/>
  <c r="F3" i="5"/>
  <c r="F4" i="5"/>
  <c r="F6" i="5"/>
  <c r="F7" i="5"/>
  <c r="F8" i="5"/>
  <c r="F9" i="5"/>
  <c r="F10" i="5"/>
  <c r="F11" i="5"/>
  <c r="F12" i="5"/>
  <c r="F13" i="5"/>
  <c r="F14" i="5"/>
  <c r="F5" i="5"/>
  <c r="D3" i="5"/>
  <c r="D4" i="5"/>
  <c r="D5" i="5"/>
  <c r="D6" i="5"/>
  <c r="D7" i="5"/>
  <c r="D8" i="5"/>
  <c r="D9" i="5"/>
  <c r="D10" i="5"/>
  <c r="D11" i="5"/>
  <c r="D12" i="5"/>
  <c r="D13" i="5"/>
  <c r="D14" i="5"/>
  <c r="C3" i="5"/>
  <c r="C4" i="5"/>
  <c r="C5" i="5"/>
  <c r="C6" i="5"/>
  <c r="C7" i="5"/>
  <c r="C8" i="5"/>
  <c r="C9" i="5"/>
  <c r="C10" i="5"/>
  <c r="C11" i="5"/>
  <c r="C12" i="5"/>
  <c r="C13" i="5"/>
  <c r="C14" i="5"/>
  <c r="B3" i="5"/>
  <c r="B4" i="5"/>
  <c r="B5" i="5"/>
  <c r="B6" i="5"/>
  <c r="B7" i="5"/>
  <c r="B8" i="5"/>
  <c r="B9" i="5"/>
  <c r="B10" i="5"/>
  <c r="B11" i="5"/>
  <c r="B12" i="5"/>
  <c r="B13" i="5"/>
  <c r="B14" i="5"/>
  <c r="O68" i="4"/>
  <c r="K68" i="4"/>
  <c r="O67" i="4"/>
  <c r="K67" i="4"/>
  <c r="O66" i="4"/>
  <c r="K66" i="4"/>
  <c r="O65" i="4"/>
  <c r="K65" i="4"/>
  <c r="O64" i="4"/>
  <c r="K64" i="4"/>
  <c r="O63" i="4"/>
  <c r="K63" i="4"/>
  <c r="K62" i="4"/>
  <c r="K61" i="4"/>
  <c r="O60" i="4"/>
  <c r="K60" i="4"/>
  <c r="O59" i="4"/>
  <c r="K59" i="4"/>
  <c r="O58" i="4"/>
  <c r="K58" i="4"/>
  <c r="O57" i="4"/>
  <c r="K57" i="4"/>
  <c r="O56" i="4"/>
  <c r="K56" i="4"/>
  <c r="O55" i="4"/>
  <c r="K55" i="4"/>
  <c r="O54" i="4"/>
  <c r="K54" i="4"/>
  <c r="O53" i="4"/>
  <c r="K53" i="4"/>
  <c r="O52" i="4"/>
  <c r="K52" i="4"/>
  <c r="O51" i="4"/>
  <c r="K51" i="4"/>
  <c r="O50" i="4"/>
  <c r="O49" i="4"/>
  <c r="K49" i="4"/>
  <c r="O48" i="4"/>
  <c r="O47" i="4"/>
  <c r="K47" i="4"/>
  <c r="O46" i="4"/>
  <c r="K46" i="4"/>
  <c r="O45" i="4"/>
  <c r="K45" i="4"/>
  <c r="O44" i="4"/>
  <c r="K44" i="4"/>
  <c r="O43" i="4"/>
  <c r="K43" i="4"/>
  <c r="O42" i="4"/>
  <c r="K42" i="4"/>
  <c r="O41" i="4"/>
  <c r="K41" i="4"/>
  <c r="O40" i="4"/>
  <c r="K40" i="4"/>
  <c r="O39" i="4"/>
  <c r="O38" i="4"/>
  <c r="K38" i="4"/>
  <c r="O37" i="4"/>
  <c r="K37" i="4"/>
  <c r="O36" i="4"/>
  <c r="K36" i="4"/>
  <c r="O35" i="4"/>
  <c r="K35" i="4"/>
  <c r="O34" i="4"/>
  <c r="K34" i="4"/>
  <c r="O33" i="4"/>
  <c r="K33" i="4"/>
  <c r="O32" i="4"/>
  <c r="K32" i="4"/>
  <c r="O31" i="4"/>
  <c r="K31" i="4"/>
  <c r="O30" i="4"/>
  <c r="K30" i="4"/>
  <c r="O29" i="4"/>
  <c r="K29" i="4"/>
  <c r="O28" i="4"/>
  <c r="O27" i="4"/>
  <c r="K27" i="4"/>
  <c r="O26" i="4"/>
  <c r="K26" i="4"/>
  <c r="O25" i="4"/>
  <c r="K25" i="4"/>
  <c r="O24" i="4"/>
  <c r="K24" i="4"/>
  <c r="O23" i="4"/>
  <c r="K23" i="4"/>
  <c r="O22" i="4"/>
  <c r="K22" i="4"/>
  <c r="O21" i="4"/>
  <c r="K21" i="4"/>
  <c r="O20" i="4"/>
  <c r="K20" i="4"/>
  <c r="O19" i="4"/>
  <c r="K19" i="4"/>
  <c r="O18" i="4"/>
  <c r="K18" i="4"/>
  <c r="O17" i="4"/>
  <c r="K17" i="4"/>
  <c r="O16" i="4"/>
  <c r="K16" i="4"/>
  <c r="O15" i="4"/>
  <c r="K15" i="4"/>
  <c r="O14" i="4"/>
  <c r="K14" i="4"/>
  <c r="O13" i="4"/>
  <c r="K13" i="4"/>
  <c r="O12" i="4"/>
  <c r="K12" i="4"/>
  <c r="O11" i="4"/>
  <c r="K11" i="4"/>
  <c r="O10" i="4"/>
  <c r="K10" i="4"/>
  <c r="O9" i="4"/>
  <c r="K9" i="4"/>
  <c r="O8" i="4"/>
  <c r="K8" i="4"/>
  <c r="O7" i="4"/>
  <c r="K7" i="4"/>
  <c r="O6" i="4"/>
  <c r="K6" i="4"/>
  <c r="K5" i="4"/>
  <c r="O4" i="4"/>
  <c r="K4" i="4"/>
  <c r="K3" i="4"/>
</calcChain>
</file>

<file path=xl/sharedStrings.xml><?xml version="1.0" encoding="utf-8"?>
<sst xmlns="http://schemas.openxmlformats.org/spreadsheetml/2006/main" count="1256" uniqueCount="354">
  <si>
    <t>GDP INSPECTION CLASSIFICATION DATABASE AS AT  2024</t>
  </si>
  <si>
    <t>S/N</t>
  </si>
  <si>
    <t>NAME OF MANUFACTURER</t>
  </si>
  <si>
    <t>LOCATION ADDRESS</t>
  </si>
  <si>
    <t>CONTACT</t>
  </si>
  <si>
    <t>TYPE OF LAST INSPECTION</t>
  </si>
  <si>
    <t>DATE OF LAST INSPECTION</t>
  </si>
  <si>
    <t>FINDINGS</t>
  </si>
  <si>
    <t xml:space="preserve">CAPA  ISSUED DATE </t>
  </si>
  <si>
    <t>CAPA SUBMITTED</t>
  </si>
  <si>
    <t>CONCLUSION</t>
  </si>
  <si>
    <t>REMARKS</t>
  </si>
  <si>
    <t>EXPECTED DATE OF INSPECTION</t>
  </si>
  <si>
    <t>Column1</t>
  </si>
  <si>
    <t>Column12</t>
  </si>
  <si>
    <t>Column2</t>
  </si>
  <si>
    <t xml:space="preserve">DI MAGGO PHARMACEUTICALS
</t>
  </si>
  <si>
    <t>1 Egbe Road Ikotun Lagos.</t>
  </si>
  <si>
    <t>Mr. Magnus Ekenyem,08037277196</t>
  </si>
  <si>
    <t>GDP</t>
  </si>
  <si>
    <t xml:space="preserve">Medium Risk </t>
  </si>
  <si>
    <t>28/05/24</t>
  </si>
  <si>
    <t>NO</t>
  </si>
  <si>
    <t>CAPA to be submitted</t>
  </si>
  <si>
    <t>https://nafdacng.sharepoint.com/sites/PMSLAGOS/Shared Documents/GDP (GOOD DISTRIBUTION PRATICE)/GSDP COMPANY FILES\DI-MAGGIO</t>
  </si>
  <si>
    <t>https://nafdacng.sharepoint.com/sites/PMSLAGOS/Shared Documents/GSDP (GOOD STORAGE AND DISTRIBUTION PRACTICE)/GSDP COMPANY FILES\DI-MAGGIO</t>
  </si>
  <si>
    <t xml:space="preserve">SONYDON AND SONS PHARM NIG. LTD
</t>
  </si>
  <si>
    <t xml:space="preserve">126, Egbe Road Beside Nepa  B/Stop Ejigbo Lagos State.
</t>
  </si>
  <si>
    <t>Mr. Sunday Igwe</t>
  </si>
  <si>
    <t>28/05/25</t>
  </si>
  <si>
    <t>https://nafdacng.sharepoint.com/sites/PMSLAGOS/Shared Documents/GDP (GOOD DISTRIBUTION PRATICE)/GSDP COMPANY FILES\SONYDON &amp; SON</t>
  </si>
  <si>
    <t>https://nafdacng.sharepoint.com/sites/PMSLAGOS/Shared Documents/GSDP (GOOD STORAGE AND DISTRIBUTION PRACTICE)/GSDP COMPANY FILES\SONYDON &amp; SON</t>
  </si>
  <si>
    <t xml:space="preserve">SOLOCHUCKS PHARMACEUTICALS
</t>
  </si>
  <si>
    <t xml:space="preserve">8 Alli Dogo Street, Badia, Ijora Lagos State.
</t>
  </si>
  <si>
    <t>Pharm. Okolie Adolphus,07063390356</t>
  </si>
  <si>
    <t>28/05/26</t>
  </si>
  <si>
    <t>https://nafdacng.sharepoint.com/sites/PMSLAGOS/Shared Documents/GDP (GOOD DISTRIBUTION PRATICE)/GSDP COMPANY FILES\SOLOCHUKS PHARM</t>
  </si>
  <si>
    <t>https://nafdacng.sharepoint.com/sites/PMSLAGOS/Shared Documents/GSDP (GOOD STORAGE AND DISTRIBUTION PRACTICE)/GSDP COMPANY FILES\SOLOCHUKS PHARM</t>
  </si>
  <si>
    <t xml:space="preserve">SLOCHARS PHARMACEUTICALS
</t>
  </si>
  <si>
    <t xml:space="preserve">49 Coker Road Orile Coker Lagos State.
</t>
  </si>
  <si>
    <t>Mr. Damilare Dawodu,08033359934</t>
  </si>
  <si>
    <t>20/3/24</t>
  </si>
  <si>
    <t>https://nafdacng.sharepoint.com/sites/PMSLAGOS/Shared Documents/GDP (GOOD DISTRIBUTION PRATICE)/GSDP COMPANY FILES\SLOCHARS PHARM</t>
  </si>
  <si>
    <t>https://nafdacng.sharepoint.com/sites/PMSLAGOS/Shared Documents/GSDP (GOOD STORAGE AND DISTRIBUTION PRACTICE)/GSDP COMPANY FILES\SLOCHARS PHARM</t>
  </si>
  <si>
    <t>GRACEJOHNSON LIMITED</t>
  </si>
  <si>
    <t xml:space="preserve">448, OLD OJO ROAD, SATELLITE TOWN LAGOS
</t>
  </si>
  <si>
    <t>Offia Justina O.,08094579401</t>
  </si>
  <si>
    <t>https://nafdacng.sharepoint.com/sites/PMSLAGOS/Shared Documents/GDP (GOOD DISTRIBUTION PRATICE)/GSDP COMPANY FILES\GRACE JOHNSON LTD</t>
  </si>
  <si>
    <t>https://nafdacng.sharepoint.com/sites/PMSLAGOS/Shared Documents/GSDP (GOOD STORAGE AND DISTRIBUTION PRACTICE)/GSDP COMPANY FILES\GRACE JOHNSON LTD</t>
  </si>
  <si>
    <t>EL-NOSCO PHARMACY</t>
  </si>
  <si>
    <t xml:space="preserve">62, EKORO ROAD, ABULE-EGBA LAGOS
</t>
  </si>
  <si>
    <t>Pharm Ifeoma Nkemdilim,07031553339</t>
  </si>
  <si>
    <t>https://nafdacng.sharepoint.com/sites/PMSLAGOS/Shared Documents/GDP (GOOD DISTRIBUTION PRATICE)/GSDP COMPANY FILES\EL-NOSCO PHARM</t>
  </si>
  <si>
    <t>https://nafdacng.sharepoint.com/sites/PMSLAGOS/Shared Documents/GSDP (GOOD STORAGE AND DISTRIBUTION PRACTICE)/GSDP COMPANY FILES\EL-NOSCO PHARM</t>
  </si>
  <si>
    <t>S. UMUNNA PHARMACEUTICALS</t>
  </si>
  <si>
    <t xml:space="preserve">26, MEIRAN RD., MEIRAN LAGOS
</t>
  </si>
  <si>
    <t>Pharm Agubor Stantely,08062585880</t>
  </si>
  <si>
    <t>https://nafdacng.sharepoint.com/sites/PMSLAGOS/Shared Documents/GDP (GOOD DISTRIBUTION PRATICE)/GSDP COMPANY FILES\S. UMUNNA PHARM</t>
  </si>
  <si>
    <t>https://nafdacng.sharepoint.com/sites/PMSLAGOS/Shared Documents/GSDP (GOOD STORAGE AND DISTRIBUTION PRACTICE)/GSDP COMPANY FILES\S. UMUNNA PHARM</t>
  </si>
  <si>
    <t>TONIVIC PHARMACY</t>
  </si>
  <si>
    <t>18, DEMURIN STREET, KETU LAGOS</t>
  </si>
  <si>
    <t>Anita Chiwendu,09083549449</t>
  </si>
  <si>
    <t>28/3/24</t>
  </si>
  <si>
    <t>https://nafdacng.sharepoint.com/sites/PMSLAGOS/Shared Documents/GDP (GOOD DISTRIBUTION PRATICE)/GSDP COMPANY FILES\TONIVIC</t>
  </si>
  <si>
    <t>https://nafdacng.sharepoint.com/sites/PMSLAGOS/Shared Documents/GSDP (GOOD STORAGE AND DISTRIBUTION PRACTICE)/GSDP COMPANY FILES\TONIVIC</t>
  </si>
  <si>
    <t>JOEBIZ PHARMACY</t>
  </si>
  <si>
    <t xml:space="preserve">26, Odugate Street, Ikorudu road, Lagos.
</t>
  </si>
  <si>
    <t>Pharm. Edeh Gift,'07034630536</t>
  </si>
  <si>
    <t>https://nafdacng.sharepoint.com/sites/PMSLAGOS/Shared Documents/GDP (GOOD DISTRIBUTION PRATICE)/GSDP COMPANY FILES\JOEBIZ PHARMACY</t>
  </si>
  <si>
    <t>https://nafdacng.sharepoint.com/sites/PMSLAGOS/Shared Documents/GSDP (GOOD STORAGE AND DISTRIBUTION PRACTICE)/GSDP COMPANY FILES\JOEBIZ PHARMACY</t>
  </si>
  <si>
    <t>GOODCARE PHARMACEUTICALS LTD (CAPA)</t>
  </si>
  <si>
    <t>111 ISAWO ROAD, AGRIC IKORODU LAGOS</t>
  </si>
  <si>
    <t>CAPA</t>
  </si>
  <si>
    <t>YES</t>
  </si>
  <si>
    <t>CAPA Submitted</t>
  </si>
  <si>
    <t>https://nafdacng.sharepoint.com/sites/PMSLAGOS/Shared Documents/GDP (GOOD DISTRIBUTION PRATICE)/GSDP COMPANY FILES\GOODCARE</t>
  </si>
  <si>
    <t>https://nafdacng.sharepoint.com/sites/PMSLAGOS/Shared Documents/GSDP (GOOD STORAGE AND DISTRIBUTION PRACTICE)/GSDP COMPANY FILES\GOODCARE</t>
  </si>
  <si>
    <t>RALPHONES PHARMACEUTICAL (CAPA)</t>
  </si>
  <si>
    <t>1 Ralphone Lane,Irawo ajegunle,ikorodu,Lagos</t>
  </si>
  <si>
    <t>28/5/2024</t>
  </si>
  <si>
    <t>https://nafdacng.sharepoint.com/sites/PMSLAGOS/Shared Documents/GDP (GOOD DISTRIBUTION PRATICE)/GSDP COMPANY FILES\RALPHONES PHARMACEUTICAL LTD</t>
  </si>
  <si>
    <t>https://nafdacng.sharepoint.com/sites/PMSLAGOS/Shared Documents/GSDP (GOOD STORAGE AND DISTRIBUTION PRACTICE)/GSDP COMPANY FILES\RALPHONES PHARMACEUTICAL LTD</t>
  </si>
  <si>
    <t>ROYAL PRIESTHOOD LAB LTD.</t>
  </si>
  <si>
    <t>3, ERULE OLABO STR., ODONLA ODONGUNYAN, IKORODU LAGOS</t>
  </si>
  <si>
    <t>Olufunsho Okunewo,08033512909</t>
  </si>
  <si>
    <t>https://nafdacng.sharepoint.com/:f:/s/PMSLAGOS/IgA0Jl4IY1vDR7iQOT0MDq3TAUynKViboBPDh_ABRHjR7sQ?e=A8QmxD</t>
  </si>
  <si>
    <t>MIVERO PHARM LTD (CAPA)</t>
  </si>
  <si>
    <t xml:space="preserve">244,AGEGE MOTOR ROAD, MUSHIN LAGOS </t>
  </si>
  <si>
    <t xml:space="preserve">Low Risk </t>
  </si>
  <si>
    <t>https://nafdacng.sharepoint.com/sites/PMSLAGOS/Shared Documents/GDP (GOOD DISTRIBUTION PRATICE)/GSDP COMPANY FILES\MIVERO PHARM</t>
  </si>
  <si>
    <t>https://nafdacng.sharepoint.com/sites/PMSLAGOS/Shared Documents/GSDP (GOOD STORAGE AND DISTRIBUTION PRACTICE)/GSDP COMPANY FILES\MIVERO PHARM</t>
  </si>
  <si>
    <t>SEC PHARMACY</t>
  </si>
  <si>
    <t xml:space="preserve">135, ITIRE-IJESHA ROAD, SURULERE LAGOS
</t>
  </si>
  <si>
    <t xml:space="preserve">Pharm Kehinde,'08034760477 </t>
  </si>
  <si>
    <t>https://nafdacng.sharepoint.com/sites/PMSLAGOS/Shared Documents/GDP (GOOD DISTRIBUTION PRATICE)/GSDP COMPANY FILES\SEC PHARMACEUTICAL</t>
  </si>
  <si>
    <t>https://nafdacng.sharepoint.com/sites/PMSLAGOS/Shared Documents/GSDP (GOOD STORAGE AND DISTRIBUTION PRACTICE)/GSDP COMPANY FILES\SEC PHARMACEUTICAL</t>
  </si>
  <si>
    <t>FEDESON PHARMACY</t>
  </si>
  <si>
    <t>147, IJESHA RD., IJESHA LAGOS</t>
  </si>
  <si>
    <t>Pharm Ifeyinwa Morah,09053039212</t>
  </si>
  <si>
    <t>https://nafdacng.sharepoint.com/sites/PMSLAGOS/Shared Documents/GDP (GOOD DISTRIBUTION PRATICE)/GSDP COMPANY FILES\FEDESON PHARM</t>
  </si>
  <si>
    <t>https://nafdacng.sharepoint.com/sites/PMSLAGOS/Shared Documents/GSDP (GOOD STORAGE AND DISTRIBUTION PRACTICE)/GSDP COMPANY FILES\FEDESON PHARM</t>
  </si>
  <si>
    <t>ALATRA PHARMACEUTICALS (CAPA)</t>
  </si>
  <si>
    <t>7,0RIYOMI STREET,OFF KODESOH STREET,IKEJA</t>
  </si>
  <si>
    <t>Nriagu Pius,08023545633</t>
  </si>
  <si>
    <t>29/05/24</t>
  </si>
  <si>
    <t>https://nafdacng.sharepoint.com/:f:/s/PMSLAGOS/IgDEREDujMUYRZhkrewJEPixAbYbfZ1LbL8qianGZ-plcdU?e=WqHder</t>
  </si>
  <si>
    <t>EZE-SUNICH PHARMACY</t>
  </si>
  <si>
    <t>207, SHIBIRI ROAD, SHIBIRI, EKUNPA</t>
  </si>
  <si>
    <t>Amara Okoye'08063788228</t>
  </si>
  <si>
    <t>https://nafdacng.sharepoint.com/sites/PMSLAGOS/Shared Documents/GDP (GOOD DISTRIBUTION PRATICE)/GSDP COMPANY FILES\EZE-SUNICH PHARM</t>
  </si>
  <si>
    <t>https://nafdacng.sharepoint.com/sites/PMSLAGOS/Shared Documents/GSDP (GOOD STORAGE AND DISTRIBUTION PRACTICE)/GSDP COMPANY FILES\EZE-SUNICH PHARM</t>
  </si>
  <si>
    <t>JOMEC PHARM CO.LTD</t>
  </si>
  <si>
    <t xml:space="preserve">865 SURULERE STREET DOPEMU LAGOS
</t>
  </si>
  <si>
    <t>Mr. Ifeanyi Okafor,8033453140</t>
  </si>
  <si>
    <t>21/5/24</t>
  </si>
  <si>
    <t xml:space="preserve">CHUPET PHARMACEUTICAL
</t>
  </si>
  <si>
    <t xml:space="preserve">18/20 OGUNGBESAN STREET COKER SURULERE LAGOS
</t>
  </si>
  <si>
    <t>Pharm. Ngozi Ata,08034028483</t>
  </si>
  <si>
    <t>CAPA  submitted</t>
  </si>
  <si>
    <t>https://nafdacng.sharepoint.com/sites/PMSLAGOS/Shared Documents/GDP (GOOD DISTRIBUTION PRATICE)/GSDP COMPANY FILES\CHUPET PHARMACEUTICALS</t>
  </si>
  <si>
    <t>https://nafdacng.sharepoint.com/sites/PMSLAGOS/Shared Documents/GSDP (GOOD STORAGE AND DISTRIBUTION PRACTICE)/GSDP COMPANY FILES\CHUPET PHARMACEUTICALS</t>
  </si>
  <si>
    <t>SPINE PRODUCT LTD</t>
  </si>
  <si>
    <t>24 AYODELE OKEOWO STREET SOLUYI GBAGADA LAGOS</t>
  </si>
  <si>
    <t>Pharm. Dominica Chiamaka Emezirinwanne,08030998612</t>
  </si>
  <si>
    <t>29/5/24</t>
  </si>
  <si>
    <t>https://nafdacng.sharepoint.com/sites/PMSLAGOS/Shared Documents/GDP (GOOD DISTRIBUTION PRATICE)/GSDP COMPANY FILES\SPINE PRODUCT LTD</t>
  </si>
  <si>
    <t>https://nafdacng.sharepoint.com/sites/PMSLAGOS/Shared Documents/GSDP (GOOD STORAGE AND DISTRIBUTION PRACTICE)/GSDP COMPANY FILES\SPINE PRODUCT LTD</t>
  </si>
  <si>
    <t>HOLY TRINTY PHARMACY</t>
  </si>
  <si>
    <t>12/19 ABULE ADALOKO ROAD ABULE-ERA OJO LAGOS</t>
  </si>
  <si>
    <t>Pharm Tina Agbada</t>
  </si>
  <si>
    <t>29/11/24</t>
  </si>
  <si>
    <t>https://nafdacng.sharepoint.com/sites/PMSLAGOS/Shared Documents/GDP (GOOD DISTRIBUTION PRATICE)/GSDP COMPANY FILES\HOLY TRINTY PHARM</t>
  </si>
  <si>
    <t>https://nafdacng.sharepoint.com/sites/PMSLAGOS/Shared Documents/GSDP (GOOD STORAGE AND DISTRIBUTION PRACTICE)/GSDP COMPANY FILES\HOLY TRINTY PHARM</t>
  </si>
  <si>
    <t>J.O SARCHMORE PHARMACY</t>
  </si>
  <si>
    <t>118 OLD LAGOS ROAD DEPPER LIFE BIBLE CHURCH AJARA BADAGRY LAGOS</t>
  </si>
  <si>
    <t>Orejekwe Joseph,08146180819</t>
  </si>
  <si>
    <t>https://nafdacng.sharepoint.com/sites/PMSLAGOS/Shared Documents/GDP (GOOD DISTRIBUTION PRATICE)/GSDP COMPANY FILES\J.O SARCHMORE PHARM</t>
  </si>
  <si>
    <t>https://nafdacng.sharepoint.com/sites/PMSLAGOS/Shared Documents/GSDP (GOOD STORAGE AND DISTRIBUTION PRACTICE)/GSDP COMPANY FILES\J.O SARCHMORE PHARM</t>
  </si>
  <si>
    <t>SUNLIGHT LINKS PHARMACY LTD</t>
  </si>
  <si>
    <t>135 BORNO WAY EBUTA-METTA LAGOS</t>
  </si>
  <si>
    <t>Pharm. Olajide Omilana,07036693454</t>
  </si>
  <si>
    <t>https://nafdacng.sharepoint.com/sites/PMSLAGOS/Shared Documents/GDP (GOOD DISTRIBUTION PRATICE)/GSDP COMPANY FILES\SUNLIGHT LINK PHARMACY</t>
  </si>
  <si>
    <t>https://nafdacng.sharepoint.com/sites/PMSLAGOS/Shared Documents/GSDP (GOOD STORAGE AND DISTRIBUTION PRACTICE)/GSDP COMPANY FILES\SUNLIGHT LINK PHARMACY</t>
  </si>
  <si>
    <t>AL-TINEZ PHARMACEUTICALS</t>
  </si>
  <si>
    <t>18 JONES STREET EBUTE-METTA LAGOS</t>
  </si>
  <si>
    <t>Pharm. Eze Gift Laz,09033777367</t>
  </si>
  <si>
    <t>https://nafdacng.sharepoint.com/sites/PMSLAGOS/Shared Documents/GDP (GOOD DISTRIBUTION PRATICE)/GSDP COMPANY FILES\AL-TINEZ PHARMA. LTD</t>
  </si>
  <si>
    <t>https://nafdacng.sharepoint.com/sites/PMSLAGOS/Shared Documents/GSDP (GOOD STORAGE AND DISTRIBUTION PRACTICE)/GSDP COMPANY FILES\AL-TINEZ PHARMA. LTD</t>
  </si>
  <si>
    <t>ROCA PHARMACEUTICAL</t>
  </si>
  <si>
    <t>324 IJU-ISHAGA ROAD IJU LAGOS</t>
  </si>
  <si>
    <t>Pharm. Onyekachi Udeogu,08038569395</t>
  </si>
  <si>
    <t>EMBASSY PHARMACEUTICALS (CAPA)</t>
  </si>
  <si>
    <t>41,Ademola Street,Off Obafemi Awolowo Road,Ikoyi,Lagos state</t>
  </si>
  <si>
    <t>N/A</t>
  </si>
  <si>
    <t>CONTINOUS MONITORING TO ENSURE COMPLIANCE</t>
  </si>
  <si>
    <t>https://nafdacng.sharepoint.com/sites/PMSLAGOS/Shared Documents/GDP (GOOD DISTRIBUTION PRATICE)/GSDP COMPANY FILES\EMBASSY PHARM</t>
  </si>
  <si>
    <t>https://nafdacng.sharepoint.com/sites/PMSLAGOS/Shared Documents/GSDP (GOOD STORAGE AND DISTRIBUTION PRACTICE)/GSDP COMPANY FILES\EMBASSY PHARM</t>
  </si>
  <si>
    <t>HILLY PHARMACY</t>
  </si>
  <si>
    <t>2 0DO OBALENDE LAGSO STATE</t>
  </si>
  <si>
    <t>Ogwe Chukwuemeka,08065263178</t>
  </si>
  <si>
    <t>https://nafdacng.sharepoint.com/sites/PMSLAGOS/Shared Documents/GDP (GOOD DISTRIBUTION PRATICE)/GSDP COMPANY FILES\HILLY PHARMACY</t>
  </si>
  <si>
    <t>https://nafdacng.sharepoint.com/sites/PMSLAGOS/Shared Documents/GSDP (GOOD STORAGE AND DISTRIBUTION PRACTICE)/GSDP COMPANY FILES\HILLY PHARMACY</t>
  </si>
  <si>
    <t>ZADIP PHARMA NIG. LTD</t>
  </si>
  <si>
    <t>68B, COKER ROAD, ILUPEJU</t>
  </si>
  <si>
    <t xml:space="preserve"> Odugbesan Esther; 08023279017</t>
  </si>
  <si>
    <t>https://nafdacng.sharepoint.com/sites/PMSLAGOS/Shared Documents/GDP (GOOD DISTRIBUTION PRATICE)/GSDP COMPANY FILES\ZADIP PHARMA</t>
  </si>
  <si>
    <t>https://nafdacng.sharepoint.com/sites/PMSLAGOS/Shared Documents/GSDP (GOOD STORAGE AND DISTRIBUTION PRACTICE)/GSDP COMPANY FILES\ZADIP PHARMA</t>
  </si>
  <si>
    <t>UNIQUE PHARM LTD</t>
  </si>
  <si>
    <t>3, BLIND CENTRE ROAD, OSHODI-MUSHIN</t>
  </si>
  <si>
    <t>Pharm. Titus Udoh 08034022402</t>
  </si>
  <si>
    <t>15/08/24</t>
  </si>
  <si>
    <t>https://nafdacng.sharepoint.com/sites/PMSLAGOS/Shared Documents/GDP (GOOD DISTRIBUTION PRATICE)/GSDP COMPANY FILES\UNIQUE PHARMACEUTICALS</t>
  </si>
  <si>
    <t>https://nafdacng.sharepoint.com/sites/PMSLAGOS/Shared Documents/GSDP (GOOD STORAGE AND DISTRIBUTION PRACTICE)/GSDP COMPANY FILES\UNIQUE PHARMACEUTICALS</t>
  </si>
  <si>
    <t>GENERICS &amp; SPECIALITIES LTD</t>
  </si>
  <si>
    <t>9, Dave Anazodo street, Behind Eleganza Company, Ajao Estate, Isolo.</t>
  </si>
  <si>
    <t>Pharm. Cyril Odidika 08033344839</t>
  </si>
  <si>
    <t>27/08/24</t>
  </si>
  <si>
    <t>DONE</t>
  </si>
  <si>
    <t>https://nafdacng.sharepoint.com/sites/PMSLAGOS/Shared Documents/GDP (GOOD DISTRIBUTION PRATICE)/GSDP COMPANY FILES\GENERICS &amp; SPECIALITIES</t>
  </si>
  <si>
    <t xml:space="preserve">INTERPHARM GMBH </t>
  </si>
  <si>
    <r>
      <t>11A, John Olugbo Street, Ikeja</t>
    </r>
    <r>
      <rPr>
        <b/>
        <sz val="12"/>
        <color theme="1"/>
        <rFont val="Times New Roman"/>
        <family val="1"/>
      </rPr>
      <t xml:space="preserve">, </t>
    </r>
    <r>
      <rPr>
        <sz val="12"/>
        <color theme="1"/>
        <rFont val="Times New Roman"/>
        <family val="1"/>
      </rPr>
      <t>Lagos</t>
    </r>
    <r>
      <rPr>
        <b/>
        <sz val="12"/>
        <color theme="1"/>
        <rFont val="Times New Roman"/>
        <family val="1"/>
      </rPr>
      <t xml:space="preserve">                               </t>
    </r>
  </si>
  <si>
    <t>NO CAPA</t>
  </si>
  <si>
    <t>https://nafdacng.sharepoint.com/sites/PMSLAGOS/Shared Documents/GDP (GOOD DISTRIBUTION PRATICE)/GSDP COMPANY FILES\INTERPHARM GMBH</t>
  </si>
  <si>
    <t>https://nafdacng.sharepoint.com/sites/PMSLAGOS/Shared Documents/GSDP (GOOD STORAGE AND DISTRIBUTION PRACTICE)/GSDP COMPANY FILES\INTERPHARM GMBH</t>
  </si>
  <si>
    <t>AWARD GLOBAL COMPANY LTD (CAPA)</t>
  </si>
  <si>
    <t>13, Olawole Dawodu street, Gbagada</t>
  </si>
  <si>
    <t>Pharm Abel Okechukwu 08065139057</t>
  </si>
  <si>
    <t>15/0824</t>
  </si>
  <si>
    <t>CAPA submitted</t>
  </si>
  <si>
    <t>https://nafdacng.sharepoint.com/sites/PMSLAGOS/Shared Documents/GDP (GOOD DISTRIBUTION PRATICE)/GSDP COMPANY FILES\AWARD GLOBAL</t>
  </si>
  <si>
    <t>https://nafdacng.sharepoint.com/sites/PMSLAGOS/Shared Documents/GSDP (GOOD STORAGE AND DISTRIBUTION PRACTICE)/GSDP COMPANY FILES\AWARD GLOBAL</t>
  </si>
  <si>
    <t xml:space="preserve">MARCSON HEALTHCARE </t>
  </si>
  <si>
    <t>29, Agric Road, Cele Bus-stop, isawo, Ikorodu.</t>
  </si>
  <si>
    <t>Pharm. Femi Abolarin 08037149817</t>
  </si>
  <si>
    <t>20/08/24</t>
  </si>
  <si>
    <t>https://nafdacng.sharepoint.com/sites/PMSLAGOS/Shared Documents/GDP (GOOD DISTRIBUTION PRATICE)/GSDP COMPANY FILES\MARCSON HEALTHCARE</t>
  </si>
  <si>
    <t>https://nafdacng.sharepoint.com/sites/PMSLAGOS/Shared Documents/GSDP (GOOD STORAGE AND DISTRIBUTION PRACTICE)/GSDP COMPANY FILES\MARCSON HEALTHCARE</t>
  </si>
  <si>
    <t xml:space="preserve">PHARMAMAX NIGERIA LTD </t>
  </si>
  <si>
    <t>7/9 Sawyer Crescent, Phase 1, Gbagada</t>
  </si>
  <si>
    <t>Pharm Okoye Martha 07036263207</t>
  </si>
  <si>
    <t>https://nafdacng.sharepoint.com/sites/PMSLAGOS/Shared Documents/GDP (GOOD DISTRIBUTION PRATICE)/GSDP COMPANY FILES/PHARMAMAX NIG. LTD</t>
  </si>
  <si>
    <t>https://nafdacng.sharepoint.com/sites/PMSLAGOS/Shared Documents/GSDP (GOOD STORAGE AND DISTRIBUTION PRACTICE)/GSDP COMPANY FILES/PHARMAMAX NIG. LTD</t>
  </si>
  <si>
    <t>INTERPHARMA INDUSTRIES LTD</t>
  </si>
  <si>
    <t>28/30 Salvation Road, Opebi, Ikeja</t>
  </si>
  <si>
    <t>Pharm Adeyinka Benson</t>
  </si>
  <si>
    <t>16/08/24</t>
  </si>
  <si>
    <t>https://nafdacng.sharepoint.com/sites/PMSLAGOS/Shared Documents/GDP (GOOD DISTRIBUTION PRATICE)/GSDP COMPANY FILES/INTERPHARM GMBH</t>
  </si>
  <si>
    <t>https://nafdacng.sharepoint.com/sites/PMSLAGOS/Shared Documents/GSDP (GOOD STORAGE AND DISTRIBUTION PRACTICE)/GSDP COMPANY FILES/INTERPHARM GMBH</t>
  </si>
  <si>
    <t>KCH CONSUMER HEALTHCARE LTD</t>
  </si>
  <si>
    <t>23B, Kwame Nkrumah Crown Estate, Lekki-Epe Expressway, Lagos State.</t>
  </si>
  <si>
    <t>Pharm Chris Ukah 08032317625</t>
  </si>
  <si>
    <t>21/08/24</t>
  </si>
  <si>
    <t>https://nafdacng.sharepoint.com/sites/PMSLAGOS/Shared Documents/GDP (GOOD DISTRIBUTION PRATICE)/GSDP COMPANY FILES\KCH CONSUMER</t>
  </si>
  <si>
    <t>https://nafdacng.sharepoint.com/sites/PMSLAGOS/Shared Documents/GSDP (GOOD STORAGE AND DISTRIBUTION PRACTICE)/GSDP COMPANY FILES\KCH CONSUMER</t>
  </si>
  <si>
    <t>XCEL PHARMA LTD</t>
  </si>
  <si>
    <t>9, Olowogbomu street, Ilupeju, Lagos</t>
  </si>
  <si>
    <t>Pharm Steve Okonkwo 08023077320</t>
  </si>
  <si>
    <t>REMINDER LETTER</t>
  </si>
  <si>
    <t>https://nafdacng.sharepoint.com/sites/PMSLAGOS/Shared Documents/GDP (GOOD DISTRIBUTION PRATICE)/GSDP COMPANY FILES\XCEL PHARMA</t>
  </si>
  <si>
    <t>https://nafdacng.sharepoint.com/sites/PMSLAGOS/Shared Documents/GSDP (GOOD STORAGE AND DISTRIBUTION PRACTICE)/GSDP COMPANY FILES\XCEL PHARMA</t>
  </si>
  <si>
    <t>MEDVACC PHARMACY LTD</t>
  </si>
  <si>
    <t>16, Karimu Kotun Street, Victoria Island</t>
  </si>
  <si>
    <t>Gbone Ihukwe 08022245920</t>
  </si>
  <si>
    <t>19/09/24</t>
  </si>
  <si>
    <t>https://nafdacng.sharepoint.com/sites/PMSLAGOS/Shared Documents/GDP (GOOD DISTRIBUTION PRATICE)/GSDP COMPANY FILES\MEDVACC PHARMACY</t>
  </si>
  <si>
    <t>https://nafdacng.sharepoint.com/sites/PMSLAGOS/Shared Documents/GSDP (GOOD STORAGE AND DISTRIBUTION PRACTICE)/GSDP COMPANY FILES\MEDVACC PHARMACY</t>
  </si>
  <si>
    <t>VACCIPHARM LTD (CAPA)</t>
  </si>
  <si>
    <t>30, Raymond Njoku, Ikoyi, Lagos</t>
  </si>
  <si>
    <t>Pharm. Fdekemi Adeyemi 0809455315</t>
  </si>
  <si>
    <t>https://nafdacng.sharepoint.com/sites/PMSLAGOS/Shared Documents/GDP (GOOD DISTRIBUTION PRATICE)/GSDP COMPANY FILES\VACCI PHARM</t>
  </si>
  <si>
    <t>https://nafdacng.sharepoint.com/sites/PMSLAGOS/Shared Documents/GSDP (GOOD STORAGE AND DISTRIBUTION PRACTICE)/GSDP COMPANY FILES\VACCI PHARM</t>
  </si>
  <si>
    <t>PLACEWARE NIG. LTD</t>
  </si>
  <si>
    <t>64, Aina street, Ojodu beside trinity school, Lagos.</t>
  </si>
  <si>
    <t>Pharm. Idowu Akinola 08023246113</t>
  </si>
  <si>
    <t>18/09/24</t>
  </si>
  <si>
    <t>https://nafdacng.sharepoint.com/sites/PMSLAGOS/Shared Documents/GDP (GOOD DISTRIBUTION PRATICE)/GSDP COMPANY FILES\PLACEWARE NIG LTD</t>
  </si>
  <si>
    <t>https://nafdacng.sharepoint.com/sites/PMSLAGOS/Shared Documents/GSDP (GOOD STORAGE AND DISTRIBUTION PRACTICE)/GSDP COMPANY FILES\PLACEWARE NIG LTD</t>
  </si>
  <si>
    <t xml:space="preserve">SUMMIT HEALTHCARE PHARMACEUTICAL </t>
  </si>
  <si>
    <t>27, Isaac John street, GRA, Ikeja, Lagos</t>
  </si>
  <si>
    <t>Ogugua Benaiah 08037119762</t>
  </si>
  <si>
    <t>https://nafdacng.sharepoint.com/sites/PMSLAGOS/Shared Documents/GDP (GOOD DISTRIBUTION PRATICE)/GSDP COMPANY FILES\SUMMIT HEALTHCARE</t>
  </si>
  <si>
    <t>https://nafdacng.sharepoint.com/sites/PMSLAGOS/Shared Documents/GSDP (GOOD STORAGE AND DISTRIBUTION PRACTICE)/GSDP COMPANY FILES\SUMMIT HEALTHCARE</t>
  </si>
  <si>
    <t xml:space="preserve">MERIT HEALTHCARE LTD
</t>
  </si>
  <si>
    <t>10, Dele Ashiru street, Ire Akari estate, Isolo</t>
  </si>
  <si>
    <t>Adedamola Adeyanju 08171273639</t>
  </si>
  <si>
    <t>24/0924</t>
  </si>
  <si>
    <t>https://nafdacng.sharepoint.com/sites/PMSLAGOS/Shared Documents/GDP (GOOD DISTRIBUTION PRATICE)/GSDP COMPANY FILES\MERIT HEALTHCARE</t>
  </si>
  <si>
    <t>https://nafdacng.sharepoint.com/sites/PMSLAGOS/Shared Documents/GSDP (GOOD STORAGE AND DISTRIBUTION PRACTICE)/GSDP COMPANY FILES\MERIT HEALTHCARE</t>
  </si>
  <si>
    <t>EXXON PHARM. LTD</t>
  </si>
  <si>
    <t>Arcee Textile Mill Comp., Plot A, blk 2B , Aswani street, Isolo</t>
  </si>
  <si>
    <t>Pharm Mercy Ndubuisi 07031888548</t>
  </si>
  <si>
    <t>High Risk</t>
  </si>
  <si>
    <t>https://nafdacng.sharepoint.com/sites/PMSLAGOS/Shared Documents/GDP (GOOD DISTRIBUTION PRATICE)/GSDP COMPANY FILES\exxon</t>
  </si>
  <si>
    <t>https://nafdacng.sharepoint.com/sites/PMSLAGOS/Shared Documents/GSDP (GOOD STORAGE AND DISTRIBUTION PRACTICE)/GSDP COMPANY FILES\exxon</t>
  </si>
  <si>
    <t>NEOLIFE INTERNATIONAL LTD.</t>
  </si>
  <si>
    <t>12, Chief Olu Oshunkeye Crescent, Gbagada, Lagos</t>
  </si>
  <si>
    <t>Beatrice Onuoha 08146512653</t>
  </si>
  <si>
    <t>30/09/24</t>
  </si>
  <si>
    <t>https://nafdacng.sharepoint.com/sites/PMSLAGOS/Shared Documents/GDP (GOOD DISTRIBUTION PRATICE)/GSDP COMPANY FILES\NEOLIFE</t>
  </si>
  <si>
    <t>https://nafdacng.sharepoint.com/sites/PMSLAGOS/Shared Documents/GSDP (GOOD STORAGE AND DISTRIBUTION PRACTICE)/GSDP COMPANY FILES\NEOLIFE</t>
  </si>
  <si>
    <t>https://nafdacng.sharepoint.com/sites/PMSLAGOS/Shared Documents/GDP (GOOD DISTRIBUTION PRATICE)/GSDP COMPANY FILES/AWARD GLOBAL</t>
  </si>
  <si>
    <t>https://nafdacng.sharepoint.com/sites/PMSLAGOS/Shared Documents/GSDP (GOOD STORAGE AND DISTRIBUTION PRACTICE)/GSDP COMPANY FILES/AWARD GLOBAL</t>
  </si>
  <si>
    <t>CHANRAI HEALTHCARE LTD. (CAPA)</t>
  </si>
  <si>
    <t>122-132, Oshodi-apapa express, Isolo, Lagos</t>
  </si>
  <si>
    <t>CAPA CLOSED</t>
  </si>
  <si>
    <t>https://nafdacng.sharepoint.com/sites/PMSLAGOS/Shared Documents/GDP (GOOD DISTRIBUTION PRATICE)/GSDP COMPANY FILES\CHANRAI</t>
  </si>
  <si>
    <t>https://nafdacng.sharepoint.com/sites/PMSLAGOS/Shared Documents/GSDP (GOOD STORAGE AND DISTRIBUTION PRACTICE)/GSDP COMPANY FILES\CHANRAI</t>
  </si>
  <si>
    <t>TRICARE PHARM.</t>
  </si>
  <si>
    <t>28, Osolo way, Airport Road, Lagos</t>
  </si>
  <si>
    <t>https://nafdacng.sharepoint.com/sites/PMSLAGOS/Shared Documents/GDP (GOOD DISTRIBUTION PRATICE)/GSDP COMPANY FILES\TRICARE</t>
  </si>
  <si>
    <t>https://nafdacng.sharepoint.com/sites/PMSLAGOS/Shared Documents/GSDP (GOOD STORAGE AND DISTRIBUTION PRACTICE)/GSDP COMPANY FILES\TRICARE</t>
  </si>
  <si>
    <t>STERLING BIOPHARM</t>
  </si>
  <si>
    <t>6, Femi Asiwaju Close, Ojodu estate, Ojodu, Lagos</t>
  </si>
  <si>
    <t>https://nafdacng.sharepoint.com/sites/PMSLAGOS/Shared Documents/GDP (GOOD DISTRIBUTION PRATICE)/GSDP COMPANY FILES\STERLING BIOPHARMA</t>
  </si>
  <si>
    <t>https://nafdacng.sharepoint.com/sites/PMSLAGOS/Shared Documents/GSDP (GOOD STORAGE AND DISTRIBUTION PRACTICE)/GSDP COMPANY FILES\STERLING BIOPHARMA</t>
  </si>
  <si>
    <t>SEAGREEN PHARMACEUTICALS</t>
  </si>
  <si>
    <t>3, Okunfolami Str., Anthony Village</t>
  </si>
  <si>
    <t>Rosita Ijeoma 9017749944</t>
  </si>
  <si>
    <t>https://nafdacng.sharepoint.com/sites/PMSLAGOS/Shared Documents/GDP (GOOD DISTRIBUTION PRATICE)/GSDP COMPANY FILES\Seagreen Pharmaceuticals</t>
  </si>
  <si>
    <t>https://nafdacng.sharepoint.com/sites/PMSLAGOS/Shared Documents/GSDP (GOOD STORAGE AND DISTRIBUTION PRACTICE)/GSDP COMPANY FILES\Seagreen Pharmaceuticals</t>
  </si>
  <si>
    <t>BRENT CROSS PHARM LTD.</t>
  </si>
  <si>
    <t>9, JOHNSON STR., OFF BODE THOMAS SURULERE</t>
  </si>
  <si>
    <t>Benedict IK 08033936345</t>
  </si>
  <si>
    <t>CAPA to be Submitted</t>
  </si>
  <si>
    <t>https://nafdacng.sharepoint.com/sites/PMSLAGOS/Shared Documents/GDP (GOOD DISTRIBUTION PRATICE)/GSDP COMPANY FILES\Brent Cross</t>
  </si>
  <si>
    <t>https://nafdacng.sharepoint.com/sites/PMSLAGOS/Shared Documents/GSDP (GOOD STORAGE AND DISTRIBUTION PRACTICE)/GSDP COMPANY FILES\Brent Cross</t>
  </si>
  <si>
    <t>PHARMGATE HEALTHCARE LTD.</t>
  </si>
  <si>
    <t>28, Salawu Onikoyi Str., Ifako, Gbagada</t>
  </si>
  <si>
    <t>Mbonu Charles 0802337610</t>
  </si>
  <si>
    <t>https://nafdacng.sharepoint.com/sites/PMSLAGOS/Shared Documents/GDP (GOOD DISTRIBUTION PRATICE)/GSDP COMPANY FILES\Pharmgate Healthcare LTD</t>
  </si>
  <si>
    <t>https://nafdacng.sharepoint.com/sites/PMSLAGOS/Shared Documents/GSDP (GOOD STORAGE AND DISTRIBUTION PRACTICE)/GSDP COMPANY FILES\Pharmgate Healthcare LTD</t>
  </si>
  <si>
    <t>NECTAR HEALTHCARE LTD.</t>
  </si>
  <si>
    <t>16B, Residence Road, Gbagada Phase 2</t>
  </si>
  <si>
    <t>Ifeoma Alptus 08039302111</t>
  </si>
  <si>
    <t>22/11/24</t>
  </si>
  <si>
    <t>https://nafdacng.sharepoint.com/sites/PMSLAGOS/Shared Documents/GDP (GOOD DISTRIBUTION PRATICE)/GSDP COMPANY FILES\NECTAR</t>
  </si>
  <si>
    <t>https://nafdacng.sharepoint.com/sites/PMSLAGOS/Shared Documents/GSDP (GOOD STORAGE AND DISTRIBUTION PRACTICE)/GSDP COMPANY FILES\NECTAR</t>
  </si>
  <si>
    <t>ZOGGER PHARMA LTD.</t>
  </si>
  <si>
    <t>5B, Akin George Road, Obanikoro</t>
  </si>
  <si>
    <t>Kuti Olusegun 08053274036</t>
  </si>
  <si>
    <t>https://nafdacng.sharepoint.com/sites/PMSLAGOS/Shared Documents/GDP (GOOD DISTRIBUTION PRATICE)/GSDP COMPANY FILES\ZOGGAR PHARMA LTD</t>
  </si>
  <si>
    <t>https://nafdacng.sharepoint.com/sites/PMSLAGOS/Shared Documents/GSDP (GOOD STORAGE AND DISTRIBUTION PRACTICE)/GSDP COMPANY FILES\ZOGGAR PHARMA LTD</t>
  </si>
  <si>
    <t>FAES FARMA NIG. LTD.</t>
  </si>
  <si>
    <t>25D, Ladoke Akintola Str., Ikeja GRA</t>
  </si>
  <si>
    <t>Pharm. Johnbull 08034523215</t>
  </si>
  <si>
    <t>https://nafdacng.sharepoint.com/sites/PMSLAGOS/Shared Documents/GDP (GOOD DISTRIBUTION PRATICE)/GSDP COMPANY FILES\Faes Farma ltd</t>
  </si>
  <si>
    <t>https://nafdacng.sharepoint.com/sites/PMSLAGOS/Shared Documents/GSDP (GOOD STORAGE AND DISTRIBUTION PRACTICE)/GSDP COMPANY FILES\Faes Farma ltd</t>
  </si>
  <si>
    <t>LYN-EDGE PHARMACEUTICALS</t>
  </si>
  <si>
    <t>Block viii, Plot 23, Orchad Close, Chevron alternative route, Lekki</t>
  </si>
  <si>
    <t>Njoku Uche 07031710888</t>
  </si>
  <si>
    <t>https://nafdacng.sharepoint.com/sites/PMSLAGOS/Shared Documents/GDP (GOOD DISTRIBUTION PRATICE)/GSDP COMPANY FILES\LYN EDGE</t>
  </si>
  <si>
    <t>https://nafdacng.sharepoint.com/sites/PMSLAGOS/Shared Documents/GSDP (GOOD STORAGE AND DISTRIBUTION PRACTICE)/GSDP COMPANY FILES\LYN EDGE</t>
  </si>
  <si>
    <t>TETA PHARMACEUTICALS</t>
  </si>
  <si>
    <t>4, OKEHO STR., IREAKARI ESTATE, ISOLO</t>
  </si>
  <si>
    <t>08036655918 Pharm. George Akinruli</t>
  </si>
  <si>
    <t>3/12//24</t>
  </si>
  <si>
    <t>https://nafdacng.sharepoint.com/sites/PMSLAGOS/Shared Documents/GDP (GOOD DISTRIBUTION PRATICE)/GSDP COMPANY FILES\TETA PHARMACEUTICALS</t>
  </si>
  <si>
    <t>https://nafdacng.sharepoint.com/sites/PMSLAGOS/Shared Documents/GSDP (GOOD STORAGE AND DISTRIBUTION PRACTICE)/GSDP COMPANY FILES\TETA PHARMACEUTICALS</t>
  </si>
  <si>
    <t>FEDESON PHARMACY (CAPA)</t>
  </si>
  <si>
    <t>IDEAL EAGLES</t>
  </si>
  <si>
    <t>3, DACOSTA STREET, OFF IWAYA RD, YABA</t>
  </si>
  <si>
    <t>08160823134 Dr. Akinmolayan</t>
  </si>
  <si>
    <t>https://nafdacng.sharepoint.com/sites/PMSLAGOS/Shared Documents/GDP (GOOD DISTRIBUTION PRATICE)/GSDP COMPANY FILES\IDEAL EAGLES</t>
  </si>
  <si>
    <t>https://nafdacng.sharepoint.com/sites/PMSLAGOS/Shared Documents/GSDP (GOOD STORAGE AND DISTRIBUTION PRACTICE)/GSDP COMPANY FILES\IDEAL EAGLES</t>
  </si>
  <si>
    <t>CHARTERHOUSE PHARM. LTD.</t>
  </si>
  <si>
    <t>HSE PLOT 9, BLK, C, CBD, NERDC STR, ALAUSA, IKEJA</t>
  </si>
  <si>
    <t>https://nafdacng.sharepoint.com/sites/PMSLAGOS/Shared Documents/GDP (GOOD DISTRIBUTION PRATICE)/GSDP COMPANY FILES\Charter House</t>
  </si>
  <si>
    <t>https://nafdacng.sharepoint.com/sites/PMSLAGOS/Shared Documents/GSDP (GOOD STORAGE AND DISTRIBUTION PRACTICE)/2024/../../../../../:f:/s/PMSLAGOS/IgAZIAHaZegeQYN89KtT_6GDAaPXZeT9rHT9gXpLVlH5eSA?e=rXDzj4</t>
  </si>
  <si>
    <t xml:space="preserve">CHUPET PHARMACEUTICAL(CAPA)
</t>
  </si>
  <si>
    <t xml:space="preserve">18/20 OGUNGBESAN STR. COKER,SURULERE
</t>
  </si>
  <si>
    <t>08034028483 Pharm. Ngozi</t>
  </si>
  <si>
    <t>CHUPET PHARMACEUTICAL</t>
  </si>
  <si>
    <t>GBGL PHARM.</t>
  </si>
  <si>
    <t>PLOT 3A, BLK A REDEMPTION CRESCENT, GBAGADA INDUSTRIAL ESTATE</t>
  </si>
  <si>
    <t>07087721482 Dorothy Ughenu</t>
  </si>
  <si>
    <t>https://nafdacng.sharepoint.com/sites/PMSLAGOS/Shared Documents/GDP (GOOD DISTRIBUTION PRATICE)/GSDP COMPANY FILES\GBGL PHARMACEUTICALS</t>
  </si>
  <si>
    <t>https://nafdacng.sharepoint.com/sites/PMSLAGOS/Shared Documents/GSDP (GOOD STORAGE AND DISTRIBUTION PRACTICE)/GSDP COMPANY FILES\GBGL PHARMACEUTICALS</t>
  </si>
  <si>
    <t>GSDP INSPECTIONS</t>
  </si>
  <si>
    <t>CEVI INSPECTIONS</t>
  </si>
  <si>
    <t>LOW RISK</t>
  </si>
  <si>
    <t>MEDIUM RISK</t>
  </si>
  <si>
    <t>HIGH RISK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</si>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</sst>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theme="9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17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1" xfId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7" fontId="3" fillId="0" borderId="5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6" fontId="3" fillId="0" borderId="1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4" fontId="3" fillId="0" borderId="6" xfId="0" applyNumberFormat="1" applyFont="1" applyBorder="1" applyAlignment="1">
      <alignment horizontal="left" vertical="top" wrapText="1"/>
    </xf>
    <xf numFmtId="0" fontId="3" fillId="0" borderId="6" xfId="1" applyFont="1" applyFill="1" applyBorder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3" fillId="0" borderId="0" xfId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1" fillId="0" borderId="0" xfId="1" applyAlignment="1"/>
    <xf numFmtId="0" fontId="1" fillId="0" borderId="1" xfId="1" applyFill="1" applyBorder="1" applyAlignment="1">
      <alignment horizontal="left" vertical="top" wrapText="1"/>
    </xf>
    <xf numFmtId="0" fontId="1" fillId="0" borderId="0" xfId="1" applyAlignment="1">
      <alignment vertical="center"/>
    </xf>
    <xf numFmtId="0" fontId="8" fillId="0" borderId="0" xfId="1" applyFont="1" applyFill="1" applyAlignment="1"/>
    <xf numFmtId="0" fontId="1" fillId="0" borderId="0" xfId="1"/>
    <xf numFmtId="164" fontId="3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3" xfId="1" applyFill="1" applyBorder="1" applyAlignment="1">
      <alignment horizontal="left" vertical="top" wrapText="1"/>
    </xf>
    <xf numFmtId="0" fontId="1" fillId="0" borderId="8" xfId="1" applyBorder="1"/>
    <xf numFmtId="0" fontId="1" fillId="0" borderId="1" xfId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1" fillId="0" borderId="9" xfId="1" applyBorder="1"/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4" fontId="3" fillId="0" borderId="11" xfId="0" applyNumberFormat="1" applyFont="1" applyBorder="1" applyAlignment="1">
      <alignment horizontal="left" vertical="top" wrapText="1"/>
    </xf>
    <xf numFmtId="0" fontId="1" fillId="0" borderId="12" xfId="1" applyBorder="1"/>
    <xf numFmtId="0" fontId="3" fillId="0" borderId="11" xfId="1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/>
    </xf>
    <xf numFmtId="0" fontId="1" fillId="0" borderId="14" xfId="1" applyBorder="1" applyAlignment="1">
      <alignment horizontal="left" vertical="top" wrapText="1"/>
    </xf>
    <xf numFmtId="0" fontId="1" fillId="0" borderId="5" xfId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87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21" formatCode="d\-mmm"/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[$-F800]dddd\,\ mmmm\ dd\,\ yyyy"/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22" formatCode="mmm\-yy"/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[$-F800]dddd\,\ mmmm\ dd\,\ yyyy"/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theme="9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22" formatCode="mmm\-yy"/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[$-F800]dddd\,\ mmmm\ dd\,\ yyyy"/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0" formatCode="General"/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[$-F800]dddd\,\ mmmm\ dd\,\ yyyy"/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Of GSDP division Activities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DATA'!$B$2</c:f>
              <c:strCache>
                <c:ptCount val="1"/>
                <c:pt idx="0">
                  <c:v>GSDP INSPECTIONS</c:v>
                </c:pt>
              </c:strCache>
            </c:strRef>
          </c:tx>
          <c:spPr>
            <a:solidFill>
              <a:srgbClr val="0F9ED5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DATA'!$B$3:$B$14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9</c:v>
                </c:pt>
                <c:pt idx="5">
                  <c:v>0</c:v>
                </c:pt>
                <c:pt idx="6">
                  <c:v>0</c:v>
                </c:pt>
                <c:pt idx="7">
                  <c:v>9</c:v>
                </c:pt>
                <c:pt idx="8">
                  <c:v>6</c:v>
                </c:pt>
                <c:pt idx="9">
                  <c:v>0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8-4F77-A3CD-F0D15A3ADF31}"/>
            </c:ext>
          </c:extLst>
        </c:ser>
        <c:ser>
          <c:idx val="1"/>
          <c:order val="1"/>
          <c:tx>
            <c:strRef>
              <c:f>'VISUAL DATA'!$C$2</c:f>
              <c:strCache>
                <c:ptCount val="1"/>
                <c:pt idx="0">
                  <c:v>CEVI INSPECTIONS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DATA'!$C$3:$C$14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B8-4F77-A3CD-F0D15A3ADF31}"/>
            </c:ext>
          </c:extLst>
        </c:ser>
        <c:ser>
          <c:idx val="2"/>
          <c:order val="2"/>
          <c:tx>
            <c:strRef>
              <c:f>'VISUAL DATA'!$D$2</c:f>
              <c:strCache>
                <c:ptCount val="1"/>
                <c:pt idx="0">
                  <c:v>CAPA SUBMITTED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DATA'!$D$3:$D$14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B8-4F77-A3CD-F0D15A3ADF31}"/>
            </c:ext>
          </c:extLst>
        </c:ser>
        <c:ser>
          <c:idx val="3"/>
          <c:order val="3"/>
          <c:tx>
            <c:strRef>
              <c:f>'VISUAL DATA'!$E$2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DATA'!$E$3:$E$14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B8-4F77-A3CD-F0D15A3ADF31}"/>
            </c:ext>
          </c:extLst>
        </c:ser>
        <c:ser>
          <c:idx val="4"/>
          <c:order val="4"/>
          <c:tx>
            <c:strRef>
              <c:f>'VISUAL DATA'!$F$2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DATA'!$F$3:$F$14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0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6</c:v>
                </c:pt>
                <c:pt idx="9">
                  <c:v>0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B8-4F77-A3CD-F0D15A3ADF31}"/>
            </c:ext>
          </c:extLst>
        </c:ser>
        <c:ser>
          <c:idx val="5"/>
          <c:order val="5"/>
          <c:tx>
            <c:strRef>
              <c:f>'VISUAL DATA'!$G$2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'VISUAL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DATA'!$G$3:$G$14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B8-4F77-A3CD-F0D15A3AD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520775"/>
        <c:axId val="1599522823"/>
      </c:barChart>
      <c:catAx>
        <c:axId val="1599520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522823"/>
        <c:crosses val="autoZero"/>
        <c:auto val="1"/>
        <c:lblAlgn val="ctr"/>
        <c:lblOffset val="100"/>
        <c:noMultiLvlLbl val="0"/>
      </c:catAx>
      <c:valAx>
        <c:axId val="1599522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520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15</xdr:row>
      <xdr:rowOff>104775</xdr:rowOff>
    </xdr:from>
    <xdr:to>
      <xdr:col>11</xdr:col>
      <xdr:colOff>571500</xdr:colOff>
      <xdr:row>34</xdr:row>
      <xdr:rowOff>142875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B89441E-06C0-FA8B-C608-812985959E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D2080-88A1-41B9-9B92-8EBCF06350BB}" name="Table2" displayName="Table2" ref="A2:O63" totalsRowShown="0" headerRowDxfId="84" dataDxfId="83">
  <autoFilter ref="A2:O63" xr:uid="{CFED2080-88A1-41B9-9B92-8EBCF06350BB}">
    <filterColumn colId="6">
      <filters>
        <filter val="High Risk"/>
      </filters>
    </filterColumn>
  </autoFilter>
  <sortState xmlns:xlrd2="http://schemas.microsoft.com/office/spreadsheetml/2017/richdata2" ref="A3:O63">
    <sortCondition ref="A2:A63"/>
  </sortState>
  <tableColumns count="15">
    <tableColumn id="1" xr3:uid="{3C97B9FA-9FCC-4C82-AF7C-697C3FC86D45}" name="S/N" dataDxfId="82"/>
    <tableColumn id="2" xr3:uid="{00FDC3F1-DAAB-4497-A34A-F342F6C21034}" name="NAME OF MANUFACTURER" dataDxfId="81"/>
    <tableColumn id="3" xr3:uid="{B6D72718-FF67-460B-90AF-D838389AC642}" name="LOCATION ADDRESS" dataDxfId="80"/>
    <tableColumn id="4" xr3:uid="{DA696650-2936-49A3-A461-1CBA00A3127B}" name="CONTACT" dataDxfId="79"/>
    <tableColumn id="5" xr3:uid="{FFD342EF-B9D0-4455-948C-8C8D6FE264A6}" name="TYPE OF LAST INSPECTION" dataDxfId="78"/>
    <tableColumn id="16" xr3:uid="{06AD048F-3625-4535-B09B-118CB54D71BF}" name="DATE OF LAST INSPECTION" dataDxfId="77"/>
    <tableColumn id="7" xr3:uid="{8B49EBED-42B9-4F18-9E99-EF61ED1A761C}" name="FINDINGS" dataDxfId="76"/>
    <tableColumn id="8" xr3:uid="{B7EE001D-DBFF-4022-853C-242DBBE6C225}" name="CAPA  ISSUED DATE " dataDxfId="75"/>
    <tableColumn id="9" xr3:uid="{3CECEA3F-9748-43EF-82DA-D671147FA860}" name="CAPA SUBMITTED" dataDxfId="74"/>
    <tableColumn id="10" xr3:uid="{F6962DF5-ECDB-4C18-BCAA-2B1B7F63CC15}" name="CONCLUSION" dataDxfId="73"/>
    <tableColumn id="11" xr3:uid="{FB460D08-3976-4CA1-90C5-D0C170716280}" name="REMARKS" dataDxfId="72">
      <calculatedColumnFormula>IF(I3="YES","CAPA VERIFICATION SHOULD BE SCHEDULED",IF(I3="NO","REMINDER LETTER SHOULD BE SENT",""))</calculatedColumnFormula>
    </tableColumn>
    <tableColumn id="12" xr3:uid="{135CB7FE-E8B7-48E2-8CEE-3873D6C0184F}" name="EXPECTED DATE OF INSPECTION" dataDxfId="71"/>
    <tableColumn id="13" xr3:uid="{9B6E7B96-AA37-4555-B9A0-6CDD58AE28A6}" name="Column1" dataDxfId="70"/>
    <tableColumn id="15" xr3:uid="{D8DE7B40-A050-454D-8C87-2EFB7E993A80}" name="Column12" dataDxfId="69"/>
    <tableColumn id="14" xr3:uid="{AF07B176-13E5-41F9-B32A-4301B465F30D}" name="Column2" dataDxfId="68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EBAD96-7B5E-400D-A126-D0A6A1F01AD4}" name="Table3" displayName="Table3" ref="A2:N18" totalsRowShown="0" headerRowDxfId="63" tableBorderDxfId="62">
  <autoFilter ref="A2:N18" xr:uid="{7CEBAD96-7B5E-400D-A126-D0A6A1F01AD4}"/>
  <tableColumns count="14">
    <tableColumn id="1" xr3:uid="{D1CBC3FD-5CBB-4C62-9DB4-2721FA448D2B}" name="S/N" dataDxfId="61"/>
    <tableColumn id="2" xr3:uid="{1F08869F-EAFF-4FBE-AFE1-9D4E86AECD74}" name="NAME OF MANUFACTURER" dataDxfId="60"/>
    <tableColumn id="3" xr3:uid="{7E0C641F-F07C-4C56-BF7F-3B79C4F0C70A}" name="LOCATION ADDRESS" dataDxfId="59"/>
    <tableColumn id="4" xr3:uid="{DF031632-06D1-43B6-A769-E33ABA43FEE6}" name="CONTACT" dataDxfId="58"/>
    <tableColumn id="5" xr3:uid="{49B87B80-5728-44FC-8568-0F65593683BD}" name="TYPE OF LAST INSPECTION" dataDxfId="57"/>
    <tableColumn id="6" xr3:uid="{4A560CB6-5E15-47DA-A35B-13F439DFDE7A}" name="DATE OF LAST INSPECTION" dataDxfId="56"/>
    <tableColumn id="7" xr3:uid="{42089F6A-25F4-4AB3-8E17-5F15377F1AED}" name="FINDINGS" dataDxfId="55"/>
    <tableColumn id="8" xr3:uid="{8C0B9422-0B62-48C5-97F0-EB33B31D7C9F}" name="CAPA  ISSUED DATE " dataDxfId="54"/>
    <tableColumn id="9" xr3:uid="{94B06B98-E5DC-46D7-AEE1-C3C37D4C396F}" name="CAPA SUBMITTED" dataDxfId="53"/>
    <tableColumn id="10" xr3:uid="{45D6AFF9-5346-444F-A42B-D32731B91D0A}" name="CONCLUSION" dataDxfId="52"/>
    <tableColumn id="11" xr3:uid="{2B32A507-5FBC-4AFA-B3A8-1D9D28C18956}" name="REMARKS" dataDxfId="51">
      <calculatedColumnFormula>IF(I3="YES","CAPA VERIFICATION SHOULD BE SCHEDULED",IF(I3="NO","REMINDER LETTER SHOULD BE SENT",""))</calculatedColumnFormula>
    </tableColumn>
    <tableColumn id="12" xr3:uid="{7F8E1AED-5698-4882-BC99-9C707BE06470}" name="EXPECTED DATE OF INSPECTION" dataDxfId="50"/>
    <tableColumn id="13" xr3:uid="{6D7C23CD-E77B-435E-BAEA-357FDB586E69}" name="Column1" dataDxfId="49" dataCellStyle="Hyperlink"/>
    <tableColumn id="14" xr3:uid="{442066CE-9426-44BB-9070-B01F18EC4EDD}" name="Column12" dataDxfId="48" dataCellStyle="Hyperlink">
      <calculatedColumnFormula>IF(L3="","",HYPERLINK(L3,B3))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89C18C-FEE9-4BA9-AD29-65AA316F7EEB}" name="Table4" displayName="Table4" ref="A2:N13" totalsRowShown="0" headerRowDxfId="43" tableBorderDxfId="42">
  <autoFilter ref="A2:N13" xr:uid="{4689C18C-FEE9-4BA9-AD29-65AA316F7EEB}"/>
  <tableColumns count="14">
    <tableColumn id="1" xr3:uid="{71462812-36F5-407F-A67A-06D8849A66B3}" name="S/N" dataDxfId="41"/>
    <tableColumn id="2" xr3:uid="{79006039-CAD9-43BA-89C8-FC8A9A6F782E}" name="NAME OF MANUFACTURER" dataDxfId="40"/>
    <tableColumn id="3" xr3:uid="{B643EED1-79F7-4AC7-8DCD-F611512948A7}" name="LOCATION ADDRESS" dataDxfId="39"/>
    <tableColumn id="4" xr3:uid="{9EC66233-1475-47D5-B30E-134E25489504}" name="CONTACT" dataDxfId="38"/>
    <tableColumn id="5" xr3:uid="{6183251A-CC09-49EC-832D-F87D15D82A5B}" name="TYPE OF LAST INSPECTION" dataDxfId="37"/>
    <tableColumn id="6" xr3:uid="{FBB694DE-253C-40A9-91AE-B15E5E783124}" name="DATE OF LAST INSPECTION" dataDxfId="36"/>
    <tableColumn id="7" xr3:uid="{71ACA705-3DC9-4A71-8033-4CE6FF343F12}" name="FINDINGS" dataDxfId="35"/>
    <tableColumn id="8" xr3:uid="{FCB91F35-CB68-4D69-9000-144DBFC2ABF0}" name="CAPA  ISSUED DATE " dataDxfId="34"/>
    <tableColumn id="9" xr3:uid="{6914E5E8-9E65-4475-9415-D10ED2EFF387}" name="CAPA SUBMITTED" dataDxfId="33"/>
    <tableColumn id="10" xr3:uid="{240B3F52-A4F5-4A92-B906-689B37A3FE5F}" name="CONCLUSION" dataDxfId="32"/>
    <tableColumn id="11" xr3:uid="{3B5CE893-8EEA-4519-AC24-DE3A2D0A15CC}" name="REMARKS" dataDxfId="31">
      <calculatedColumnFormula>IF(I3="YES","CAPA VERIFICATION SHOULD BE SCHEDULED",IF(I3="NO","REMINDER LETTER SHOULD BE SENT",""))</calculatedColumnFormula>
    </tableColumn>
    <tableColumn id="12" xr3:uid="{F6A6428B-6F83-48BD-9654-0D3D4CB22243}" name="EXPECTED DATE OF INSPECTION" dataDxfId="30"/>
    <tableColumn id="13" xr3:uid="{0AE8DE46-329A-49DF-B29F-B985162BEEB5}" name="Column1" dataDxfId="29" dataCellStyle="Hyperlink"/>
    <tableColumn id="14" xr3:uid="{EFC2A4D6-DC78-4F1C-BD36-C0287CEF606D}" name="Column12" dataDxfId="28" dataCellStyle="Hyperlink">
      <calculatedColumnFormula>IF(L3="","",HYPERLINK(L3,B3))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BE283D-E009-4F95-8E31-125BEF6F65A8}" name="Table5" displayName="Table5" ref="A2:N12" totalsRowShown="0" headerRowDxfId="23" tableBorderDxfId="22">
  <autoFilter ref="A2:N12" xr:uid="{5CBE283D-E009-4F95-8E31-125BEF6F65A8}"/>
  <tableColumns count="14">
    <tableColumn id="1" xr3:uid="{6D2D0C85-A44F-4257-B603-6DD162FC0836}" name="S/N" dataDxfId="21"/>
    <tableColumn id="2" xr3:uid="{709D5909-5749-4081-A735-A5527073956A}" name="NAME OF MANUFACTURER" dataDxfId="20"/>
    <tableColumn id="3" xr3:uid="{77A835C9-1358-4DF6-B1D8-380AD2762C46}" name="LOCATION ADDRESS" dataDxfId="19"/>
    <tableColumn id="4" xr3:uid="{5EB6F83D-3BF9-4BF6-A329-57680FB1280C}" name="CONTACT" dataDxfId="18"/>
    <tableColumn id="5" xr3:uid="{1424AFF4-7F1F-4191-B60D-F88C6AC2EF85}" name="TYPE OF LAST INSPECTION" dataDxfId="17"/>
    <tableColumn id="6" xr3:uid="{35D0584C-EDD8-47F9-8C43-0A7A5181C033}" name="DATE OF LAST INSPECTION" dataDxfId="16"/>
    <tableColumn id="7" xr3:uid="{8CB97BA9-1939-4384-8FFC-B85D57821838}" name="FINDINGS" dataDxfId="15"/>
    <tableColumn id="8" xr3:uid="{567B3852-48A9-4E1E-B9C8-AF3AD7B44BE0}" name="CAPA  ISSUED DATE " dataDxfId="14"/>
    <tableColumn id="9" xr3:uid="{BC61D4FF-CDA9-4B94-891D-6EDA335A6268}" name="CAPA SUBMITTED" dataDxfId="13"/>
    <tableColumn id="10" xr3:uid="{648D2955-C585-4622-A3FB-B1ACAD940DE7}" name="CONCLUSION" dataDxfId="12"/>
    <tableColumn id="11" xr3:uid="{D11A79AC-00E6-4D16-ACC7-4AA458EC69C1}" name="REMARKS" dataDxfId="11"/>
    <tableColumn id="12" xr3:uid="{CF92A3B5-0C85-4E08-8B8E-19F5C68F5A71}" name="EXPECTED DATE OF INSPECTION" dataDxfId="10"/>
    <tableColumn id="13" xr3:uid="{D8F401AC-5048-4670-9B75-E8F15649163F}" name="Column1" dataDxfId="9" dataCellStyle="Hyperlink"/>
    <tableColumn id="14" xr3:uid="{C152F4D1-F48A-4346-8860-22E57F05A42B}" name="Column12" dataDxfId="8" dataCellStyle="Hyperlink">
      <calculatedColumnFormula>IF(L3="","",HYPERLINK(L3,B3))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:f:/s/PMSLAGOS/IgDEREDujMUYRZhkrewJEPixAbYbfZ1LbL8qianGZ-plcdU?e=WqHder" TargetMode="External"/><Relationship Id="rId21" Type="http://schemas.openxmlformats.org/officeDocument/2006/relationships/hyperlink" Target="../../GDP%20(GOOD%20DISTRIBUTION%20PRATICE)/GSDP%20COMPANY%20FILES/RALPHONES%20PHARMACEUTICAL%20LTD" TargetMode="External"/><Relationship Id="rId42" Type="http://schemas.openxmlformats.org/officeDocument/2006/relationships/hyperlink" Target="../../GDP%20(GOOD%20DISTRIBUTION%20PRATICE)/GSDP%20COMPANY%20FILES/PHARMAMAX%20NIG.%20LTD" TargetMode="External"/><Relationship Id="rId47" Type="http://schemas.openxmlformats.org/officeDocument/2006/relationships/hyperlink" Target="../../GDP%20(GOOD%20DISTRIBUTION%20PRATICE)/GSDP%20COMPANY%20FILES/VACCI%20PHARM" TargetMode="External"/><Relationship Id="rId63" Type="http://schemas.openxmlformats.org/officeDocument/2006/relationships/hyperlink" Target="../../GDP%20(GOOD%20DISTRIBUTION%20PRATICE)/GSDP%20COMPANY%20FILES/LYN%20EDGE" TargetMode="External"/><Relationship Id="rId68" Type="http://schemas.openxmlformats.org/officeDocument/2006/relationships/hyperlink" Target="../../../../../:f:/s/PMSLAGOS/IgAZIAHaZegeQYN89KtT_6GDAaPXZeT9rHT9gXpLVlH5eSA?e=rXDzj4" TargetMode="External"/><Relationship Id="rId7" Type="http://schemas.openxmlformats.org/officeDocument/2006/relationships/hyperlink" Target="../GSDP%20COMPANY%20FILES/GOODCARE" TargetMode="External"/><Relationship Id="rId2" Type="http://schemas.openxmlformats.org/officeDocument/2006/relationships/hyperlink" Target="../../../../../:f:/s/PMSLAGOS/IgDEREDujMUYRZhkrewJEPixAbYbfZ1LbL8qianGZ-plcdU?e=WqHder" TargetMode="External"/><Relationship Id="rId16" Type="http://schemas.openxmlformats.org/officeDocument/2006/relationships/hyperlink" Target="../../GDP%20(GOOD%20DISTRIBUTION%20PRATICE)/GSDP%20COMPANY%20FILES/EL-NOSCO%20PHARM" TargetMode="External"/><Relationship Id="rId29" Type="http://schemas.openxmlformats.org/officeDocument/2006/relationships/hyperlink" Target="../../GDP%20(GOOD%20DISTRIBUTION%20PRATICE)/GSDP%20COMPANY%20FILES/SPINE%20PRODUCT%20LTD" TargetMode="External"/><Relationship Id="rId11" Type="http://schemas.openxmlformats.org/officeDocument/2006/relationships/hyperlink" Target="../GSDP%20COMPANY%20FILES/DI-MAGGIO" TargetMode="External"/><Relationship Id="rId24" Type="http://schemas.openxmlformats.org/officeDocument/2006/relationships/hyperlink" Target="../../GDP%20(GOOD%20DISTRIBUTION%20PRATICE)/GSDP%20COMPANY%20FILES/SEC%20PHARMACEUTICAL" TargetMode="External"/><Relationship Id="rId32" Type="http://schemas.openxmlformats.org/officeDocument/2006/relationships/hyperlink" Target="../../GDP%20(GOOD%20DISTRIBUTION%20PRATICE)/GSDP%20COMPANY%20FILES/SUNLIGHT%20LINK%20PHARMACY" TargetMode="External"/><Relationship Id="rId37" Type="http://schemas.openxmlformats.org/officeDocument/2006/relationships/hyperlink" Target="../../GDP%20(GOOD%20DISTRIBUTION%20PRATICE)/GSDP%20COMPANY%20FILES/UNIQUE%20PHARMACEUTICALS" TargetMode="External"/><Relationship Id="rId40" Type="http://schemas.openxmlformats.org/officeDocument/2006/relationships/hyperlink" Target="../../GDP%20(GOOD%20DISTRIBUTION%20PRATICE)/GSDP%20COMPANY%20FILES/AWARD%20GLOBAL" TargetMode="External"/><Relationship Id="rId45" Type="http://schemas.openxmlformats.org/officeDocument/2006/relationships/hyperlink" Target="../../GDP%20(GOOD%20DISTRIBUTION%20PRATICE)/GSDP%20COMPANY%20FILES/XCEL%20PHARMA" TargetMode="External"/><Relationship Id="rId53" Type="http://schemas.openxmlformats.org/officeDocument/2006/relationships/hyperlink" Target="../../GDP%20(GOOD%20DISTRIBUTION%20PRATICE)/GSDP%20COMPANY%20FILES/AWARD%20GLOBAL" TargetMode="External"/><Relationship Id="rId58" Type="http://schemas.openxmlformats.org/officeDocument/2006/relationships/hyperlink" Target="../../GDP%20(GOOD%20DISTRIBUTION%20PRATICE)/GSDP%20COMPANY%20FILES/Brent%20Cross" TargetMode="External"/><Relationship Id="rId66" Type="http://schemas.openxmlformats.org/officeDocument/2006/relationships/hyperlink" Target="../../GDP%20(GOOD%20DISTRIBUTION%20PRATICE)/GSDP%20COMPANY%20FILES/IDEAL%20EAGLES" TargetMode="External"/><Relationship Id="rId5" Type="http://schemas.openxmlformats.org/officeDocument/2006/relationships/hyperlink" Target="../GSDP%20COMPANY%20FILES/AWARD%20GLOBAL" TargetMode="External"/><Relationship Id="rId61" Type="http://schemas.openxmlformats.org/officeDocument/2006/relationships/hyperlink" Target="../../GDP%20(GOOD%20DISTRIBUTION%20PRATICE)/GSDP%20COMPANY%20FILES/ZOGGAR%20PHARMA%20LTD" TargetMode="External"/><Relationship Id="rId19" Type="http://schemas.openxmlformats.org/officeDocument/2006/relationships/hyperlink" Target="../../GDP%20(GOOD%20DISTRIBUTION%20PRATICE)/GSDP%20COMPANY%20FILES/JOEBIZ%20PHARMACY" TargetMode="External"/><Relationship Id="rId14" Type="http://schemas.openxmlformats.org/officeDocument/2006/relationships/hyperlink" Target="../../GDP%20(GOOD%20DISTRIBUTION%20PRATICE)/GSDP%20COMPANY%20FILES/SLOCHARS%20PHARM" TargetMode="External"/><Relationship Id="rId22" Type="http://schemas.openxmlformats.org/officeDocument/2006/relationships/hyperlink" Target="../../../../../:f:/s/PMSLAGOS/IgA0Jl4IY1vDR7iQOT0MDq3TAUynKViboBPDh_ABRHjR7sQ?e=A8QmxD" TargetMode="External"/><Relationship Id="rId27" Type="http://schemas.openxmlformats.org/officeDocument/2006/relationships/hyperlink" Target="../../GDP%20(GOOD%20DISTRIBUTION%20PRATICE)/GSDP%20COMPANY%20FILES/EZE-SUNICH%20PHARM" TargetMode="External"/><Relationship Id="rId30" Type="http://schemas.openxmlformats.org/officeDocument/2006/relationships/hyperlink" Target="../../GDP%20(GOOD%20DISTRIBUTION%20PRATICE)/GSDP%20COMPANY%20FILES/HOLY%20TRINTY%20PHARM" TargetMode="External"/><Relationship Id="rId35" Type="http://schemas.openxmlformats.org/officeDocument/2006/relationships/hyperlink" Target="../../GDP%20(GOOD%20DISTRIBUTION%20PRATICE)/GSDP%20COMPANY%20FILES/HILLY%20PHARMACY" TargetMode="External"/><Relationship Id="rId43" Type="http://schemas.openxmlformats.org/officeDocument/2006/relationships/hyperlink" Target="../../GDP%20(GOOD%20DISTRIBUTION%20PRATICE)/GSDP%20COMPANY%20FILES/INTERPHARM%20GMBH" TargetMode="External"/><Relationship Id="rId48" Type="http://schemas.openxmlformats.org/officeDocument/2006/relationships/hyperlink" Target="../../GDP%20(GOOD%20DISTRIBUTION%20PRATICE)/GSDP%20COMPANY%20FILES/PLACEWARE%20NIG%20LTD" TargetMode="External"/><Relationship Id="rId56" Type="http://schemas.openxmlformats.org/officeDocument/2006/relationships/hyperlink" Target="../../GDP%20(GOOD%20DISTRIBUTION%20PRATICE)/GSDP%20COMPANY%20FILES/STERLING%20BIOPHARMA" TargetMode="External"/><Relationship Id="rId64" Type="http://schemas.openxmlformats.org/officeDocument/2006/relationships/hyperlink" Target="../../GDP%20(GOOD%20DISTRIBUTION%20PRATICE)/GSDP%20COMPANY%20FILES/TETA%20PHARMACEUTICALS" TargetMode="External"/><Relationship Id="rId69" Type="http://schemas.openxmlformats.org/officeDocument/2006/relationships/hyperlink" Target="../../../../../:f:/s/PMSLAGOS/IgAZIAHaZegeQYN89KtT_6GDAaPXZeT9rHT9gXpLVlH5eSA?e=rXDzj4" TargetMode="External"/><Relationship Id="rId8" Type="http://schemas.openxmlformats.org/officeDocument/2006/relationships/hyperlink" Target="../GSDP%20COMPANY%20FILES/SPINE%20PRODUCT%20LTD" TargetMode="External"/><Relationship Id="rId51" Type="http://schemas.openxmlformats.org/officeDocument/2006/relationships/hyperlink" Target="../../GDP%20(GOOD%20DISTRIBUTION%20PRATICE)/GSDP%20COMPANY%20FILES/exxon" TargetMode="External"/><Relationship Id="rId3" Type="http://schemas.openxmlformats.org/officeDocument/2006/relationships/hyperlink" Target="../GSDP%20COMPANY%20FILES/INTERPHARM%20GMBH" TargetMode="External"/><Relationship Id="rId12" Type="http://schemas.openxmlformats.org/officeDocument/2006/relationships/hyperlink" Target="../../GDP%20(GOOD%20DISTRIBUTION%20PRATICE)/GSDP%20COMPANY%20FILES/SONYDON%20&amp;%20SON" TargetMode="External"/><Relationship Id="rId17" Type="http://schemas.openxmlformats.org/officeDocument/2006/relationships/hyperlink" Target="../../GDP%20(GOOD%20DISTRIBUTION%20PRATICE)/GSDP%20COMPANY%20FILES/S.%20UMUNNA%20PHARM" TargetMode="External"/><Relationship Id="rId25" Type="http://schemas.openxmlformats.org/officeDocument/2006/relationships/hyperlink" Target="../../GDP%20(GOOD%20DISTRIBUTION%20PRATICE)/GSDP%20COMPANY%20FILES/FEDESON%20PHARM" TargetMode="External"/><Relationship Id="rId33" Type="http://schemas.openxmlformats.org/officeDocument/2006/relationships/hyperlink" Target="../../GDP%20(GOOD%20DISTRIBUTION%20PRATICE)/GSDP%20COMPANY%20FILES/AL-TINEZ%20PHARMA.%20LTD" TargetMode="External"/><Relationship Id="rId38" Type="http://schemas.openxmlformats.org/officeDocument/2006/relationships/hyperlink" Target="../../GDP%20(GOOD%20DISTRIBUTION%20PRATICE)/GSDP%20COMPANY%20FILES/UNIQUE%20PHARMACEUTICALS" TargetMode="External"/><Relationship Id="rId46" Type="http://schemas.openxmlformats.org/officeDocument/2006/relationships/hyperlink" Target="../../GDP%20(GOOD%20DISTRIBUTION%20PRATICE)/GSDP%20COMPANY%20FILES/MEDVACC%20PHARMACY" TargetMode="External"/><Relationship Id="rId59" Type="http://schemas.openxmlformats.org/officeDocument/2006/relationships/hyperlink" Target="../../GDP%20(GOOD%20DISTRIBUTION%20PRATICE)/GSDP%20COMPANY%20FILES/Pharmgate%20Healthcare%20LTD" TargetMode="External"/><Relationship Id="rId67" Type="http://schemas.openxmlformats.org/officeDocument/2006/relationships/hyperlink" Target="../../GDP%20(GOOD%20DISTRIBUTION%20PRATICE)/GSDP%20COMPANY%20FILES/GBGL%20PHARMACEUTICALS" TargetMode="External"/><Relationship Id="rId20" Type="http://schemas.openxmlformats.org/officeDocument/2006/relationships/hyperlink" Target="../../GDP%20(GOOD%20DISTRIBUTION%20PRATICE)/GSDP%20COMPANY%20FILES/GOODCARE" TargetMode="External"/><Relationship Id="rId41" Type="http://schemas.openxmlformats.org/officeDocument/2006/relationships/hyperlink" Target="../../GDP%20(GOOD%20DISTRIBUTION%20PRATICE)/GSDP%20COMPANY%20FILES/MARCSON%20HEALTHCARE" TargetMode="External"/><Relationship Id="rId54" Type="http://schemas.openxmlformats.org/officeDocument/2006/relationships/hyperlink" Target="../../GDP%20(GOOD%20DISTRIBUTION%20PRATICE)/GSDP%20COMPANY%20FILES/CHANRAI" TargetMode="External"/><Relationship Id="rId62" Type="http://schemas.openxmlformats.org/officeDocument/2006/relationships/hyperlink" Target="../../GDP%20(GOOD%20DISTRIBUTION%20PRATICE)/GSDP%20COMPANY%20FILES/Faes%20Farma%20ltd" TargetMode="External"/><Relationship Id="rId70" Type="http://schemas.openxmlformats.org/officeDocument/2006/relationships/table" Target="../tables/table1.xml"/><Relationship Id="rId1" Type="http://schemas.openxmlformats.org/officeDocument/2006/relationships/hyperlink" Target="../../../../../:f:/s/PMSLAGOS/IgA0Jl4IY1vDR7iQOT0MDq3TAUynKViboBPDh_ABRHjR7sQ?e=A8QmxD" TargetMode="External"/><Relationship Id="rId6" Type="http://schemas.openxmlformats.org/officeDocument/2006/relationships/hyperlink" Target="../GSDP%20COMPANY%20FILES/DI-MAGGIO" TargetMode="External"/><Relationship Id="rId15" Type="http://schemas.openxmlformats.org/officeDocument/2006/relationships/hyperlink" Target="../../GDP%20(GOOD%20DISTRIBUTION%20PRATICE)/GSDP%20COMPANY%20FILES/GRACE%20JOHNSON%20LTD" TargetMode="External"/><Relationship Id="rId23" Type="http://schemas.openxmlformats.org/officeDocument/2006/relationships/hyperlink" Target="../../GDP%20(GOOD%20DISTRIBUTION%20PRATICE)/GSDP%20COMPANY%20FILES/MIVERO%20PHARM" TargetMode="External"/><Relationship Id="rId28" Type="http://schemas.openxmlformats.org/officeDocument/2006/relationships/hyperlink" Target="../../GDP%20(GOOD%20DISTRIBUTION%20PRATICE)/GSDP%20COMPANY%20FILES/CHUPET%20PHARMACEUTICALS" TargetMode="External"/><Relationship Id="rId36" Type="http://schemas.openxmlformats.org/officeDocument/2006/relationships/hyperlink" Target="../../GDP%20(GOOD%20DISTRIBUTION%20PRATICE)/GSDP%20COMPANY%20FILES/ZADIP%20PHARMA" TargetMode="External"/><Relationship Id="rId49" Type="http://schemas.openxmlformats.org/officeDocument/2006/relationships/hyperlink" Target="../../GDP%20(GOOD%20DISTRIBUTION%20PRATICE)/GSDP%20COMPANY%20FILES/SUMMIT%20HEALTHCARE" TargetMode="External"/><Relationship Id="rId57" Type="http://schemas.openxmlformats.org/officeDocument/2006/relationships/hyperlink" Target="../../GDP%20(GOOD%20DISTRIBUTION%20PRATICE)/GSDP%20COMPANY%20FILES/Seagreen%20Pharmaceuticals" TargetMode="External"/><Relationship Id="rId10" Type="http://schemas.openxmlformats.org/officeDocument/2006/relationships/hyperlink" Target="../../../../../:f:/s/PMSLAGOS/IgAZIAHaZegeQYN89KtT_6GDAaPXZeT9rHT9gXpLVlH5eSA?e=rXDzj4" TargetMode="External"/><Relationship Id="rId31" Type="http://schemas.openxmlformats.org/officeDocument/2006/relationships/hyperlink" Target="../../GDP%20(GOOD%20DISTRIBUTION%20PRATICE)/GSDP%20COMPANY%20FILES/J.O%20SARCHMORE%20PHARM" TargetMode="External"/><Relationship Id="rId44" Type="http://schemas.openxmlformats.org/officeDocument/2006/relationships/hyperlink" Target="../../GDP%20(GOOD%20DISTRIBUTION%20PRATICE)/GSDP%20COMPANY%20FILES/KCH%20CONSUMER" TargetMode="External"/><Relationship Id="rId52" Type="http://schemas.openxmlformats.org/officeDocument/2006/relationships/hyperlink" Target="../../GDP%20(GOOD%20DISTRIBUTION%20PRATICE)/GSDP%20COMPANY%20FILES/NEOLIFE" TargetMode="External"/><Relationship Id="rId60" Type="http://schemas.openxmlformats.org/officeDocument/2006/relationships/hyperlink" Target="../../GDP%20(GOOD%20DISTRIBUTION%20PRATICE)/GSDP%20COMPANY%20FILES/NECTAR" TargetMode="External"/><Relationship Id="rId65" Type="http://schemas.openxmlformats.org/officeDocument/2006/relationships/hyperlink" Target="../../GDP%20(GOOD%20DISTRIBUTION%20PRATICE)/GSDP%20COMPANY%20FILES/FEDESON%20PHARM" TargetMode="External"/><Relationship Id="rId4" Type="http://schemas.openxmlformats.org/officeDocument/2006/relationships/hyperlink" Target="../GSDP%20COMPANY%20FILES/PHARMAMAX%20NIG.%20LTD" TargetMode="External"/><Relationship Id="rId9" Type="http://schemas.openxmlformats.org/officeDocument/2006/relationships/hyperlink" Target="../../../../../:f:/s/PMSLAGOS/IgCUQZK2E93cTrISgtDrI0ZMAV-NqRDBoKQbx6_9LaYcMSI?e=Uozznt" TargetMode="External"/><Relationship Id="rId13" Type="http://schemas.openxmlformats.org/officeDocument/2006/relationships/hyperlink" Target="../GSDP%20COMPANY%20FILES/SOLOCHUKS%20PHARM" TargetMode="External"/><Relationship Id="rId18" Type="http://schemas.openxmlformats.org/officeDocument/2006/relationships/hyperlink" Target="../../GDP%20(GOOD%20DISTRIBUTION%20PRATICE)/GSDP%20COMPANY%20FILES/TONIVIC" TargetMode="External"/><Relationship Id="rId39" Type="http://schemas.openxmlformats.org/officeDocument/2006/relationships/hyperlink" Target="../../GDP%20(GOOD%20DISTRIBUTION%20PRATICE)/GSDP%20COMPANY%20FILES/INTERPHARM%20GMBH" TargetMode="External"/><Relationship Id="rId34" Type="http://schemas.openxmlformats.org/officeDocument/2006/relationships/hyperlink" Target="../../GDP%20(GOOD%20DISTRIBUTION%20PRATICE)/GSDP%20COMPANY%20FILES/EMBASSY%20PHARM" TargetMode="External"/><Relationship Id="rId50" Type="http://schemas.openxmlformats.org/officeDocument/2006/relationships/hyperlink" Target="../../GDP%20(GOOD%20DISTRIBUTION%20PRATICE)/GSDP%20COMPANY%20FILES/MERIT%20HEALTHCARE" TargetMode="External"/><Relationship Id="rId55" Type="http://schemas.openxmlformats.org/officeDocument/2006/relationships/hyperlink" Target="../../GDP%20(GOOD%20DISTRIBUTION%20PRATICE)/GSDP%20COMPANY%20FILES/TRICARE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GDP%20(GOOD%20DISTRIBUTION%20PRATICE)/GSDP%20COMPANY%20FILES/TONIVIC" TargetMode="External"/><Relationship Id="rId13" Type="http://schemas.openxmlformats.org/officeDocument/2006/relationships/hyperlink" Target="../../GDP%20(GOOD%20DISTRIBUTION%20PRATICE)/GSDP%20COMPANY%20FILES/MIVERO%20PHARM" TargetMode="External"/><Relationship Id="rId3" Type="http://schemas.openxmlformats.org/officeDocument/2006/relationships/hyperlink" Target="../GSDP%20COMPANY%20FILES/SOLOCHUKS%20PHARM" TargetMode="External"/><Relationship Id="rId7" Type="http://schemas.openxmlformats.org/officeDocument/2006/relationships/hyperlink" Target="../../GDP%20(GOOD%20DISTRIBUTION%20PRATICE)/GSDP%20COMPANY%20FILES/S.%20UMUNNA%20PHARM" TargetMode="External"/><Relationship Id="rId12" Type="http://schemas.openxmlformats.org/officeDocument/2006/relationships/hyperlink" Target="../../../../../:f:/s/PMSLAGOS/IgA0Jl4IY1vDR7iQOT0MDq3TAUynKViboBPDh_ABRHjR7sQ?e=A8QmxD" TargetMode="External"/><Relationship Id="rId17" Type="http://schemas.openxmlformats.org/officeDocument/2006/relationships/table" Target="../tables/table2.xml"/><Relationship Id="rId2" Type="http://schemas.openxmlformats.org/officeDocument/2006/relationships/hyperlink" Target="../../GDP%20(GOOD%20DISTRIBUTION%20PRATICE)/GSDP%20COMPANY%20FILES/SONYDON%20&amp;%20SON" TargetMode="External"/><Relationship Id="rId16" Type="http://schemas.openxmlformats.org/officeDocument/2006/relationships/hyperlink" Target="../../GDP%20(GOOD%20DISTRIBUTION%20PRATICE)/GSDP%20COMPANY%20FILES/EZE-SUNICH%20PHARM" TargetMode="External"/><Relationship Id="rId1" Type="http://schemas.openxmlformats.org/officeDocument/2006/relationships/hyperlink" Target="../GSDP%20COMPANY%20FILES/DI-MAGGIO" TargetMode="External"/><Relationship Id="rId6" Type="http://schemas.openxmlformats.org/officeDocument/2006/relationships/hyperlink" Target="../../GDP%20(GOOD%20DISTRIBUTION%20PRATICE)/GSDP%20COMPANY%20FILES/EL-NOSCO%20PHARM" TargetMode="External"/><Relationship Id="rId11" Type="http://schemas.openxmlformats.org/officeDocument/2006/relationships/hyperlink" Target="../../GDP%20(GOOD%20DISTRIBUTION%20PRATICE)/GSDP%20COMPANY%20FILES/RALPHONES%20PHARMACEUTICAL%20LTD" TargetMode="External"/><Relationship Id="rId5" Type="http://schemas.openxmlformats.org/officeDocument/2006/relationships/hyperlink" Target="../../GDP%20(GOOD%20DISTRIBUTION%20PRATICE)/GSDP%20COMPANY%20FILES/GRACE%20JOHNSON%20LTD" TargetMode="External"/><Relationship Id="rId15" Type="http://schemas.openxmlformats.org/officeDocument/2006/relationships/hyperlink" Target="../../GDP%20(GOOD%20DISTRIBUTION%20PRATICE)/GSDP%20COMPANY%20FILES/FEDESON%20PHARM" TargetMode="External"/><Relationship Id="rId10" Type="http://schemas.openxmlformats.org/officeDocument/2006/relationships/hyperlink" Target="../../GDP%20(GOOD%20DISTRIBUTION%20PRATICE)/GSDP%20COMPANY%20FILES/GOODCARE" TargetMode="External"/><Relationship Id="rId4" Type="http://schemas.openxmlformats.org/officeDocument/2006/relationships/hyperlink" Target="../../GDP%20(GOOD%20DISTRIBUTION%20PRATICE)/GSDP%20COMPANY%20FILES/SLOCHARS%20PHARM" TargetMode="External"/><Relationship Id="rId9" Type="http://schemas.openxmlformats.org/officeDocument/2006/relationships/hyperlink" Target="../../GDP%20(GOOD%20DISTRIBUTION%20PRATICE)/GSDP%20COMPANY%20FILES/JOEBIZ%20PHARMACY" TargetMode="External"/><Relationship Id="rId14" Type="http://schemas.openxmlformats.org/officeDocument/2006/relationships/hyperlink" Target="../../GDP%20(GOOD%20DISTRIBUTION%20PRATICE)/GSDP%20COMPANY%20FILES/SEC%20PHARMACEUTICA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GDP%20(GOOD%20DISTRIBUTION%20PRATICE)/GSDP%20COMPANY%20FILES/EMBASSY%20PHARM" TargetMode="External"/><Relationship Id="rId3" Type="http://schemas.openxmlformats.org/officeDocument/2006/relationships/hyperlink" Target="../../GDP%20(GOOD%20DISTRIBUTION%20PRATICE)/GSDP%20COMPANY%20FILES/SPINE%20PRODUCT%20LTD" TargetMode="External"/><Relationship Id="rId7" Type="http://schemas.openxmlformats.org/officeDocument/2006/relationships/hyperlink" Target="../../GDP%20(GOOD%20DISTRIBUTION%20PRATICE)/GSDP%20COMPANY%20FILES/AL-TINEZ%20PHARMA.%20LTD" TargetMode="External"/><Relationship Id="rId2" Type="http://schemas.openxmlformats.org/officeDocument/2006/relationships/hyperlink" Target="../../GDP%20(GOOD%20DISTRIBUTION%20PRATICE)/GSDP%20COMPANY%20FILES/CHUPET%20PHARMACEUTICALS" TargetMode="External"/><Relationship Id="rId1" Type="http://schemas.openxmlformats.org/officeDocument/2006/relationships/hyperlink" Target="../../../../../:f:/s/PMSLAGOS/IgDEREDujMUYRZhkrewJEPixAbYbfZ1LbL8qianGZ-plcdU?e=WqHder" TargetMode="External"/><Relationship Id="rId6" Type="http://schemas.openxmlformats.org/officeDocument/2006/relationships/hyperlink" Target="../../GDP%20(GOOD%20DISTRIBUTION%20PRATICE)/GSDP%20COMPANY%20FILES/SUNLIGHT%20LINK%20PHARMACY" TargetMode="External"/><Relationship Id="rId5" Type="http://schemas.openxmlformats.org/officeDocument/2006/relationships/hyperlink" Target="../../GDP%20(GOOD%20DISTRIBUTION%20PRATICE)/GSDP%20COMPANY%20FILES/J.O%20SARCHMORE%20PHARM" TargetMode="External"/><Relationship Id="rId10" Type="http://schemas.openxmlformats.org/officeDocument/2006/relationships/table" Target="../tables/table3.xml"/><Relationship Id="rId4" Type="http://schemas.openxmlformats.org/officeDocument/2006/relationships/hyperlink" Target="../../GDP%20(GOOD%20DISTRIBUTION%20PRATICE)/GSDP%20COMPANY%20FILES/HOLY%20TRINTY%20PHARM" TargetMode="External"/><Relationship Id="rId9" Type="http://schemas.openxmlformats.org/officeDocument/2006/relationships/hyperlink" Target="../../GDP%20(GOOD%20DISTRIBUTION%20PRATICE)/GSDP%20COMPANY%20FILES/HILLY%20PHARMACY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../GDP%20(GOOD%20DISTRIBUTION%20PRATICE)/GSDP%20COMPANY%20FILES/INTERPHARM%20GMBH" TargetMode="External"/><Relationship Id="rId3" Type="http://schemas.openxmlformats.org/officeDocument/2006/relationships/hyperlink" Target="../../GDP%20(GOOD%20DISTRIBUTION%20PRATICE)/GSDP%20COMPANY%20FILES/UNIQUE%20PHARMACEUTICALS" TargetMode="External"/><Relationship Id="rId7" Type="http://schemas.openxmlformats.org/officeDocument/2006/relationships/hyperlink" Target="../../GDP%20(GOOD%20DISTRIBUTION%20PRATICE)/GSDP%20COMPANY%20FILES/PHARMAMAX%20NIG.%20LTD" TargetMode="External"/><Relationship Id="rId2" Type="http://schemas.openxmlformats.org/officeDocument/2006/relationships/hyperlink" Target="../../GDP%20(GOOD%20DISTRIBUTION%20PRATICE)/GSDP%20COMPANY%20FILES/UNIQUE%20PHARMACEUTICALS" TargetMode="External"/><Relationship Id="rId1" Type="http://schemas.openxmlformats.org/officeDocument/2006/relationships/hyperlink" Target="../../GDP%20(GOOD%20DISTRIBUTION%20PRATICE)/GSDP%20COMPANY%20FILES/ZADIP%20PHARMA" TargetMode="External"/><Relationship Id="rId6" Type="http://schemas.openxmlformats.org/officeDocument/2006/relationships/hyperlink" Target="../../GDP%20(GOOD%20DISTRIBUTION%20PRATICE)/GSDP%20COMPANY%20FILES/MARCSON%20HEALTHCARE" TargetMode="External"/><Relationship Id="rId11" Type="http://schemas.openxmlformats.org/officeDocument/2006/relationships/table" Target="../tables/table4.xml"/><Relationship Id="rId5" Type="http://schemas.openxmlformats.org/officeDocument/2006/relationships/hyperlink" Target="../../GDP%20(GOOD%20DISTRIBUTION%20PRATICE)/GSDP%20COMPANY%20FILES/AWARD%20GLOBAL" TargetMode="External"/><Relationship Id="rId10" Type="http://schemas.openxmlformats.org/officeDocument/2006/relationships/hyperlink" Target="../../GDP%20(GOOD%20DISTRIBUTION%20PRATICE)/GSDP%20COMPANY%20FILES/XCEL%20PHARMA" TargetMode="External"/><Relationship Id="rId4" Type="http://schemas.openxmlformats.org/officeDocument/2006/relationships/hyperlink" Target="../../GDP%20(GOOD%20DISTRIBUTION%20PRATICE)/GSDP%20COMPANY%20FILES/INTERPHARM%20GMBH" TargetMode="External"/><Relationship Id="rId9" Type="http://schemas.openxmlformats.org/officeDocument/2006/relationships/hyperlink" Target="../../GDP%20(GOOD%20DISTRIBUTION%20PRATICE)/GSDP%20COMPANY%20FILES/KCH%20CONSUME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../../GDP%20(GOOD%20DISTRIBUTION%20PRATICE)/GSDP%20COMPANY%20FILES/AWARD%20GLOBAL" TargetMode="External"/><Relationship Id="rId3" Type="http://schemas.openxmlformats.org/officeDocument/2006/relationships/hyperlink" Target="../../GDP%20(GOOD%20DISTRIBUTION%20PRATICE)/GSDP%20COMPANY%20FILES/PLACEWARE%20NIG%20LTD" TargetMode="External"/><Relationship Id="rId7" Type="http://schemas.openxmlformats.org/officeDocument/2006/relationships/hyperlink" Target="../../GDP%20(GOOD%20DISTRIBUTION%20PRATICE)/GSDP%20COMPANY%20FILES/NEOLIFE" TargetMode="External"/><Relationship Id="rId2" Type="http://schemas.openxmlformats.org/officeDocument/2006/relationships/hyperlink" Target="../../GDP%20(GOOD%20DISTRIBUTION%20PRATICE)/GSDP%20COMPANY%20FILES/VACCI%20PHARM" TargetMode="External"/><Relationship Id="rId1" Type="http://schemas.openxmlformats.org/officeDocument/2006/relationships/hyperlink" Target="../../GDP%20(GOOD%20DISTRIBUTION%20PRATICE)/GSDP%20COMPANY%20FILES/MEDVACC%20PHARMACY" TargetMode="External"/><Relationship Id="rId6" Type="http://schemas.openxmlformats.org/officeDocument/2006/relationships/hyperlink" Target="../../GDP%20(GOOD%20DISTRIBUTION%20PRATICE)/GSDP%20COMPANY%20FILES/exxon" TargetMode="External"/><Relationship Id="rId5" Type="http://schemas.openxmlformats.org/officeDocument/2006/relationships/hyperlink" Target="../../GDP%20(GOOD%20DISTRIBUTION%20PRATICE)/GSDP%20COMPANY%20FILES/MERIT%20HEALTHCARE" TargetMode="External"/><Relationship Id="rId4" Type="http://schemas.openxmlformats.org/officeDocument/2006/relationships/hyperlink" Target="../../GDP%20(GOOD%20DISTRIBUTION%20PRATICE)/GSDP%20COMPANY%20FILES/SUMMIT%20HEALTHCAR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../../GDP%20(GOOD%20DISTRIBUTION%20PRATICE)/GSDP%20COMPANY%20FILES/CHANRAI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../../GDP%20(GOOD%20DISTRIBUTION%20PRATICE)/GSDP%20COMPANY%20FILES/Faes%20Farma%20ltd" TargetMode="External"/><Relationship Id="rId3" Type="http://schemas.openxmlformats.org/officeDocument/2006/relationships/hyperlink" Target="../../GDP%20(GOOD%20DISTRIBUTION%20PRATICE)/GSDP%20COMPANY%20FILES/Seagreen%20Pharmaceuticals" TargetMode="External"/><Relationship Id="rId7" Type="http://schemas.openxmlformats.org/officeDocument/2006/relationships/hyperlink" Target="../../GDP%20(GOOD%20DISTRIBUTION%20PRATICE)/GSDP%20COMPANY%20FILES/ZOGGAR%20PHARMA%20LTD" TargetMode="External"/><Relationship Id="rId2" Type="http://schemas.openxmlformats.org/officeDocument/2006/relationships/hyperlink" Target="../../GDP%20(GOOD%20DISTRIBUTION%20PRATICE)/GSDP%20COMPANY%20FILES/STERLING%20BIOPHARMA" TargetMode="External"/><Relationship Id="rId1" Type="http://schemas.openxmlformats.org/officeDocument/2006/relationships/hyperlink" Target="../../GDP%20(GOOD%20DISTRIBUTION%20PRATICE)/GSDP%20COMPANY%20FILES/TRICARE" TargetMode="External"/><Relationship Id="rId6" Type="http://schemas.openxmlformats.org/officeDocument/2006/relationships/hyperlink" Target="../../GDP%20(GOOD%20DISTRIBUTION%20PRATICE)/GSDP%20COMPANY%20FILES/NECTAR" TargetMode="External"/><Relationship Id="rId5" Type="http://schemas.openxmlformats.org/officeDocument/2006/relationships/hyperlink" Target="../../GDP%20(GOOD%20DISTRIBUTION%20PRATICE)/GSDP%20COMPANY%20FILES/Pharmgate%20Healthcare%20LTD" TargetMode="External"/><Relationship Id="rId4" Type="http://schemas.openxmlformats.org/officeDocument/2006/relationships/hyperlink" Target="../../GDP%20(GOOD%20DISTRIBUTION%20PRATICE)/GSDP%20COMPANY%20FILES/Brent%20Cross" TargetMode="External"/><Relationship Id="rId9" Type="http://schemas.openxmlformats.org/officeDocument/2006/relationships/hyperlink" Target="../../GDP%20(GOOD%20DISTRIBUTION%20PRATICE)/GSDP%20COMPANY%20FILES/LYN%20EDG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:f:/s/PMSLAGOS/IgAZIAHaZegeQYN89KtT_6GDAaPXZeT9rHT9gXpLVlH5eSA?e=rXDzj4" TargetMode="External"/><Relationship Id="rId7" Type="http://schemas.openxmlformats.org/officeDocument/2006/relationships/hyperlink" Target="../../../../../:f:/s/PMSLAGOS/IgAZIAHaZegeQYN89KtT_6GDAaPXZeT9rHT9gXpLVlH5eSA?e=rXDzj4" TargetMode="External"/><Relationship Id="rId2" Type="http://schemas.openxmlformats.org/officeDocument/2006/relationships/hyperlink" Target="../../../../../:f:/s/PMSLAGOS/IgCUQZK2E93cTrISgtDrI0ZMAV-NqRDBoKQbx6_9LaYcMSI?e=Uozznt" TargetMode="External"/><Relationship Id="rId1" Type="http://schemas.openxmlformats.org/officeDocument/2006/relationships/hyperlink" Target="../../GDP%20(GOOD%20DISTRIBUTION%20PRATICE)/GSDP%20COMPANY%20FILES/TETA%20PHARMACEUTICALS" TargetMode="External"/><Relationship Id="rId6" Type="http://schemas.openxmlformats.org/officeDocument/2006/relationships/hyperlink" Target="../../../../../:f:/s/PMSLAGOS/IgAZIAHaZegeQYN89KtT_6GDAaPXZeT9rHT9gXpLVlH5eSA?e=rXDzj4" TargetMode="External"/><Relationship Id="rId5" Type="http://schemas.openxmlformats.org/officeDocument/2006/relationships/hyperlink" Target="../../GDP%20(GOOD%20DISTRIBUTION%20PRATICE)/GSDP%20COMPANY%20FILES/GBGL%20PHARMACEUTICALS" TargetMode="External"/><Relationship Id="rId4" Type="http://schemas.openxmlformats.org/officeDocument/2006/relationships/hyperlink" Target="../../GDP%20(GOOD%20DISTRIBUTION%20PRATICE)/GSDP%20COMPANY%20FILES/IDEAL%20EAGLE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C38B-CF2F-40E9-A60E-A85476C3836B}">
  <sheetPr>
    <pageSetUpPr fitToPage="1"/>
  </sheetPr>
  <dimension ref="A1:O281"/>
  <sheetViews>
    <sheetView tabSelected="1" topLeftCell="A29" zoomScale="65" zoomScaleNormal="77" workbookViewId="0">
      <pane xSplit="2" topLeftCell="E1" activePane="topRight" state="frozen"/>
      <selection pane="topRight" activeCell="L37" sqref="L37"/>
    </sheetView>
  </sheetViews>
  <sheetFormatPr defaultColWidth="9.140625" defaultRowHeight="15.75" customHeight="1"/>
  <cols>
    <col min="1" max="1" width="9.140625" style="2"/>
    <col min="2" max="2" width="42.42578125" style="2" customWidth="1"/>
    <col min="3" max="3" width="58.5703125" style="2" customWidth="1"/>
    <col min="4" max="4" width="34.85546875" style="2" customWidth="1"/>
    <col min="5" max="5" width="23.5703125" style="2" customWidth="1"/>
    <col min="6" max="6" width="31.140625" style="2" customWidth="1"/>
    <col min="7" max="7" width="19.5703125" style="2" customWidth="1"/>
    <col min="8" max="9" width="14.140625" style="2" customWidth="1"/>
    <col min="10" max="10" width="19.28515625" style="2" customWidth="1"/>
    <col min="11" max="11" width="21.5703125" style="2" customWidth="1"/>
    <col min="12" max="12" width="19" style="2" customWidth="1"/>
    <col min="13" max="14" width="19" style="3" customWidth="1"/>
    <col min="15" max="15" width="27.28515625" style="4" customWidth="1"/>
    <col min="16" max="16384" width="9.140625" style="4"/>
  </cols>
  <sheetData>
    <row r="1" spans="1:15" ht="13.5" customHeight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</row>
    <row r="2" spans="1:15" ht="5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 t="s">
        <v>13</v>
      </c>
      <c r="N2" s="5" t="s">
        <v>14</v>
      </c>
      <c r="O2" s="6" t="s">
        <v>15</v>
      </c>
    </row>
    <row r="3" spans="1:15" s="8" customFormat="1" ht="39" hidden="1" customHeight="1">
      <c r="A3" s="2">
        <v>1</v>
      </c>
      <c r="B3" s="2" t="s">
        <v>16</v>
      </c>
      <c r="C3" s="2" t="s">
        <v>17</v>
      </c>
      <c r="D3" s="2" t="s">
        <v>18</v>
      </c>
      <c r="E3" s="2" t="s">
        <v>19</v>
      </c>
      <c r="F3" s="33">
        <v>45362</v>
      </c>
      <c r="G3" s="2" t="s">
        <v>20</v>
      </c>
      <c r="H3" s="2" t="s">
        <v>21</v>
      </c>
      <c r="I3" s="2" t="s">
        <v>22</v>
      </c>
      <c r="J3" s="2" t="s">
        <v>23</v>
      </c>
      <c r="K3" s="2" t="str">
        <f>IF(I3="YES","CAPA VERIFICATION SHOULD BE SCHEDULED",IF(I3="NO","REMINDER LETTER SHOULD BE SENT",""))</f>
        <v>REMINDER LETTER SHOULD BE SENT</v>
      </c>
      <c r="L3" s="7">
        <v>45717</v>
      </c>
      <c r="M3" s="28" t="s">
        <v>24</v>
      </c>
      <c r="N3" s="32" t="s">
        <v>25</v>
      </c>
      <c r="O3" s="35" t="str">
        <f>IF(M3="","",HYPERLINK(M3,B3))</f>
        <v xml:space="preserve">DI MAGGO PHARMACEUTICALS
</v>
      </c>
    </row>
    <row r="4" spans="1:15" s="8" customFormat="1" ht="43.15" hidden="1">
      <c r="A4" s="2">
        <v>2</v>
      </c>
      <c r="B4" s="2" t="s">
        <v>26</v>
      </c>
      <c r="C4" s="2" t="s">
        <v>27</v>
      </c>
      <c r="D4" s="2" t="s">
        <v>28</v>
      </c>
      <c r="E4" s="2" t="s">
        <v>19</v>
      </c>
      <c r="F4" s="33">
        <v>45362</v>
      </c>
      <c r="G4" s="2" t="s">
        <v>20</v>
      </c>
      <c r="H4" s="2" t="s">
        <v>29</v>
      </c>
      <c r="I4" s="2" t="s">
        <v>22</v>
      </c>
      <c r="J4" s="2" t="s">
        <v>23</v>
      </c>
      <c r="K4" s="2" t="str">
        <f>IF(I4="YES","CAPA VERIFICATION SHOULD BE SCHEDULED",IF(I4="NO","REMINDER LETTER SHOULD BE SENT",""))</f>
        <v>REMINDER LETTER SHOULD BE SENT</v>
      </c>
      <c r="L4" s="7">
        <v>45717</v>
      </c>
      <c r="M4" s="3" t="s">
        <v>30</v>
      </c>
      <c r="N4" s="32" t="s">
        <v>31</v>
      </c>
      <c r="O4" s="29" t="str">
        <f t="shared" ref="O4:O34" si="0">IF(M4="","",HYPERLINK(M4,B4))</f>
        <v xml:space="preserve">SONYDON AND SONS PHARM NIG. LTD
</v>
      </c>
    </row>
    <row r="5" spans="1:15" s="8" customFormat="1" ht="43.15" hidden="1">
      <c r="A5" s="2">
        <v>3</v>
      </c>
      <c r="B5" s="2" t="s">
        <v>32</v>
      </c>
      <c r="C5" s="2" t="s">
        <v>33</v>
      </c>
      <c r="D5" s="2" t="s">
        <v>34</v>
      </c>
      <c r="E5" s="2" t="s">
        <v>19</v>
      </c>
      <c r="F5" s="33">
        <v>45363</v>
      </c>
      <c r="G5" s="2" t="s">
        <v>20</v>
      </c>
      <c r="H5" s="2" t="s">
        <v>35</v>
      </c>
      <c r="I5" s="2" t="s">
        <v>22</v>
      </c>
      <c r="J5" s="2" t="s">
        <v>23</v>
      </c>
      <c r="K5" s="2" t="str">
        <f>IF(I6="YES","CAPA VERIFICATION SHOULD BE SCHEDULED",IF(I6="NO","REMINDER LETTER SHOULD BE SENT",""))</f>
        <v>REMINDER LETTER SHOULD BE SENT</v>
      </c>
      <c r="L5" s="7">
        <v>45717</v>
      </c>
      <c r="M5" s="10" t="s">
        <v>36</v>
      </c>
      <c r="N5" s="32" t="s">
        <v>37</v>
      </c>
      <c r="O5" s="29" t="str">
        <f>IF(M5="","",HYPERLINK(M5,B5))</f>
        <v xml:space="preserve">SOLOCHUCKS PHARMACEUTICALS
</v>
      </c>
    </row>
    <row r="6" spans="1:15" s="8" customFormat="1" ht="62.45" hidden="1">
      <c r="A6" s="2">
        <v>4</v>
      </c>
      <c r="B6" s="2" t="s">
        <v>38</v>
      </c>
      <c r="C6" s="2" t="s">
        <v>39</v>
      </c>
      <c r="D6" s="2" t="s">
        <v>40</v>
      </c>
      <c r="E6" s="2" t="s">
        <v>19</v>
      </c>
      <c r="F6" s="33">
        <v>45363</v>
      </c>
      <c r="G6" s="2" t="s">
        <v>20</v>
      </c>
      <c r="H6" s="2" t="s">
        <v>41</v>
      </c>
      <c r="I6" s="2" t="s">
        <v>22</v>
      </c>
      <c r="J6" s="2" t="s">
        <v>23</v>
      </c>
      <c r="K6" s="2" t="e">
        <f>IF(#REF!="YES","CAPA VERIFICATION SHOULD BE SCHEDULED",IF(#REF!="NO","REMINDER LETTER SHOULD BE SENT",""))</f>
        <v>#REF!</v>
      </c>
      <c r="L6" s="7">
        <v>45717</v>
      </c>
      <c r="M6" s="11" t="s">
        <v>42</v>
      </c>
      <c r="N6" s="32" t="s">
        <v>43</v>
      </c>
      <c r="O6" s="9" t="str">
        <f t="shared" si="0"/>
        <v xml:space="preserve">SLOCHARS PHARMACEUTICALS
</v>
      </c>
    </row>
    <row r="7" spans="1:15" s="8" customFormat="1" ht="31.15" hidden="1">
      <c r="A7" s="2">
        <v>5</v>
      </c>
      <c r="B7" s="2" t="s">
        <v>44</v>
      </c>
      <c r="C7" s="2" t="s">
        <v>45</v>
      </c>
      <c r="D7" s="2" t="s">
        <v>46</v>
      </c>
      <c r="E7" s="2" t="s">
        <v>19</v>
      </c>
      <c r="F7" s="33">
        <v>45364</v>
      </c>
      <c r="G7" s="2" t="s">
        <v>20</v>
      </c>
      <c r="H7" s="2" t="s">
        <v>21</v>
      </c>
      <c r="I7" s="2" t="s">
        <v>22</v>
      </c>
      <c r="J7" s="2" t="s">
        <v>23</v>
      </c>
      <c r="K7" s="2" t="str">
        <f t="shared" ref="K7:K27" si="1">IF(I7="YES","CAPA VERIFICATION SHOULD BE SCHEDULED",IF(I7="NO","REMINDER LETTER SHOULD BE SENT",""))</f>
        <v>REMINDER LETTER SHOULD BE SENT</v>
      </c>
      <c r="L7" s="7">
        <v>45717</v>
      </c>
      <c r="M7" s="10" t="s">
        <v>47</v>
      </c>
      <c r="N7" s="32" t="s">
        <v>48</v>
      </c>
      <c r="O7" s="9" t="str">
        <f t="shared" si="0"/>
        <v>GRACEJOHNSON LIMITED</v>
      </c>
    </row>
    <row r="8" spans="1:15" s="8" customFormat="1" ht="31.15" hidden="1">
      <c r="A8" s="2">
        <v>6</v>
      </c>
      <c r="B8" s="2" t="s">
        <v>49</v>
      </c>
      <c r="C8" s="2" t="s">
        <v>50</v>
      </c>
      <c r="D8" s="2" t="s">
        <v>51</v>
      </c>
      <c r="E8" s="2" t="s">
        <v>19</v>
      </c>
      <c r="F8" s="33">
        <v>45365</v>
      </c>
      <c r="G8" s="2" t="s">
        <v>20</v>
      </c>
      <c r="H8" s="2" t="s">
        <v>21</v>
      </c>
      <c r="I8" s="2" t="s">
        <v>22</v>
      </c>
      <c r="J8" s="2" t="s">
        <v>23</v>
      </c>
      <c r="K8" s="2" t="str">
        <f t="shared" si="1"/>
        <v>REMINDER LETTER SHOULD BE SENT</v>
      </c>
      <c r="L8" s="7">
        <v>45717</v>
      </c>
      <c r="M8" s="10" t="s">
        <v>52</v>
      </c>
      <c r="N8" s="32" t="s">
        <v>53</v>
      </c>
      <c r="O8" s="9" t="str">
        <f t="shared" si="0"/>
        <v>EL-NOSCO PHARMACY</v>
      </c>
    </row>
    <row r="9" spans="1:15" s="8" customFormat="1" ht="31.15" hidden="1">
      <c r="A9" s="2">
        <v>7</v>
      </c>
      <c r="B9" s="2" t="s">
        <v>54</v>
      </c>
      <c r="C9" s="2" t="s">
        <v>55</v>
      </c>
      <c r="D9" s="2" t="s">
        <v>56</v>
      </c>
      <c r="E9" s="2" t="s">
        <v>19</v>
      </c>
      <c r="F9" s="33">
        <v>45365</v>
      </c>
      <c r="G9" s="2" t="s">
        <v>20</v>
      </c>
      <c r="H9" s="2" t="s">
        <v>21</v>
      </c>
      <c r="I9" s="2" t="s">
        <v>22</v>
      </c>
      <c r="J9" s="2" t="s">
        <v>23</v>
      </c>
      <c r="K9" s="2" t="str">
        <f t="shared" si="1"/>
        <v>REMINDER LETTER SHOULD BE SENT</v>
      </c>
      <c r="L9" s="7">
        <v>45717</v>
      </c>
      <c r="M9" s="10" t="s">
        <v>57</v>
      </c>
      <c r="N9" s="32" t="s">
        <v>58</v>
      </c>
      <c r="O9" s="9" t="str">
        <f t="shared" si="0"/>
        <v>S. UMUNNA PHARMACEUTICALS</v>
      </c>
    </row>
    <row r="10" spans="1:15" s="8" customFormat="1" ht="31.15" hidden="1">
      <c r="A10" s="2">
        <v>8</v>
      </c>
      <c r="B10" s="2" t="s">
        <v>59</v>
      </c>
      <c r="C10" s="2" t="s">
        <v>60</v>
      </c>
      <c r="D10" s="2" t="s">
        <v>61</v>
      </c>
      <c r="E10" s="2" t="s">
        <v>19</v>
      </c>
      <c r="F10" s="33">
        <v>45362</v>
      </c>
      <c r="G10" s="2" t="s">
        <v>20</v>
      </c>
      <c r="H10" s="2" t="s">
        <v>62</v>
      </c>
      <c r="I10" s="2" t="s">
        <v>22</v>
      </c>
      <c r="J10" s="2" t="s">
        <v>23</v>
      </c>
      <c r="K10" s="2" t="str">
        <f t="shared" si="1"/>
        <v>REMINDER LETTER SHOULD BE SENT</v>
      </c>
      <c r="L10" s="7">
        <v>45717</v>
      </c>
      <c r="M10" s="10" t="s">
        <v>63</v>
      </c>
      <c r="N10" s="32" t="s">
        <v>64</v>
      </c>
      <c r="O10" s="9" t="str">
        <f t="shared" si="0"/>
        <v>TONIVIC PHARMACY</v>
      </c>
    </row>
    <row r="11" spans="1:15" s="8" customFormat="1" ht="31.15" hidden="1">
      <c r="A11" s="2">
        <v>9</v>
      </c>
      <c r="B11" s="2" t="s">
        <v>65</v>
      </c>
      <c r="C11" s="2" t="s">
        <v>66</v>
      </c>
      <c r="D11" s="2" t="s">
        <v>67</v>
      </c>
      <c r="E11" s="2" t="s">
        <v>19</v>
      </c>
      <c r="F11" s="33">
        <v>45369</v>
      </c>
      <c r="G11" s="2" t="s">
        <v>20</v>
      </c>
      <c r="H11" s="2" t="s">
        <v>21</v>
      </c>
      <c r="I11" s="2" t="s">
        <v>22</v>
      </c>
      <c r="J11" s="2" t="s">
        <v>23</v>
      </c>
      <c r="K11" s="2" t="str">
        <f t="shared" si="1"/>
        <v>REMINDER LETTER SHOULD BE SENT</v>
      </c>
      <c r="L11" s="7">
        <v>45717</v>
      </c>
      <c r="M11" s="10" t="s">
        <v>68</v>
      </c>
      <c r="N11" s="32" t="s">
        <v>69</v>
      </c>
      <c r="O11" s="9" t="str">
        <f t="shared" si="0"/>
        <v>JOEBIZ PHARMACY</v>
      </c>
    </row>
    <row r="12" spans="1:15" s="8" customFormat="1" ht="62.45" hidden="1">
      <c r="A12" s="2">
        <v>10</v>
      </c>
      <c r="B12" s="2" t="s">
        <v>70</v>
      </c>
      <c r="C12" s="12" t="s">
        <v>71</v>
      </c>
      <c r="D12" s="2">
        <v>8064266572</v>
      </c>
      <c r="E12" s="2" t="s">
        <v>72</v>
      </c>
      <c r="F12" s="33">
        <v>45369</v>
      </c>
      <c r="G12" s="2" t="s">
        <v>20</v>
      </c>
      <c r="H12" s="2" t="s">
        <v>21</v>
      </c>
      <c r="I12" s="2" t="s">
        <v>73</v>
      </c>
      <c r="J12" s="2" t="s">
        <v>74</v>
      </c>
      <c r="K12" s="2" t="str">
        <f t="shared" si="1"/>
        <v>CAPA VERIFICATION SHOULD BE SCHEDULED</v>
      </c>
      <c r="L12" s="7">
        <v>45717</v>
      </c>
      <c r="M12" s="28" t="s">
        <v>75</v>
      </c>
      <c r="N12" s="32" t="s">
        <v>76</v>
      </c>
      <c r="O12" s="9" t="str">
        <f t="shared" si="0"/>
        <v>GOODCARE PHARMACEUTICALS LTD (CAPA)</v>
      </c>
    </row>
    <row r="13" spans="1:15" s="8" customFormat="1" ht="46.9" hidden="1">
      <c r="A13" s="2">
        <v>11</v>
      </c>
      <c r="B13" s="12" t="s">
        <v>77</v>
      </c>
      <c r="C13" s="2" t="s">
        <v>78</v>
      </c>
      <c r="D13" s="2">
        <v>8037588238</v>
      </c>
      <c r="E13" s="2" t="s">
        <v>72</v>
      </c>
      <c r="F13" s="33">
        <v>45369</v>
      </c>
      <c r="G13" s="2" t="s">
        <v>20</v>
      </c>
      <c r="H13" s="13" t="s">
        <v>79</v>
      </c>
      <c r="I13" s="2" t="s">
        <v>22</v>
      </c>
      <c r="J13" s="2" t="s">
        <v>74</v>
      </c>
      <c r="K13" s="2" t="str">
        <f t="shared" si="1"/>
        <v>REMINDER LETTER SHOULD BE SENT</v>
      </c>
      <c r="L13" s="7">
        <v>45717</v>
      </c>
      <c r="M13" s="10" t="s">
        <v>80</v>
      </c>
      <c r="N13" s="32" t="s">
        <v>81</v>
      </c>
      <c r="O13" s="9" t="str">
        <f t="shared" si="0"/>
        <v>RALPHONES PHARMACEUTICAL (CAPA)</v>
      </c>
    </row>
    <row r="14" spans="1:15" s="8" customFormat="1" ht="31.15" hidden="1">
      <c r="A14" s="2">
        <v>12</v>
      </c>
      <c r="B14" s="2" t="s">
        <v>82</v>
      </c>
      <c r="C14" s="2" t="s">
        <v>83</v>
      </c>
      <c r="D14" s="2" t="s">
        <v>84</v>
      </c>
      <c r="E14" s="2" t="s">
        <v>19</v>
      </c>
      <c r="F14" s="33">
        <v>45369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tr">
        <f t="shared" si="1"/>
        <v>REMINDER LETTER SHOULD BE SENT</v>
      </c>
      <c r="L14" s="7">
        <v>45717</v>
      </c>
      <c r="M14" s="30" t="s">
        <v>85</v>
      </c>
      <c r="N14" s="32" t="s">
        <v>85</v>
      </c>
      <c r="O14" s="9" t="str">
        <f t="shared" si="0"/>
        <v>ROYAL PRIESTHOOD LAB LTD.</v>
      </c>
    </row>
    <row r="15" spans="1:15" s="8" customFormat="1" ht="62.45" hidden="1">
      <c r="A15" s="2">
        <v>13</v>
      </c>
      <c r="B15" s="2" t="s">
        <v>86</v>
      </c>
      <c r="C15" s="2" t="s">
        <v>87</v>
      </c>
      <c r="D15" s="2">
        <v>8161396721</v>
      </c>
      <c r="E15" s="2" t="s">
        <v>72</v>
      </c>
      <c r="F15" s="33">
        <v>45370</v>
      </c>
      <c r="G15" s="2" t="s">
        <v>88</v>
      </c>
      <c r="H15" s="2" t="s">
        <v>21</v>
      </c>
      <c r="I15" s="2" t="s">
        <v>73</v>
      </c>
      <c r="J15" s="2" t="s">
        <v>74</v>
      </c>
      <c r="K15" s="2" t="str">
        <f t="shared" si="1"/>
        <v>CAPA VERIFICATION SHOULD BE SCHEDULED</v>
      </c>
      <c r="L15" s="7">
        <v>46082</v>
      </c>
      <c r="M15" s="10" t="s">
        <v>89</v>
      </c>
      <c r="N15" s="32" t="s">
        <v>90</v>
      </c>
      <c r="O15" s="9" t="str">
        <f t="shared" si="0"/>
        <v>MIVERO PHARM LTD (CAPA)</v>
      </c>
    </row>
    <row r="16" spans="1:15" s="8" customFormat="1" ht="31.15" hidden="1">
      <c r="A16" s="2">
        <v>14</v>
      </c>
      <c r="B16" s="2" t="s">
        <v>91</v>
      </c>
      <c r="C16" s="2" t="s">
        <v>92</v>
      </c>
      <c r="D16" s="2" t="s">
        <v>93</v>
      </c>
      <c r="E16" s="2" t="s">
        <v>19</v>
      </c>
      <c r="F16" s="33">
        <v>45370</v>
      </c>
      <c r="G16" s="2" t="s">
        <v>20</v>
      </c>
      <c r="H16" s="2" t="s">
        <v>21</v>
      </c>
      <c r="I16" s="2" t="s">
        <v>22</v>
      </c>
      <c r="J16" s="2" t="s">
        <v>23</v>
      </c>
      <c r="K16" s="2" t="str">
        <f t="shared" si="1"/>
        <v>REMINDER LETTER SHOULD BE SENT</v>
      </c>
      <c r="L16" s="7">
        <v>45717</v>
      </c>
      <c r="M16" s="10" t="s">
        <v>94</v>
      </c>
      <c r="N16" s="32" t="s">
        <v>95</v>
      </c>
      <c r="O16" s="9" t="str">
        <f t="shared" si="0"/>
        <v>SEC PHARMACY</v>
      </c>
    </row>
    <row r="17" spans="1:15" s="8" customFormat="1" ht="62.45" hidden="1">
      <c r="A17" s="2">
        <v>15</v>
      </c>
      <c r="B17" s="2" t="s">
        <v>96</v>
      </c>
      <c r="C17" s="2" t="s">
        <v>97</v>
      </c>
      <c r="D17" s="2" t="s">
        <v>98</v>
      </c>
      <c r="E17" s="2" t="s">
        <v>19</v>
      </c>
      <c r="F17" s="33">
        <v>45370</v>
      </c>
      <c r="G17" s="2" t="s">
        <v>88</v>
      </c>
      <c r="H17" s="2" t="s">
        <v>21</v>
      </c>
      <c r="I17" s="2" t="s">
        <v>73</v>
      </c>
      <c r="J17" s="2" t="s">
        <v>74</v>
      </c>
      <c r="K17" s="2" t="str">
        <f t="shared" si="1"/>
        <v>CAPA VERIFICATION SHOULD BE SCHEDULED</v>
      </c>
      <c r="L17" s="7">
        <v>46082</v>
      </c>
      <c r="M17" s="10" t="s">
        <v>99</v>
      </c>
      <c r="N17" s="32" t="s">
        <v>100</v>
      </c>
      <c r="O17" s="9" t="str">
        <f t="shared" si="0"/>
        <v>FEDESON PHARMACY</v>
      </c>
    </row>
    <row r="18" spans="1:15" s="8" customFormat="1" ht="62.45" hidden="1">
      <c r="A18" s="14">
        <v>16</v>
      </c>
      <c r="B18" s="2" t="s">
        <v>101</v>
      </c>
      <c r="C18" s="2" t="s">
        <v>102</v>
      </c>
      <c r="D18" s="2" t="s">
        <v>103</v>
      </c>
      <c r="E18" s="2" t="s">
        <v>72</v>
      </c>
      <c r="F18" s="33">
        <v>45427</v>
      </c>
      <c r="G18" s="2" t="s">
        <v>88</v>
      </c>
      <c r="H18" s="2" t="s">
        <v>104</v>
      </c>
      <c r="I18" s="2" t="s">
        <v>73</v>
      </c>
      <c r="J18" s="2" t="s">
        <v>74</v>
      </c>
      <c r="K18" s="2" t="str">
        <f t="shared" si="1"/>
        <v>CAPA VERIFICATION SHOULD BE SCHEDULED</v>
      </c>
      <c r="L18" s="15">
        <v>46143</v>
      </c>
      <c r="M18" s="30" t="s">
        <v>105</v>
      </c>
      <c r="N18" s="32" t="s">
        <v>105</v>
      </c>
      <c r="O18" s="9" t="str">
        <f t="shared" si="0"/>
        <v>ALATRA PHARMACEUTICALS (CAPA)</v>
      </c>
    </row>
    <row r="19" spans="1:15" s="8" customFormat="1" ht="31.15" hidden="1">
      <c r="A19" s="2">
        <v>17</v>
      </c>
      <c r="B19" s="2" t="s">
        <v>106</v>
      </c>
      <c r="C19" s="2" t="s">
        <v>107</v>
      </c>
      <c r="D19" s="2" t="s">
        <v>108</v>
      </c>
      <c r="E19" s="2" t="s">
        <v>19</v>
      </c>
      <c r="F19" s="33">
        <v>45371</v>
      </c>
      <c r="G19" s="2" t="s">
        <v>20</v>
      </c>
      <c r="H19" s="2" t="s">
        <v>21</v>
      </c>
      <c r="I19" s="2" t="s">
        <v>22</v>
      </c>
      <c r="J19" s="2" t="s">
        <v>23</v>
      </c>
      <c r="K19" s="2" t="str">
        <f t="shared" si="1"/>
        <v>REMINDER LETTER SHOULD BE SENT</v>
      </c>
      <c r="L19" s="7">
        <v>45717</v>
      </c>
      <c r="M19" s="10" t="s">
        <v>109</v>
      </c>
      <c r="N19" s="32" t="s">
        <v>110</v>
      </c>
      <c r="O19" s="9" t="str">
        <f t="shared" si="0"/>
        <v>EZE-SUNICH PHARMACY</v>
      </c>
    </row>
    <row r="20" spans="1:15" s="8" customFormat="1" ht="31.15" hidden="1">
      <c r="A20" s="2">
        <v>18</v>
      </c>
      <c r="B20" s="2" t="s">
        <v>111</v>
      </c>
      <c r="C20" s="2" t="s">
        <v>112</v>
      </c>
      <c r="D20" s="2" t="s">
        <v>113</v>
      </c>
      <c r="E20" s="2" t="s">
        <v>19</v>
      </c>
      <c r="F20" s="33">
        <v>45418</v>
      </c>
      <c r="G20" s="2" t="s">
        <v>20</v>
      </c>
      <c r="H20" s="2" t="s">
        <v>114</v>
      </c>
      <c r="I20" s="2" t="s">
        <v>22</v>
      </c>
      <c r="J20" s="2" t="s">
        <v>23</v>
      </c>
      <c r="K20" s="2" t="str">
        <f t="shared" si="1"/>
        <v>REMINDER LETTER SHOULD BE SENT</v>
      </c>
      <c r="L20" s="15">
        <v>45778</v>
      </c>
      <c r="M20" s="3"/>
      <c r="N20" s="3"/>
      <c r="O20" s="9" t="str">
        <f t="shared" si="0"/>
        <v/>
      </c>
    </row>
    <row r="21" spans="1:15" s="8" customFormat="1" ht="62.45" hidden="1">
      <c r="A21" s="2">
        <v>19</v>
      </c>
      <c r="B21" s="2" t="s">
        <v>115</v>
      </c>
      <c r="C21" s="2" t="s">
        <v>116</v>
      </c>
      <c r="D21" s="2" t="s">
        <v>117</v>
      </c>
      <c r="E21" s="2" t="s">
        <v>19</v>
      </c>
      <c r="F21" s="33">
        <v>45419</v>
      </c>
      <c r="G21" s="2" t="s">
        <v>88</v>
      </c>
      <c r="H21" s="13">
        <v>45570</v>
      </c>
      <c r="I21" s="2" t="s">
        <v>73</v>
      </c>
      <c r="J21" s="2" t="s">
        <v>118</v>
      </c>
      <c r="K21" s="2" t="str">
        <f t="shared" si="1"/>
        <v>CAPA VERIFICATION SHOULD BE SCHEDULED</v>
      </c>
      <c r="L21" s="15">
        <v>46143</v>
      </c>
      <c r="M21" s="10" t="s">
        <v>119</v>
      </c>
      <c r="N21" s="32" t="s">
        <v>120</v>
      </c>
      <c r="O21" s="9" t="str">
        <f t="shared" si="0"/>
        <v xml:space="preserve">CHUPET PHARMACEUTICAL
</v>
      </c>
    </row>
    <row r="22" spans="1:15" s="8" customFormat="1" ht="31.15" hidden="1">
      <c r="A22" s="2">
        <v>20</v>
      </c>
      <c r="B22" s="2" t="s">
        <v>121</v>
      </c>
      <c r="C22" s="2" t="s">
        <v>122</v>
      </c>
      <c r="D22" s="2" t="s">
        <v>123</v>
      </c>
      <c r="E22" s="2" t="s">
        <v>19</v>
      </c>
      <c r="F22" s="33">
        <v>45420</v>
      </c>
      <c r="G22" s="2" t="s">
        <v>20</v>
      </c>
      <c r="H22" s="2" t="s">
        <v>124</v>
      </c>
      <c r="I22" s="2" t="s">
        <v>22</v>
      </c>
      <c r="J22" s="2" t="s">
        <v>23</v>
      </c>
      <c r="K22" s="2" t="str">
        <f t="shared" si="1"/>
        <v>REMINDER LETTER SHOULD BE SENT</v>
      </c>
      <c r="L22" s="15">
        <v>45778</v>
      </c>
      <c r="M22" s="31" t="s">
        <v>125</v>
      </c>
      <c r="N22" s="32" t="s">
        <v>126</v>
      </c>
      <c r="O22" s="9" t="str">
        <f t="shared" si="0"/>
        <v>SPINE PRODUCT LTD</v>
      </c>
    </row>
    <row r="23" spans="1:15" s="8" customFormat="1" ht="31.15" hidden="1">
      <c r="A23" s="2">
        <v>21</v>
      </c>
      <c r="B23" s="2" t="s">
        <v>127</v>
      </c>
      <c r="C23" s="2" t="s">
        <v>128</v>
      </c>
      <c r="D23" s="2" t="s">
        <v>129</v>
      </c>
      <c r="E23" s="2" t="s">
        <v>19</v>
      </c>
      <c r="F23" s="33">
        <v>45421</v>
      </c>
      <c r="G23" s="2" t="s">
        <v>20</v>
      </c>
      <c r="H23" s="2" t="s">
        <v>130</v>
      </c>
      <c r="I23" s="2" t="s">
        <v>22</v>
      </c>
      <c r="J23" s="2" t="s">
        <v>23</v>
      </c>
      <c r="K23" s="2" t="str">
        <f t="shared" si="1"/>
        <v>REMINDER LETTER SHOULD BE SENT</v>
      </c>
      <c r="L23" s="15">
        <v>45778</v>
      </c>
      <c r="M23" s="10" t="s">
        <v>131</v>
      </c>
      <c r="N23" s="32" t="s">
        <v>132</v>
      </c>
      <c r="O23" s="9" t="str">
        <f t="shared" si="0"/>
        <v>HOLY TRINTY PHARMACY</v>
      </c>
    </row>
    <row r="24" spans="1:15" s="8" customFormat="1" ht="31.15" hidden="1">
      <c r="A24" s="2">
        <v>22</v>
      </c>
      <c r="B24" s="2" t="s">
        <v>133</v>
      </c>
      <c r="C24" s="2" t="s">
        <v>134</v>
      </c>
      <c r="D24" s="2" t="s">
        <v>135</v>
      </c>
      <c r="E24" s="2" t="s">
        <v>19</v>
      </c>
      <c r="F24" s="33">
        <v>45421</v>
      </c>
      <c r="G24" s="2" t="s">
        <v>20</v>
      </c>
      <c r="H24" s="2" t="s">
        <v>114</v>
      </c>
      <c r="I24" s="2" t="s">
        <v>22</v>
      </c>
      <c r="J24" s="2" t="s">
        <v>23</v>
      </c>
      <c r="K24" s="2" t="str">
        <f t="shared" si="1"/>
        <v>REMINDER LETTER SHOULD BE SENT</v>
      </c>
      <c r="L24" s="15">
        <v>45778</v>
      </c>
      <c r="M24" s="10" t="s">
        <v>136</v>
      </c>
      <c r="N24" s="32" t="s">
        <v>137</v>
      </c>
      <c r="O24" s="9" t="str">
        <f t="shared" si="0"/>
        <v>J.O SARCHMORE PHARMACY</v>
      </c>
    </row>
    <row r="25" spans="1:15" s="8" customFormat="1" ht="31.15" hidden="1">
      <c r="A25" s="2">
        <v>23</v>
      </c>
      <c r="B25" s="2" t="s">
        <v>138</v>
      </c>
      <c r="C25" s="2" t="s">
        <v>139</v>
      </c>
      <c r="D25" s="2" t="s">
        <v>140</v>
      </c>
      <c r="E25" s="2" t="s">
        <v>19</v>
      </c>
      <c r="F25" s="33">
        <v>45425</v>
      </c>
      <c r="G25" s="2" t="s">
        <v>20</v>
      </c>
      <c r="H25" s="2" t="s">
        <v>124</v>
      </c>
      <c r="I25" s="2" t="s">
        <v>22</v>
      </c>
      <c r="J25" s="2" t="s">
        <v>23</v>
      </c>
      <c r="K25" s="2" t="str">
        <f t="shared" si="1"/>
        <v>REMINDER LETTER SHOULD BE SENT</v>
      </c>
      <c r="L25" s="15">
        <v>45778</v>
      </c>
      <c r="M25" s="10" t="s">
        <v>141</v>
      </c>
      <c r="N25" s="32" t="s">
        <v>142</v>
      </c>
      <c r="O25" s="9" t="str">
        <f t="shared" si="0"/>
        <v>SUNLIGHT LINKS PHARMACY LTD</v>
      </c>
    </row>
    <row r="26" spans="1:15" s="8" customFormat="1" ht="31.15" hidden="1">
      <c r="A26" s="2">
        <v>24</v>
      </c>
      <c r="B26" s="2" t="s">
        <v>143</v>
      </c>
      <c r="C26" s="2" t="s">
        <v>144</v>
      </c>
      <c r="D26" s="2" t="s">
        <v>145</v>
      </c>
      <c r="E26" s="2" t="s">
        <v>19</v>
      </c>
      <c r="F26" s="33">
        <v>45425</v>
      </c>
      <c r="G26" s="2" t="s">
        <v>20</v>
      </c>
      <c r="H26" s="2" t="s">
        <v>104</v>
      </c>
      <c r="I26" s="2" t="s">
        <v>22</v>
      </c>
      <c r="J26" s="2" t="s">
        <v>23</v>
      </c>
      <c r="K26" s="2" t="str">
        <f t="shared" si="1"/>
        <v>REMINDER LETTER SHOULD BE SENT</v>
      </c>
      <c r="L26" s="15">
        <v>45778</v>
      </c>
      <c r="M26" s="10" t="s">
        <v>146</v>
      </c>
      <c r="N26" s="32" t="s">
        <v>147</v>
      </c>
      <c r="O26" s="9" t="str">
        <f t="shared" si="0"/>
        <v>AL-TINEZ PHARMACEUTICALS</v>
      </c>
    </row>
    <row r="27" spans="1:15" s="8" customFormat="1" ht="31.15" hidden="1">
      <c r="A27" s="2">
        <v>25</v>
      </c>
      <c r="B27" s="2" t="s">
        <v>148</v>
      </c>
      <c r="C27" s="2" t="s">
        <v>149</v>
      </c>
      <c r="D27" s="2" t="s">
        <v>150</v>
      </c>
      <c r="E27" s="2" t="s">
        <v>19</v>
      </c>
      <c r="F27" s="33">
        <v>45426</v>
      </c>
      <c r="G27" s="2" t="s">
        <v>20</v>
      </c>
      <c r="H27" s="2"/>
      <c r="I27" s="2" t="s">
        <v>22</v>
      </c>
      <c r="J27" s="2" t="s">
        <v>23</v>
      </c>
      <c r="K27" s="2" t="str">
        <f t="shared" si="1"/>
        <v>REMINDER LETTER SHOULD BE SENT</v>
      </c>
      <c r="L27" s="15">
        <v>45778</v>
      </c>
      <c r="M27" s="3"/>
      <c r="N27" s="3"/>
      <c r="O27" s="9" t="str">
        <f t="shared" si="0"/>
        <v/>
      </c>
    </row>
    <row r="28" spans="1:15" s="8" customFormat="1" ht="62.45" hidden="1">
      <c r="A28" s="2">
        <v>26</v>
      </c>
      <c r="B28" s="2" t="s">
        <v>151</v>
      </c>
      <c r="C28" s="2" t="s">
        <v>152</v>
      </c>
      <c r="D28" s="2">
        <v>8029702822</v>
      </c>
      <c r="E28" s="2" t="s">
        <v>72</v>
      </c>
      <c r="F28" s="33">
        <v>45428</v>
      </c>
      <c r="G28" s="2" t="s">
        <v>88</v>
      </c>
      <c r="H28" s="2"/>
      <c r="I28" s="2" t="s">
        <v>73</v>
      </c>
      <c r="J28" s="2" t="s">
        <v>153</v>
      </c>
      <c r="K28" s="2" t="s">
        <v>154</v>
      </c>
      <c r="L28" s="15">
        <v>46143</v>
      </c>
      <c r="M28" s="11" t="s">
        <v>155</v>
      </c>
      <c r="N28" s="32" t="s">
        <v>156</v>
      </c>
      <c r="O28" s="9" t="str">
        <f t="shared" si="0"/>
        <v>EMBASSY PHARMACEUTICALS (CAPA)</v>
      </c>
    </row>
    <row r="29" spans="1:15" s="8" customFormat="1" ht="62.45" hidden="1">
      <c r="A29" s="2">
        <v>27</v>
      </c>
      <c r="B29" s="2" t="s">
        <v>157</v>
      </c>
      <c r="C29" s="2" t="s">
        <v>158</v>
      </c>
      <c r="D29" s="2" t="s">
        <v>159</v>
      </c>
      <c r="E29" s="2" t="s">
        <v>19</v>
      </c>
      <c r="F29" s="33">
        <v>45428</v>
      </c>
      <c r="G29" s="2" t="s">
        <v>20</v>
      </c>
      <c r="H29" s="2"/>
      <c r="I29" s="2" t="s">
        <v>73</v>
      </c>
      <c r="J29" s="2" t="s">
        <v>23</v>
      </c>
      <c r="K29" s="2" t="str">
        <f t="shared" ref="K29:K38" si="2">IF(I29="YES","CAPA VERIFICATION SHOULD BE SCHEDULED",IF(I29="NO","REMINDER LETTER SHOULD BE SENT",""))</f>
        <v>CAPA VERIFICATION SHOULD BE SCHEDULED</v>
      </c>
      <c r="L29" s="15">
        <v>45778</v>
      </c>
      <c r="M29" s="10" t="s">
        <v>160</v>
      </c>
      <c r="N29" s="32" t="s">
        <v>161</v>
      </c>
      <c r="O29" s="9" t="str">
        <f t="shared" si="0"/>
        <v>HILLY PHARMACY</v>
      </c>
    </row>
    <row r="30" spans="1:15" s="8" customFormat="1" ht="31.15" hidden="1">
      <c r="A30" s="1">
        <v>28</v>
      </c>
      <c r="B30" s="12" t="s">
        <v>162</v>
      </c>
      <c r="C30" s="12" t="s">
        <v>163</v>
      </c>
      <c r="D30" s="2" t="s">
        <v>164</v>
      </c>
      <c r="E30" s="2" t="s">
        <v>19</v>
      </c>
      <c r="F30" s="33">
        <v>45509</v>
      </c>
      <c r="G30" s="2" t="s">
        <v>20</v>
      </c>
      <c r="H30" s="13">
        <v>45481</v>
      </c>
      <c r="I30" s="2" t="s">
        <v>22</v>
      </c>
      <c r="J30" s="2" t="s">
        <v>23</v>
      </c>
      <c r="K30" s="2" t="str">
        <f t="shared" si="2"/>
        <v>REMINDER LETTER SHOULD BE SENT</v>
      </c>
      <c r="L30" s="7">
        <v>45870</v>
      </c>
      <c r="M30" s="10" t="s">
        <v>165</v>
      </c>
      <c r="N30" s="32" t="s">
        <v>166</v>
      </c>
      <c r="O30" s="9" t="str">
        <f t="shared" si="0"/>
        <v>ZADIP PHARMA NIG. LTD</v>
      </c>
    </row>
    <row r="31" spans="1:15" s="8" customFormat="1" ht="62.45" hidden="1">
      <c r="A31" s="16">
        <v>29</v>
      </c>
      <c r="B31" s="12" t="s">
        <v>167</v>
      </c>
      <c r="C31" s="12" t="s">
        <v>168</v>
      </c>
      <c r="D31" s="12" t="s">
        <v>169</v>
      </c>
      <c r="E31" s="2" t="s">
        <v>19</v>
      </c>
      <c r="F31" s="33">
        <v>45511</v>
      </c>
      <c r="G31" s="2" t="s">
        <v>20</v>
      </c>
      <c r="H31" s="2" t="s">
        <v>170</v>
      </c>
      <c r="I31" s="2" t="s">
        <v>73</v>
      </c>
      <c r="J31" s="2" t="s">
        <v>118</v>
      </c>
      <c r="K31" s="2" t="str">
        <f t="shared" si="2"/>
        <v>CAPA VERIFICATION SHOULD BE SCHEDULED</v>
      </c>
      <c r="L31" s="15">
        <v>45597</v>
      </c>
      <c r="M31" s="11" t="s">
        <v>171</v>
      </c>
      <c r="N31" s="32" t="s">
        <v>172</v>
      </c>
      <c r="O31" s="9" t="str">
        <f t="shared" si="0"/>
        <v>UNIQUE PHARM LTD</v>
      </c>
    </row>
    <row r="32" spans="1:15" s="8" customFormat="1" ht="29.25" hidden="1" customHeight="1">
      <c r="A32" s="1">
        <v>30</v>
      </c>
      <c r="B32" s="12" t="s">
        <v>173</v>
      </c>
      <c r="C32" s="12" t="s">
        <v>174</v>
      </c>
      <c r="D32" s="12" t="s">
        <v>175</v>
      </c>
      <c r="E32" s="2" t="s">
        <v>19</v>
      </c>
      <c r="F32" s="33">
        <v>45512</v>
      </c>
      <c r="G32" s="2" t="s">
        <v>20</v>
      </c>
      <c r="H32" s="2" t="s">
        <v>176</v>
      </c>
      <c r="I32" s="2" t="s">
        <v>73</v>
      </c>
      <c r="J32" s="2" t="s">
        <v>74</v>
      </c>
      <c r="K32" s="2" t="str">
        <f t="shared" si="2"/>
        <v>CAPA VERIFICATION SHOULD BE SCHEDULED</v>
      </c>
      <c r="L32" s="2" t="s">
        <v>177</v>
      </c>
      <c r="M32" s="10" t="s">
        <v>178</v>
      </c>
      <c r="N32" s="32" t="s">
        <v>172</v>
      </c>
      <c r="O32" s="9" t="str">
        <f t="shared" si="0"/>
        <v>GENERICS &amp; SPECIALITIES LTD</v>
      </c>
    </row>
    <row r="33" spans="1:15" s="8" customFormat="1" ht="40.5" hidden="1" customHeight="1">
      <c r="A33" s="1">
        <v>31</v>
      </c>
      <c r="B33" s="12" t="s">
        <v>179</v>
      </c>
      <c r="C33" s="12" t="s">
        <v>180</v>
      </c>
      <c r="D33" s="12">
        <v>8033329209</v>
      </c>
      <c r="E33" s="2" t="s">
        <v>19</v>
      </c>
      <c r="F33" s="33">
        <v>45513</v>
      </c>
      <c r="G33" s="2" t="s">
        <v>20</v>
      </c>
      <c r="H33" s="2" t="s">
        <v>181</v>
      </c>
      <c r="I33" s="2" t="s">
        <v>22</v>
      </c>
      <c r="J33" s="2" t="s">
        <v>23</v>
      </c>
      <c r="K33" s="2" t="str">
        <f t="shared" si="2"/>
        <v>REMINDER LETTER SHOULD BE SENT</v>
      </c>
      <c r="L33" s="7">
        <v>45870</v>
      </c>
      <c r="M33" s="10" t="s">
        <v>182</v>
      </c>
      <c r="N33" s="32" t="s">
        <v>183</v>
      </c>
      <c r="O33" s="9" t="str">
        <f t="shared" si="0"/>
        <v xml:space="preserve">INTERPHARM GMBH </v>
      </c>
    </row>
    <row r="34" spans="1:15" s="8" customFormat="1" ht="32.25" hidden="1" customHeight="1">
      <c r="A34" s="1">
        <v>32</v>
      </c>
      <c r="B34" s="12" t="s">
        <v>184</v>
      </c>
      <c r="C34" s="12" t="s">
        <v>185</v>
      </c>
      <c r="D34" s="12" t="s">
        <v>186</v>
      </c>
      <c r="E34" s="2" t="s">
        <v>72</v>
      </c>
      <c r="F34" s="33">
        <v>45516</v>
      </c>
      <c r="G34" s="2" t="s">
        <v>20</v>
      </c>
      <c r="H34" s="2" t="s">
        <v>187</v>
      </c>
      <c r="I34" s="2" t="s">
        <v>73</v>
      </c>
      <c r="J34" s="2" t="s">
        <v>188</v>
      </c>
      <c r="K34" s="2" t="str">
        <f t="shared" si="2"/>
        <v>CAPA VERIFICATION SHOULD BE SCHEDULED</v>
      </c>
      <c r="L34" s="2" t="s">
        <v>177</v>
      </c>
      <c r="M34" s="10" t="s">
        <v>189</v>
      </c>
      <c r="N34" s="32" t="s">
        <v>190</v>
      </c>
      <c r="O34" s="9" t="str">
        <f t="shared" si="0"/>
        <v>AWARD GLOBAL COMPANY LTD (CAPA)</v>
      </c>
    </row>
    <row r="35" spans="1:15" s="8" customFormat="1" ht="37.5" hidden="1" customHeight="1">
      <c r="A35" s="1">
        <v>33</v>
      </c>
      <c r="B35" s="12" t="s">
        <v>191</v>
      </c>
      <c r="C35" s="2" t="s">
        <v>192</v>
      </c>
      <c r="D35" s="12" t="s">
        <v>193</v>
      </c>
      <c r="E35" s="2" t="s">
        <v>19</v>
      </c>
      <c r="F35" s="33">
        <v>45517</v>
      </c>
      <c r="G35" s="2" t="s">
        <v>20</v>
      </c>
      <c r="H35" s="2" t="s">
        <v>194</v>
      </c>
      <c r="I35" s="2" t="s">
        <v>73</v>
      </c>
      <c r="J35" s="2" t="s">
        <v>118</v>
      </c>
      <c r="K35" s="2" t="str">
        <f t="shared" si="2"/>
        <v>CAPA VERIFICATION SHOULD BE SCHEDULED</v>
      </c>
      <c r="L35" s="17">
        <v>45954</v>
      </c>
      <c r="M35" s="10" t="s">
        <v>195</v>
      </c>
      <c r="N35" s="32" t="s">
        <v>196</v>
      </c>
      <c r="O35" s="9" t="str">
        <f t="shared" ref="O35:O60" si="3">IF(M35="","",HYPERLINK(M35,B35))</f>
        <v xml:space="preserve">MARCSON HEALTHCARE </v>
      </c>
    </row>
    <row r="36" spans="1:15" s="8" customFormat="1" ht="39" hidden="1" customHeight="1">
      <c r="A36" s="1">
        <v>34</v>
      </c>
      <c r="B36" s="12" t="s">
        <v>197</v>
      </c>
      <c r="C36" s="12" t="s">
        <v>198</v>
      </c>
      <c r="D36" s="12" t="s">
        <v>199</v>
      </c>
      <c r="E36" s="2" t="s">
        <v>19</v>
      </c>
      <c r="F36" s="33">
        <v>45518</v>
      </c>
      <c r="G36" s="2" t="s">
        <v>20</v>
      </c>
      <c r="H36" s="2" t="s">
        <v>170</v>
      </c>
      <c r="I36" s="2" t="s">
        <v>22</v>
      </c>
      <c r="J36" s="2" t="s">
        <v>23</v>
      </c>
      <c r="K36" s="2" t="str">
        <f t="shared" si="2"/>
        <v>REMINDER LETTER SHOULD BE SENT</v>
      </c>
      <c r="L36" s="17">
        <v>45894</v>
      </c>
      <c r="M36" s="30" t="s">
        <v>200</v>
      </c>
      <c r="N36" s="32" t="s">
        <v>201</v>
      </c>
      <c r="O36" s="9" t="str">
        <f t="shared" si="3"/>
        <v xml:space="preserve">PHARMAMAX NIGERIA LTD </v>
      </c>
    </row>
    <row r="37" spans="1:15" s="8" customFormat="1" ht="35.25" hidden="1" customHeight="1">
      <c r="A37" s="1">
        <v>35</v>
      </c>
      <c r="B37" s="12" t="s">
        <v>202</v>
      </c>
      <c r="C37" s="12" t="s">
        <v>203</v>
      </c>
      <c r="D37" s="12" t="s">
        <v>204</v>
      </c>
      <c r="E37" s="2" t="s">
        <v>19</v>
      </c>
      <c r="F37" s="33">
        <v>45520</v>
      </c>
      <c r="G37" s="2" t="s">
        <v>20</v>
      </c>
      <c r="H37" s="2" t="s">
        <v>205</v>
      </c>
      <c r="I37" s="2" t="s">
        <v>22</v>
      </c>
      <c r="J37" s="2" t="s">
        <v>23</v>
      </c>
      <c r="K37" s="2" t="str">
        <f t="shared" si="2"/>
        <v>REMINDER LETTER SHOULD BE SENT</v>
      </c>
      <c r="L37" s="17">
        <v>45894</v>
      </c>
      <c r="M37" s="30" t="s">
        <v>206</v>
      </c>
      <c r="N37" s="32" t="s">
        <v>207</v>
      </c>
      <c r="O37" s="9" t="str">
        <f t="shared" si="3"/>
        <v>INTERPHARMA INDUSTRIES LTD</v>
      </c>
    </row>
    <row r="38" spans="1:15" s="8" customFormat="1" ht="32.25" hidden="1" customHeight="1">
      <c r="A38" s="1">
        <v>36</v>
      </c>
      <c r="B38" s="12" t="s">
        <v>208</v>
      </c>
      <c r="C38" s="12" t="s">
        <v>209</v>
      </c>
      <c r="D38" s="12" t="s">
        <v>210</v>
      </c>
      <c r="E38" s="2" t="s">
        <v>19</v>
      </c>
      <c r="F38" s="33">
        <v>45523</v>
      </c>
      <c r="G38" s="2" t="s">
        <v>20</v>
      </c>
      <c r="H38" s="2" t="s">
        <v>211</v>
      </c>
      <c r="I38" s="2" t="s">
        <v>73</v>
      </c>
      <c r="J38" s="2" t="s">
        <v>74</v>
      </c>
      <c r="K38" s="2" t="str">
        <f t="shared" si="2"/>
        <v>CAPA VERIFICATION SHOULD BE SCHEDULED</v>
      </c>
      <c r="L38" s="2" t="s">
        <v>177</v>
      </c>
      <c r="M38" s="10" t="s">
        <v>212</v>
      </c>
      <c r="N38" s="32" t="s">
        <v>213</v>
      </c>
      <c r="O38" s="9" t="str">
        <f t="shared" si="3"/>
        <v>KCH CONSUMER HEALTHCARE LTD</v>
      </c>
    </row>
    <row r="39" spans="1:15" s="8" customFormat="1" ht="32.25" hidden="1" customHeight="1">
      <c r="A39" s="1">
        <v>37</v>
      </c>
      <c r="B39" s="2" t="s">
        <v>214</v>
      </c>
      <c r="C39" s="2" t="s">
        <v>215</v>
      </c>
      <c r="D39" s="2" t="s">
        <v>216</v>
      </c>
      <c r="E39" s="2" t="s">
        <v>19</v>
      </c>
      <c r="F39" s="33">
        <v>45532</v>
      </c>
      <c r="G39" s="2" t="s">
        <v>20</v>
      </c>
      <c r="H39" s="13">
        <v>45786</v>
      </c>
      <c r="I39" s="2" t="s">
        <v>22</v>
      </c>
      <c r="J39" s="2" t="s">
        <v>23</v>
      </c>
      <c r="K39" s="2" t="s">
        <v>217</v>
      </c>
      <c r="L39" s="7">
        <v>45870</v>
      </c>
      <c r="M39" s="10" t="s">
        <v>218</v>
      </c>
      <c r="N39" s="32" t="s">
        <v>219</v>
      </c>
      <c r="O39" s="9" t="str">
        <f t="shared" si="3"/>
        <v>XCEL PHARMA LTD</v>
      </c>
    </row>
    <row r="40" spans="1:15" s="8" customFormat="1" ht="29.25" hidden="1" customHeight="1">
      <c r="A40" s="1">
        <v>38</v>
      </c>
      <c r="B40" s="2" t="s">
        <v>220</v>
      </c>
      <c r="C40" s="2" t="s">
        <v>221</v>
      </c>
      <c r="D40" s="2" t="s">
        <v>222</v>
      </c>
      <c r="E40" s="2" t="s">
        <v>19</v>
      </c>
      <c r="F40" s="33">
        <v>45551</v>
      </c>
      <c r="G40" s="2" t="s">
        <v>20</v>
      </c>
      <c r="H40" s="2" t="s">
        <v>223</v>
      </c>
      <c r="I40" s="2" t="s">
        <v>73</v>
      </c>
      <c r="J40" s="2" t="s">
        <v>118</v>
      </c>
      <c r="K40" s="2" t="str">
        <f t="shared" ref="K40:K47" si="4">IF(I40="YES","CAPA VERIFICATION SHOULD BE SCHEDULED",IF(I40="NO","REMINDER LETTER SHOULD BE SENT",""))</f>
        <v>CAPA VERIFICATION SHOULD BE SCHEDULED</v>
      </c>
      <c r="L40" s="2" t="s">
        <v>177</v>
      </c>
      <c r="M40" s="11" t="s">
        <v>224</v>
      </c>
      <c r="N40" s="32" t="s">
        <v>225</v>
      </c>
      <c r="O40" s="9" t="str">
        <f t="shared" si="3"/>
        <v>MEDVACC PHARMACY LTD</v>
      </c>
    </row>
    <row r="41" spans="1:15" s="8" customFormat="1" ht="30" hidden="1" customHeight="1">
      <c r="A41" s="1">
        <v>39</v>
      </c>
      <c r="B41" s="2" t="s">
        <v>226</v>
      </c>
      <c r="C41" s="2" t="s">
        <v>227</v>
      </c>
      <c r="D41" s="2" t="s">
        <v>228</v>
      </c>
      <c r="E41" s="2" t="s">
        <v>72</v>
      </c>
      <c r="F41" s="33">
        <v>45551</v>
      </c>
      <c r="G41" s="2" t="s">
        <v>20</v>
      </c>
      <c r="H41" s="2"/>
      <c r="I41" s="2" t="s">
        <v>73</v>
      </c>
      <c r="J41" s="2" t="s">
        <v>74</v>
      </c>
      <c r="K41" s="2" t="str">
        <f t="shared" si="4"/>
        <v>CAPA VERIFICATION SHOULD BE SCHEDULED</v>
      </c>
      <c r="L41" s="7">
        <v>45901</v>
      </c>
      <c r="M41" s="10" t="s">
        <v>229</v>
      </c>
      <c r="N41" s="32" t="s">
        <v>230</v>
      </c>
      <c r="O41" s="9" t="str">
        <f t="shared" si="3"/>
        <v>VACCIPHARM LTD (CAPA)</v>
      </c>
    </row>
    <row r="42" spans="1:15" s="8" customFormat="1" ht="30" hidden="1" customHeight="1">
      <c r="A42" s="16">
        <v>40</v>
      </c>
      <c r="B42" s="2" t="s">
        <v>231</v>
      </c>
      <c r="C42" s="2" t="s">
        <v>232</v>
      </c>
      <c r="D42" s="2" t="s">
        <v>233</v>
      </c>
      <c r="E42" s="2" t="s">
        <v>19</v>
      </c>
      <c r="F42" s="33">
        <v>45552</v>
      </c>
      <c r="G42" s="2" t="s">
        <v>20</v>
      </c>
      <c r="H42" s="2" t="s">
        <v>234</v>
      </c>
      <c r="I42" s="2" t="s">
        <v>73</v>
      </c>
      <c r="J42" s="2" t="s">
        <v>23</v>
      </c>
      <c r="K42" s="2" t="str">
        <f t="shared" si="4"/>
        <v>CAPA VERIFICATION SHOULD BE SCHEDULED</v>
      </c>
      <c r="L42" s="18" t="s">
        <v>177</v>
      </c>
      <c r="M42" s="10" t="s">
        <v>235</v>
      </c>
      <c r="N42" s="32" t="s">
        <v>236</v>
      </c>
      <c r="O42" s="9" t="str">
        <f t="shared" si="3"/>
        <v>PLACEWARE NIG. LTD</v>
      </c>
    </row>
    <row r="43" spans="1:15" s="8" customFormat="1" ht="28.5" hidden="1" customHeight="1">
      <c r="A43" s="1">
        <v>41</v>
      </c>
      <c r="B43" s="2" t="s">
        <v>237</v>
      </c>
      <c r="C43" s="2" t="s">
        <v>238</v>
      </c>
      <c r="D43" s="2" t="s">
        <v>239</v>
      </c>
      <c r="E43" s="2" t="s">
        <v>19</v>
      </c>
      <c r="F43" s="33">
        <v>45553</v>
      </c>
      <c r="G43" s="2" t="s">
        <v>20</v>
      </c>
      <c r="H43" s="2" t="s">
        <v>223</v>
      </c>
      <c r="I43" s="2" t="s">
        <v>22</v>
      </c>
      <c r="J43" s="2" t="s">
        <v>23</v>
      </c>
      <c r="K43" s="2" t="str">
        <f t="shared" si="4"/>
        <v>REMINDER LETTER SHOULD BE SENT</v>
      </c>
      <c r="L43" s="17">
        <v>45925</v>
      </c>
      <c r="M43" s="10" t="s">
        <v>240</v>
      </c>
      <c r="N43" s="32" t="s">
        <v>241</v>
      </c>
      <c r="O43" s="9" t="str">
        <f t="shared" si="3"/>
        <v xml:space="preserve">SUMMIT HEALTHCARE PHARMACEUTICAL </v>
      </c>
    </row>
    <row r="44" spans="1:15" s="8" customFormat="1" ht="24" hidden="1" customHeight="1">
      <c r="A44" s="1">
        <v>42</v>
      </c>
      <c r="B44" s="2" t="s">
        <v>242</v>
      </c>
      <c r="C44" s="2" t="s">
        <v>243</v>
      </c>
      <c r="D44" s="2" t="s">
        <v>244</v>
      </c>
      <c r="E44" s="2" t="s">
        <v>19</v>
      </c>
      <c r="F44" s="33">
        <v>45558</v>
      </c>
      <c r="G44" s="2" t="s">
        <v>88</v>
      </c>
      <c r="H44" s="2" t="s">
        <v>245</v>
      </c>
      <c r="I44" s="2" t="s">
        <v>22</v>
      </c>
      <c r="J44" s="2" t="s">
        <v>23</v>
      </c>
      <c r="K44" s="2" t="str">
        <f t="shared" si="4"/>
        <v>REMINDER LETTER SHOULD BE SENT</v>
      </c>
      <c r="L44" s="17">
        <v>45925</v>
      </c>
      <c r="M44" s="11" t="s">
        <v>246</v>
      </c>
      <c r="N44" s="32" t="s">
        <v>247</v>
      </c>
      <c r="O44" s="9" t="str">
        <f t="shared" si="3"/>
        <v xml:space="preserve">MERIT HEALTHCARE LTD
</v>
      </c>
    </row>
    <row r="45" spans="1:15" s="8" customFormat="1" ht="26.25" customHeight="1">
      <c r="A45" s="1">
        <v>43</v>
      </c>
      <c r="B45" s="2" t="s">
        <v>248</v>
      </c>
      <c r="C45" s="2" t="s">
        <v>249</v>
      </c>
      <c r="D45" s="2" t="s">
        <v>250</v>
      </c>
      <c r="E45" s="2" t="s">
        <v>19</v>
      </c>
      <c r="F45" s="33">
        <v>45558</v>
      </c>
      <c r="G45" s="2" t="s">
        <v>251</v>
      </c>
      <c r="H45" s="2"/>
      <c r="I45" s="2" t="s">
        <v>73</v>
      </c>
      <c r="J45" s="2" t="s">
        <v>74</v>
      </c>
      <c r="K45" s="2" t="str">
        <f t="shared" si="4"/>
        <v>CAPA VERIFICATION SHOULD BE SCHEDULED</v>
      </c>
      <c r="L45" s="7">
        <v>45717</v>
      </c>
      <c r="M45" s="11" t="s">
        <v>252</v>
      </c>
      <c r="N45" s="32" t="s">
        <v>253</v>
      </c>
      <c r="O45" s="9" t="str">
        <f t="shared" si="3"/>
        <v>EXXON PHARM. LTD</v>
      </c>
    </row>
    <row r="46" spans="1:15" s="8" customFormat="1" ht="24" hidden="1" customHeight="1">
      <c r="A46" s="1">
        <v>44</v>
      </c>
      <c r="B46" s="2" t="s">
        <v>254</v>
      </c>
      <c r="C46" s="2" t="s">
        <v>255</v>
      </c>
      <c r="D46" s="2" t="s">
        <v>256</v>
      </c>
      <c r="E46" s="2" t="s">
        <v>19</v>
      </c>
      <c r="F46" s="33">
        <v>45559</v>
      </c>
      <c r="G46" s="2" t="s">
        <v>20</v>
      </c>
      <c r="H46" s="2" t="s">
        <v>257</v>
      </c>
      <c r="I46" s="2" t="s">
        <v>22</v>
      </c>
      <c r="J46" s="2" t="s">
        <v>23</v>
      </c>
      <c r="K46" s="2" t="str">
        <f t="shared" si="4"/>
        <v>REMINDER LETTER SHOULD BE SENT</v>
      </c>
      <c r="L46" s="17">
        <v>45925</v>
      </c>
      <c r="M46" s="10" t="s">
        <v>258</v>
      </c>
      <c r="N46" s="32" t="s">
        <v>259</v>
      </c>
      <c r="O46" s="9" t="str">
        <f t="shared" si="3"/>
        <v>NEOLIFE INTERNATIONAL LTD.</v>
      </c>
    </row>
    <row r="47" spans="1:15" s="8" customFormat="1" ht="32.25" hidden="1" customHeight="1">
      <c r="A47" s="1">
        <v>45</v>
      </c>
      <c r="B47" s="12" t="s">
        <v>184</v>
      </c>
      <c r="C47" s="12" t="s">
        <v>185</v>
      </c>
      <c r="D47" s="12" t="s">
        <v>186</v>
      </c>
      <c r="E47" s="2" t="s">
        <v>72</v>
      </c>
      <c r="F47" s="33">
        <v>45559</v>
      </c>
      <c r="G47" s="2" t="s">
        <v>20</v>
      </c>
      <c r="H47" s="2" t="s">
        <v>257</v>
      </c>
      <c r="I47" s="2" t="s">
        <v>73</v>
      </c>
      <c r="J47" s="2" t="s">
        <v>74</v>
      </c>
      <c r="K47" s="2" t="str">
        <f t="shared" si="4"/>
        <v>CAPA VERIFICATION SHOULD BE SCHEDULED</v>
      </c>
      <c r="L47" s="2" t="s">
        <v>177</v>
      </c>
      <c r="M47" s="30" t="s">
        <v>260</v>
      </c>
      <c r="N47" s="32" t="s">
        <v>261</v>
      </c>
      <c r="O47" s="9" t="str">
        <f t="shared" si="3"/>
        <v>AWARD GLOBAL COMPANY LTD (CAPA)</v>
      </c>
    </row>
    <row r="48" spans="1:15" s="8" customFormat="1" ht="25.5" hidden="1" customHeight="1">
      <c r="A48" s="2">
        <v>46</v>
      </c>
      <c r="B48" s="19" t="s">
        <v>262</v>
      </c>
      <c r="C48" s="19" t="s">
        <v>263</v>
      </c>
      <c r="D48" s="19">
        <v>8024153514</v>
      </c>
      <c r="E48" s="2" t="s">
        <v>72</v>
      </c>
      <c r="F48" s="33">
        <v>45568</v>
      </c>
      <c r="G48" s="2" t="s">
        <v>88</v>
      </c>
      <c r="H48" s="2" t="s">
        <v>181</v>
      </c>
      <c r="I48" s="2" t="s">
        <v>153</v>
      </c>
      <c r="J48" s="2" t="s">
        <v>264</v>
      </c>
      <c r="K48" s="2" t="s">
        <v>154</v>
      </c>
      <c r="L48" s="7">
        <v>46296</v>
      </c>
      <c r="M48" s="10" t="s">
        <v>265</v>
      </c>
      <c r="N48" s="32" t="s">
        <v>266</v>
      </c>
      <c r="O48" s="9" t="str">
        <f t="shared" si="3"/>
        <v>CHANRAI HEALTHCARE LTD. (CAPA)</v>
      </c>
    </row>
    <row r="49" spans="1:15" s="8" customFormat="1" ht="26.25" hidden="1" customHeight="1">
      <c r="A49" s="2">
        <v>47</v>
      </c>
      <c r="B49" s="2" t="s">
        <v>267</v>
      </c>
      <c r="C49" s="2" t="s">
        <v>268</v>
      </c>
      <c r="D49" s="2">
        <v>8033082688</v>
      </c>
      <c r="E49" s="2" t="s">
        <v>19</v>
      </c>
      <c r="F49" s="33">
        <v>45601</v>
      </c>
      <c r="G49" s="2" t="s">
        <v>20</v>
      </c>
      <c r="H49" s="13">
        <v>45454</v>
      </c>
      <c r="I49" s="2" t="s">
        <v>22</v>
      </c>
      <c r="J49" s="2" t="s">
        <v>23</v>
      </c>
      <c r="K49" s="2" t="str">
        <f>IF(I49="YES","CAPA VERIFICATION SHOULD BE SCHEDULED",IF(I49="NO","REMINDER LETTER SHOULD BE SENT",""))</f>
        <v>REMINDER LETTER SHOULD BE SENT</v>
      </c>
      <c r="L49" s="7">
        <v>45962</v>
      </c>
      <c r="M49" s="10" t="s">
        <v>269</v>
      </c>
      <c r="N49" s="32" t="s">
        <v>270</v>
      </c>
      <c r="O49" s="9" t="str">
        <f t="shared" si="3"/>
        <v>TRICARE PHARM.</v>
      </c>
    </row>
    <row r="50" spans="1:15" s="8" customFormat="1" ht="37.5" hidden="1" customHeight="1">
      <c r="A50" s="2">
        <v>48</v>
      </c>
      <c r="B50" s="2" t="s">
        <v>271</v>
      </c>
      <c r="C50" s="2" t="s">
        <v>272</v>
      </c>
      <c r="D50" s="2">
        <v>8034676220</v>
      </c>
      <c r="E50" s="2" t="s">
        <v>19</v>
      </c>
      <c r="F50" s="33">
        <v>45601</v>
      </c>
      <c r="G50" s="2" t="s">
        <v>20</v>
      </c>
      <c r="H50" s="13">
        <v>45605</v>
      </c>
      <c r="I50" s="2" t="s">
        <v>153</v>
      </c>
      <c r="J50" s="2" t="s">
        <v>74</v>
      </c>
      <c r="K50" s="2" t="s">
        <v>154</v>
      </c>
      <c r="L50" s="7">
        <v>45962</v>
      </c>
      <c r="M50" s="10" t="s">
        <v>273</v>
      </c>
      <c r="N50" s="32" t="s">
        <v>274</v>
      </c>
      <c r="O50" s="9" t="str">
        <f t="shared" si="3"/>
        <v>STERLING BIOPHARM</v>
      </c>
    </row>
    <row r="51" spans="1:15" s="8" customFormat="1" ht="37.5" customHeight="1">
      <c r="A51" s="14">
        <v>49</v>
      </c>
      <c r="B51" s="2" t="s">
        <v>275</v>
      </c>
      <c r="C51" s="2" t="s">
        <v>276</v>
      </c>
      <c r="D51" s="2" t="s">
        <v>277</v>
      </c>
      <c r="E51" s="2" t="s">
        <v>19</v>
      </c>
      <c r="F51" s="33">
        <v>45608</v>
      </c>
      <c r="G51" s="2" t="s">
        <v>251</v>
      </c>
      <c r="H51" s="13">
        <v>45605</v>
      </c>
      <c r="I51" s="2" t="s">
        <v>73</v>
      </c>
      <c r="J51" s="2" t="s">
        <v>188</v>
      </c>
      <c r="K51" s="2" t="str">
        <f t="shared" ref="K51:K68" si="5">IF(I51="YES","CAPA VERIFICATION SHOULD BE SCHEDULED",IF(I51="NO","REMINDER LETTER SHOULD BE SENT",""))</f>
        <v>CAPA VERIFICATION SHOULD BE SCHEDULED</v>
      </c>
      <c r="L51" s="15">
        <v>45778</v>
      </c>
      <c r="M51" s="11" t="s">
        <v>278</v>
      </c>
      <c r="N51" s="32" t="s">
        <v>279</v>
      </c>
      <c r="O51" s="9" t="str">
        <f t="shared" si="3"/>
        <v>SEAGREEN PHARMACEUTICALS</v>
      </c>
    </row>
    <row r="52" spans="1:15" s="8" customFormat="1" ht="26.25" customHeight="1">
      <c r="A52" s="2">
        <v>50</v>
      </c>
      <c r="B52" s="2" t="s">
        <v>280</v>
      </c>
      <c r="C52" s="2" t="s">
        <v>281</v>
      </c>
      <c r="D52" s="2" t="s">
        <v>282</v>
      </c>
      <c r="E52" s="2" t="s">
        <v>19</v>
      </c>
      <c r="F52" s="33">
        <v>45615</v>
      </c>
      <c r="G52" s="2" t="s">
        <v>251</v>
      </c>
      <c r="H52" s="13">
        <v>45618</v>
      </c>
      <c r="I52" s="2" t="s">
        <v>22</v>
      </c>
      <c r="J52" s="2" t="s">
        <v>283</v>
      </c>
      <c r="K52" s="2" t="str">
        <f t="shared" si="5"/>
        <v>REMINDER LETTER SHOULD BE SENT</v>
      </c>
      <c r="L52" s="15">
        <v>45778</v>
      </c>
      <c r="M52" s="11" t="s">
        <v>284</v>
      </c>
      <c r="N52" s="32" t="s">
        <v>285</v>
      </c>
      <c r="O52" s="9" t="str">
        <f t="shared" si="3"/>
        <v>BRENT CROSS PHARM LTD.</v>
      </c>
    </row>
    <row r="53" spans="1:15" s="8" customFormat="1" ht="31.15" hidden="1">
      <c r="A53" s="2">
        <v>51</v>
      </c>
      <c r="B53" s="2" t="s">
        <v>286</v>
      </c>
      <c r="C53" s="2" t="s">
        <v>287</v>
      </c>
      <c r="D53" s="2" t="s">
        <v>288</v>
      </c>
      <c r="E53" s="2" t="s">
        <v>19</v>
      </c>
      <c r="F53" s="33">
        <v>45616</v>
      </c>
      <c r="G53" s="2" t="s">
        <v>20</v>
      </c>
      <c r="H53" s="13">
        <v>45333</v>
      </c>
      <c r="I53" s="2" t="s">
        <v>22</v>
      </c>
      <c r="J53" s="2" t="s">
        <v>23</v>
      </c>
      <c r="K53" s="2" t="str">
        <f t="shared" si="5"/>
        <v>REMINDER LETTER SHOULD BE SENT</v>
      </c>
      <c r="L53" s="7">
        <v>45962</v>
      </c>
      <c r="M53" s="10" t="s">
        <v>289</v>
      </c>
      <c r="N53" s="32" t="s">
        <v>290</v>
      </c>
      <c r="O53" s="9" t="str">
        <f t="shared" si="3"/>
        <v>PHARMGATE HEALTHCARE LTD.</v>
      </c>
    </row>
    <row r="54" spans="1:15" s="8" customFormat="1" ht="31.15" hidden="1">
      <c r="A54" s="2">
        <v>52</v>
      </c>
      <c r="B54" s="2" t="s">
        <v>291</v>
      </c>
      <c r="C54" s="2" t="s">
        <v>292</v>
      </c>
      <c r="D54" s="2" t="s">
        <v>293</v>
      </c>
      <c r="E54" s="2" t="s">
        <v>19</v>
      </c>
      <c r="F54" s="33">
        <v>45616</v>
      </c>
      <c r="G54" s="2" t="s">
        <v>20</v>
      </c>
      <c r="H54" s="2" t="s">
        <v>294</v>
      </c>
      <c r="I54" s="2" t="s">
        <v>22</v>
      </c>
      <c r="J54" s="2" t="s">
        <v>23</v>
      </c>
      <c r="K54" s="2" t="str">
        <f t="shared" si="5"/>
        <v>REMINDER LETTER SHOULD BE SENT</v>
      </c>
      <c r="L54" s="7">
        <v>45962</v>
      </c>
      <c r="M54" s="10" t="s">
        <v>295</v>
      </c>
      <c r="N54" s="32" t="s">
        <v>296</v>
      </c>
      <c r="O54" s="9" t="str">
        <f t="shared" si="3"/>
        <v>NECTAR HEALTHCARE LTD.</v>
      </c>
    </row>
    <row r="55" spans="1:15" s="8" customFormat="1" ht="31.15" hidden="1">
      <c r="A55" s="2">
        <v>53</v>
      </c>
      <c r="B55" s="2" t="s">
        <v>297</v>
      </c>
      <c r="C55" s="2" t="s">
        <v>298</v>
      </c>
      <c r="D55" s="2" t="s">
        <v>299</v>
      </c>
      <c r="E55" s="2" t="s">
        <v>19</v>
      </c>
      <c r="F55" s="33">
        <v>45616</v>
      </c>
      <c r="G55" s="2" t="s">
        <v>20</v>
      </c>
      <c r="H55" s="2"/>
      <c r="I55" s="2" t="s">
        <v>22</v>
      </c>
      <c r="J55" s="2" t="s">
        <v>23</v>
      </c>
      <c r="K55" s="2" t="str">
        <f t="shared" si="5"/>
        <v>REMINDER LETTER SHOULD BE SENT</v>
      </c>
      <c r="L55" s="7">
        <v>45962</v>
      </c>
      <c r="M55" s="10" t="s">
        <v>300</v>
      </c>
      <c r="N55" s="32" t="s">
        <v>301</v>
      </c>
      <c r="O55" s="9" t="str">
        <f t="shared" si="3"/>
        <v>ZOGGER PHARMA LTD.</v>
      </c>
    </row>
    <row r="56" spans="1:15" s="8" customFormat="1" ht="31.15" hidden="1">
      <c r="A56" s="2">
        <v>54</v>
      </c>
      <c r="B56" s="2" t="s">
        <v>302</v>
      </c>
      <c r="C56" s="2" t="s">
        <v>303</v>
      </c>
      <c r="D56" s="2" t="s">
        <v>304</v>
      </c>
      <c r="E56" s="2" t="s">
        <v>19</v>
      </c>
      <c r="F56" s="33">
        <v>45617</v>
      </c>
      <c r="G56" s="2" t="s">
        <v>20</v>
      </c>
      <c r="H56" s="2"/>
      <c r="I56" s="2" t="s">
        <v>22</v>
      </c>
      <c r="J56" s="2" t="s">
        <v>23</v>
      </c>
      <c r="K56" s="2" t="str">
        <f t="shared" si="5"/>
        <v>REMINDER LETTER SHOULD BE SENT</v>
      </c>
      <c r="L56" s="7">
        <v>45962</v>
      </c>
      <c r="M56" s="10" t="s">
        <v>305</v>
      </c>
      <c r="N56" s="32" t="s">
        <v>306</v>
      </c>
      <c r="O56" s="9" t="str">
        <f t="shared" si="3"/>
        <v>FAES FARMA NIG. LTD.</v>
      </c>
    </row>
    <row r="57" spans="1:15" s="8" customFormat="1" ht="31.15" hidden="1">
      <c r="A57" s="2">
        <v>55</v>
      </c>
      <c r="B57" s="2" t="s">
        <v>307</v>
      </c>
      <c r="C57" s="2" t="s">
        <v>308</v>
      </c>
      <c r="D57" s="2" t="s">
        <v>309</v>
      </c>
      <c r="E57" s="2" t="s">
        <v>19</v>
      </c>
      <c r="F57" s="33">
        <v>45617</v>
      </c>
      <c r="G57" s="2" t="s">
        <v>20</v>
      </c>
      <c r="H57" s="2" t="s">
        <v>130</v>
      </c>
      <c r="I57" s="2" t="s">
        <v>22</v>
      </c>
      <c r="J57" s="2" t="s">
        <v>23</v>
      </c>
      <c r="K57" s="2" t="str">
        <f t="shared" si="5"/>
        <v>REMINDER LETTER SHOULD BE SENT</v>
      </c>
      <c r="L57" s="7">
        <v>45962</v>
      </c>
      <c r="M57" s="10" t="s">
        <v>310</v>
      </c>
      <c r="N57" s="32" t="s">
        <v>311</v>
      </c>
      <c r="O57" s="9" t="str">
        <f t="shared" si="3"/>
        <v>LYN-EDGE PHARMACEUTICALS</v>
      </c>
    </row>
    <row r="58" spans="1:15" s="8" customFormat="1" ht="62.45" hidden="1">
      <c r="A58" s="2">
        <v>56</v>
      </c>
      <c r="B58" s="2" t="s">
        <v>312</v>
      </c>
      <c r="C58" s="20" t="s">
        <v>313</v>
      </c>
      <c r="D58" s="2" t="s">
        <v>314</v>
      </c>
      <c r="E58" s="2" t="s">
        <v>19</v>
      </c>
      <c r="F58" s="33">
        <v>45629</v>
      </c>
      <c r="G58" s="2" t="s">
        <v>20</v>
      </c>
      <c r="H58" s="2" t="s">
        <v>315</v>
      </c>
      <c r="I58" s="2" t="s">
        <v>73</v>
      </c>
      <c r="J58" s="2" t="s">
        <v>188</v>
      </c>
      <c r="K58" s="2" t="str">
        <f t="shared" si="5"/>
        <v>CAPA VERIFICATION SHOULD BE SCHEDULED</v>
      </c>
      <c r="L58" s="7">
        <v>45962</v>
      </c>
      <c r="M58" s="10" t="s">
        <v>316</v>
      </c>
      <c r="N58" s="32" t="s">
        <v>317</v>
      </c>
      <c r="O58" s="9" t="str">
        <f t="shared" si="3"/>
        <v>TETA PHARMACEUTICALS</v>
      </c>
    </row>
    <row r="59" spans="1:15" s="8" customFormat="1" ht="31.15" hidden="1">
      <c r="A59" s="2">
        <v>57</v>
      </c>
      <c r="B59" s="2" t="s">
        <v>318</v>
      </c>
      <c r="C59" s="2" t="s">
        <v>97</v>
      </c>
      <c r="D59" s="2"/>
      <c r="E59" s="2" t="s">
        <v>72</v>
      </c>
      <c r="F59" s="33">
        <v>45660</v>
      </c>
      <c r="G59" s="2" t="s">
        <v>88</v>
      </c>
      <c r="H59" s="13">
        <v>45424</v>
      </c>
      <c r="I59" s="2" t="s">
        <v>22</v>
      </c>
      <c r="J59" s="2" t="s">
        <v>23</v>
      </c>
      <c r="K59" s="2" t="str">
        <f t="shared" si="5"/>
        <v>REMINDER LETTER SHOULD BE SENT</v>
      </c>
      <c r="L59" s="7">
        <v>46357</v>
      </c>
      <c r="M59" s="10" t="s">
        <v>99</v>
      </c>
      <c r="N59" s="32" t="s">
        <v>100</v>
      </c>
      <c r="O59" s="9" t="str">
        <f t="shared" si="3"/>
        <v>FEDESON PHARMACY (CAPA)</v>
      </c>
    </row>
    <row r="60" spans="1:15" s="8" customFormat="1" ht="62.45" hidden="1">
      <c r="A60" s="2">
        <v>58</v>
      </c>
      <c r="B60" s="2" t="s">
        <v>319</v>
      </c>
      <c r="C60" s="2" t="s">
        <v>320</v>
      </c>
      <c r="D60" s="2" t="s">
        <v>321</v>
      </c>
      <c r="E60" s="2" t="s">
        <v>19</v>
      </c>
      <c r="F60" s="33">
        <v>45630</v>
      </c>
      <c r="G60" s="2" t="s">
        <v>20</v>
      </c>
      <c r="H60" s="13">
        <v>45424</v>
      </c>
      <c r="I60" s="2" t="s">
        <v>73</v>
      </c>
      <c r="J60" s="2" t="s">
        <v>23</v>
      </c>
      <c r="K60" s="2" t="str">
        <f t="shared" si="5"/>
        <v>CAPA VERIFICATION SHOULD BE SCHEDULED</v>
      </c>
      <c r="L60" s="7">
        <v>45992</v>
      </c>
      <c r="M60" s="10" t="s">
        <v>322</v>
      </c>
      <c r="N60" s="32" t="s">
        <v>323</v>
      </c>
      <c r="O60" s="9" t="str">
        <f t="shared" si="3"/>
        <v>IDEAL EAGLES</v>
      </c>
    </row>
    <row r="61" spans="1:15" s="8" customFormat="1" ht="62.45" hidden="1">
      <c r="A61" s="2">
        <v>59</v>
      </c>
      <c r="B61" s="2" t="s">
        <v>324</v>
      </c>
      <c r="C61" s="2" t="s">
        <v>325</v>
      </c>
      <c r="D61" s="2"/>
      <c r="E61" s="2" t="s">
        <v>19</v>
      </c>
      <c r="F61" s="33">
        <v>45631</v>
      </c>
      <c r="G61" s="2" t="s">
        <v>20</v>
      </c>
      <c r="H61" s="13">
        <v>45547</v>
      </c>
      <c r="I61" s="2" t="s">
        <v>73</v>
      </c>
      <c r="J61" s="2" t="s">
        <v>74</v>
      </c>
      <c r="K61" s="2" t="str">
        <f t="shared" si="5"/>
        <v>CAPA VERIFICATION SHOULD BE SCHEDULED</v>
      </c>
      <c r="L61" s="7">
        <v>45992</v>
      </c>
      <c r="M61" s="10" t="s">
        <v>326</v>
      </c>
      <c r="N61" s="32" t="s">
        <v>327</v>
      </c>
      <c r="O61" s="32" t="s">
        <v>324</v>
      </c>
    </row>
    <row r="62" spans="1:15" s="8" customFormat="1" ht="62.45" hidden="1">
      <c r="A62" s="14">
        <v>60</v>
      </c>
      <c r="B62" s="2" t="s">
        <v>328</v>
      </c>
      <c r="C62" s="2" t="s">
        <v>329</v>
      </c>
      <c r="D62" s="2" t="s">
        <v>330</v>
      </c>
      <c r="E62" s="2" t="s">
        <v>72</v>
      </c>
      <c r="F62" s="33">
        <v>45636</v>
      </c>
      <c r="G62" s="2" t="s">
        <v>20</v>
      </c>
      <c r="H62" s="13">
        <v>45637</v>
      </c>
      <c r="I62" s="2" t="s">
        <v>73</v>
      </c>
      <c r="J62" s="2" t="s">
        <v>23</v>
      </c>
      <c r="K62" s="2" t="str">
        <f t="shared" si="5"/>
        <v>CAPA VERIFICATION SHOULD BE SCHEDULED</v>
      </c>
      <c r="L62" s="7">
        <v>45992</v>
      </c>
      <c r="M62" s="10" t="s">
        <v>119</v>
      </c>
      <c r="N62" s="32" t="s">
        <v>327</v>
      </c>
      <c r="O62" s="29" t="s">
        <v>331</v>
      </c>
    </row>
    <row r="63" spans="1:15" s="8" customFormat="1" ht="62.45" hidden="1">
      <c r="A63" s="21">
        <v>61</v>
      </c>
      <c r="B63" s="21" t="s">
        <v>332</v>
      </c>
      <c r="C63" s="21" t="s">
        <v>333</v>
      </c>
      <c r="D63" s="21" t="s">
        <v>334</v>
      </c>
      <c r="E63" s="21" t="s">
        <v>19</v>
      </c>
      <c r="F63" s="33">
        <v>45636</v>
      </c>
      <c r="G63" s="21" t="s">
        <v>20</v>
      </c>
      <c r="H63" s="22">
        <v>45577</v>
      </c>
      <c r="I63" s="21" t="s">
        <v>73</v>
      </c>
      <c r="J63" s="21" t="s">
        <v>74</v>
      </c>
      <c r="K63" s="21" t="str">
        <f t="shared" si="5"/>
        <v>CAPA VERIFICATION SHOULD BE SCHEDULED</v>
      </c>
      <c r="L63" s="7">
        <v>45992</v>
      </c>
      <c r="M63" s="10" t="s">
        <v>335</v>
      </c>
      <c r="N63" s="32" t="s">
        <v>336</v>
      </c>
      <c r="O63" s="23" t="str">
        <f t="shared" ref="O63:O68" si="6">IF(M63="","",HYPERLINK(M63,B63))</f>
        <v>GBGL PHARM.</v>
      </c>
    </row>
    <row r="64" spans="1:15" s="8" customFormat="1" ht="15.6">
      <c r="A64" s="4"/>
      <c r="B64" s="4"/>
      <c r="C64" s="4"/>
      <c r="D64" s="4"/>
      <c r="E64" s="4"/>
      <c r="F64" s="4"/>
      <c r="G64" s="4"/>
      <c r="H64" s="4"/>
      <c r="I64" s="4"/>
      <c r="J64" s="4"/>
      <c r="K64" s="4" t="str">
        <f t="shared" si="5"/>
        <v/>
      </c>
      <c r="L64" s="4"/>
      <c r="M64" s="3"/>
      <c r="N64" s="3"/>
      <c r="O64" s="24" t="str">
        <f t="shared" si="6"/>
        <v/>
      </c>
    </row>
    <row r="65" spans="1:15" s="8" customFormat="1" ht="15.6">
      <c r="K65" s="8" t="str">
        <f t="shared" si="5"/>
        <v/>
      </c>
      <c r="M65" s="25"/>
      <c r="N65" s="25"/>
      <c r="O65" s="26" t="str">
        <f t="shared" si="6"/>
        <v/>
      </c>
    </row>
    <row r="66" spans="1:15" s="8" customFormat="1" ht="15.6">
      <c r="K66" s="8" t="str">
        <f t="shared" si="5"/>
        <v/>
      </c>
      <c r="M66" s="25"/>
      <c r="N66" s="25"/>
      <c r="O66" s="26" t="str">
        <f t="shared" si="6"/>
        <v/>
      </c>
    </row>
    <row r="67" spans="1:15" s="8" customFormat="1" ht="15.6">
      <c r="K67" s="8" t="str">
        <f t="shared" si="5"/>
        <v/>
      </c>
      <c r="M67" s="25"/>
      <c r="N67" s="25"/>
      <c r="O67" s="26" t="str">
        <f t="shared" si="6"/>
        <v/>
      </c>
    </row>
    <row r="68" spans="1:15" s="8" customFormat="1" ht="15.6">
      <c r="K68" s="8" t="str">
        <f t="shared" si="5"/>
        <v/>
      </c>
      <c r="M68" s="25"/>
      <c r="N68" s="25"/>
      <c r="O68" s="26" t="str">
        <f t="shared" si="6"/>
        <v/>
      </c>
    </row>
    <row r="69" spans="1:15" ht="15.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5" ht="15.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5" ht="15.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5" ht="15.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5" ht="15.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5" ht="15.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5" ht="15.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5" ht="15.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5" ht="15.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5" ht="15.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5" ht="15.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5" ht="15.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.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.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.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.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.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.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5.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5.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5.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.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5.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5.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5.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5.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5.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5.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5.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5.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5.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5.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5.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5.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5.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5.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5.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15.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15.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5.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15.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5.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15.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5.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15.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.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15.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5.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15.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5.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5.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5.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5.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5.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5.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5.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5.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5.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5.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5.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5.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5.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ht="15.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5.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ht="15.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15.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15.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15.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ht="15.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5.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ht="15.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15.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15.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5.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5.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5.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5.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15.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15.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15.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5.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5.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15.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15.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15.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5.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15.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5.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5.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5.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15.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5.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5.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5.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15.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5.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5.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5.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ht="15.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5.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5.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5.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5.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5.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ht="15.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5.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5.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5.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5.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5.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ht="15.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5.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5.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5.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5.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5.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15.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5.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15.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5.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5.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5.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5.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5.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5.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5.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5.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5.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5.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5.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15.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5.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5.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5.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5.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5.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ht="15.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5.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5.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5.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5.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5.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ht="15.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5.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5.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5.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15.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5.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5.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5.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5.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5.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15.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5.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15.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5.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5.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15.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5.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5.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ht="15.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5.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ht="15.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ht="15.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ht="15.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5.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ht="15.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5.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ht="15.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5.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 ht="15.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5.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5.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ht="15.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ht="15.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5.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ht="15.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5.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ht="15.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15.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5.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ht="15.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ht="15.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5.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ht="15.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5.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5.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5.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ht="15.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5.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ht="15.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5.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5.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5.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5.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5.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5.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5.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5.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5.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15.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5.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ht="15.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5.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5.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5.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5.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5.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5.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5.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5.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5.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ht="15.6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</row>
  </sheetData>
  <mergeCells count="1">
    <mergeCell ref="A1:J1"/>
  </mergeCells>
  <phoneticPr fontId="9" type="noConversion"/>
  <conditionalFormatting sqref="I1:I1048576">
    <cfRule type="containsText" dxfId="86" priority="1" operator="containsText" text="NO">
      <formula>NOT(ISERROR(SEARCH("NO",I1)))</formula>
    </cfRule>
    <cfRule type="containsText" dxfId="85" priority="2" operator="containsText" text="YES">
      <formula>NOT(ISERROR(SEARCH("YES",I1)))</formula>
    </cfRule>
  </conditionalFormatting>
  <dataValidations count="1">
    <dataValidation type="list" allowBlank="1" showInputMessage="1" showErrorMessage="1" sqref="I3:I1048576" xr:uid="{5768A30A-2664-4E50-BA6E-D398852FC92D}">
      <formula1>"YES,NO,N/A"</formula1>
    </dataValidation>
  </dataValidations>
  <hyperlinks>
    <hyperlink ref="M14" r:id="rId1" xr:uid="{BB46C5C0-D040-4CBE-85E2-0D3C7A31A349}"/>
    <hyperlink ref="M18" r:id="rId2" xr:uid="{282E9485-25C5-47C3-8F45-EB14884D98C4}"/>
    <hyperlink ref="M37" r:id="rId3" xr:uid="{1A3903DA-6E59-4E0D-B40F-EF05B6FE0CEE}"/>
    <hyperlink ref="M36" r:id="rId4" xr:uid="{E4111067-09B7-4E91-B8A1-C79E74E9BC6F}"/>
    <hyperlink ref="M47" r:id="rId5" xr:uid="{2285B73F-9DCE-4D67-8E02-C6F5892F8AF4}"/>
    <hyperlink ref="M3" r:id="rId6" xr:uid="{756F8929-803E-409F-8532-EE57D0D3BA9D}"/>
    <hyperlink ref="M12" r:id="rId7" xr:uid="{937DBAF4-AB9D-41D8-BE6A-3C218BC35E4C}"/>
    <hyperlink ref="M22" r:id="rId8" xr:uid="{E36AC237-9E65-4FEC-B6D9-1353F6A445C2}"/>
    <hyperlink ref="O62" r:id="rId9" xr:uid="{8F908277-5736-4870-AC40-38CEE9903EC1}"/>
    <hyperlink ref="O61" r:id="rId10" xr:uid="{7B81044E-C8CF-46C6-9C71-A287CD049121}"/>
    <hyperlink ref="N3" r:id="rId11" xr:uid="{A8A7F4A8-B88A-496C-86D3-C94BDED36C32}"/>
    <hyperlink ref="N4" r:id="rId12" display="https://nafdacng.sharepoint.com/sites/PMSLAGOS/Shared Documents/GDP (GOOD DISTRIBUTION PRATICE)/GSDP COMPANY FILES\SONYDON &amp; SON" xr:uid="{3844F5A1-7509-4445-BD6A-1E57E0944BD3}"/>
    <hyperlink ref="N5" r:id="rId13" xr:uid="{B479B798-8718-4030-9494-166B653D29CE}"/>
    <hyperlink ref="N6" r:id="rId14" display="https://nafdacng.sharepoint.com/sites/PMSLAGOS/Shared Documents/GDP (GOOD DISTRIBUTION PRATICE)/GSDP COMPANY FILES\SLOCHARS PHARM" xr:uid="{252CA3C7-C9B5-4B80-B040-317353E0AC1C}"/>
    <hyperlink ref="N7" r:id="rId15" display="https://nafdacng.sharepoint.com/sites/PMSLAGOS/Shared Documents/GDP (GOOD DISTRIBUTION PRATICE)/GSDP COMPANY FILES\GRACE JOHNSON LTD" xr:uid="{B4F75750-61BF-4671-ACC7-7D01932D54D5}"/>
    <hyperlink ref="N8" r:id="rId16" display="https://nafdacng.sharepoint.com/sites/PMSLAGOS/Shared Documents/GDP (GOOD DISTRIBUTION PRATICE)/GSDP COMPANY FILES\EL-NOSCO PHARM" xr:uid="{44CAE4AB-E26D-4CDB-AEA0-172F83058494}"/>
    <hyperlink ref="N9" r:id="rId17" display="https://nafdacng.sharepoint.com/sites/PMSLAGOS/Shared Documents/GDP (GOOD DISTRIBUTION PRATICE)/GSDP COMPANY FILES\S. UMUNNA PHARM" xr:uid="{39F52871-02FE-47BB-82B0-0C3721893475}"/>
    <hyperlink ref="N10" r:id="rId18" display="https://nafdacng.sharepoint.com/sites/PMSLAGOS/Shared Documents/GDP (GOOD DISTRIBUTION PRATICE)/GSDP COMPANY FILES\TONIVIC" xr:uid="{3C50E431-F132-45A8-B090-612CB96171C9}"/>
    <hyperlink ref="N11" r:id="rId19" display="https://nafdacng.sharepoint.com/sites/PMSLAGOS/Shared Documents/GDP (GOOD DISTRIBUTION PRATICE)/GSDP COMPANY FILES\JOEBIZ PHARMACY" xr:uid="{177EA5F0-36F0-4BEF-A202-E6CD9DC8A834}"/>
    <hyperlink ref="N12" r:id="rId20" display="https://nafdacng.sharepoint.com/sites/PMSLAGOS/Shared Documents/GDP (GOOD DISTRIBUTION PRATICE)/GSDP COMPANY FILES\GOODCARE" xr:uid="{8B88212C-D0CE-4742-8493-32E95D16AA8C}"/>
    <hyperlink ref="N13" r:id="rId21" display="https://nafdacng.sharepoint.com/sites/PMSLAGOS/Shared Documents/GDP (GOOD DISTRIBUTION PRATICE)/GSDP COMPANY FILES\RALPHONES PHARMACEUTICAL LTD" xr:uid="{2349FB39-F80B-40A7-ABA5-7C5EB2FE6273}"/>
    <hyperlink ref="N14" r:id="rId22" xr:uid="{25C874A4-FD4F-41EE-942F-2766FFAF714C}"/>
    <hyperlink ref="N15" r:id="rId23" display="https://nafdacng.sharepoint.com/sites/PMSLAGOS/Shared Documents/GDP (GOOD DISTRIBUTION PRATICE)/GSDP COMPANY FILES\MIVERO PHARM" xr:uid="{11E6996F-A6D5-4D1E-96AF-65A1B3685708}"/>
    <hyperlink ref="N16" r:id="rId24" display="https://nafdacng.sharepoint.com/sites/PMSLAGOS/Shared Documents/GDP (GOOD DISTRIBUTION PRATICE)/GSDP COMPANY FILES\SEC PHARMACEUTICAL" xr:uid="{7BB94CC8-DBF7-45B6-A5E9-4EEE13D9A94A}"/>
    <hyperlink ref="N17" r:id="rId25" display="https://nafdacng.sharepoint.com/sites/PMSLAGOS/Shared Documents/GDP (GOOD DISTRIBUTION PRATICE)/GSDP COMPANY FILES\FEDESON PHARM" xr:uid="{E8E8EC43-2F45-4D5A-A9FA-CD60F3663242}"/>
    <hyperlink ref="N18" r:id="rId26" xr:uid="{8864C671-FAD2-4877-A465-ED40D4B65014}"/>
    <hyperlink ref="N19" r:id="rId27" display="https://nafdacng.sharepoint.com/sites/PMSLAGOS/Shared Documents/GDP (GOOD DISTRIBUTION PRATICE)/GSDP COMPANY FILES\EZE-SUNICH PHARM" xr:uid="{3E7A0667-679C-4B32-BC55-D3D8E7F2A224}"/>
    <hyperlink ref="N21" r:id="rId28" display="https://nafdacng.sharepoint.com/sites/PMSLAGOS/Shared Documents/GDP (GOOD DISTRIBUTION PRATICE)/GSDP COMPANY FILES\CHUPET PHARMACEUTICALS" xr:uid="{83844251-8BA8-4A54-9383-918666E4FB2C}"/>
    <hyperlink ref="N22" r:id="rId29" display="https://nafdacng.sharepoint.com/sites/PMSLAGOS/Shared Documents/GDP (GOOD DISTRIBUTION PRATICE)/GSDP COMPANY FILES\SPINE PRODUCT LTD" xr:uid="{06DA031A-E5AE-4BC2-97B2-3AA009034A79}"/>
    <hyperlink ref="N23" r:id="rId30" display="https://nafdacng.sharepoint.com/sites/PMSLAGOS/Shared Documents/GDP (GOOD DISTRIBUTION PRATICE)/GSDP COMPANY FILES\HOLY TRINTY PHARM" xr:uid="{47A9A3CF-A1BF-4EDC-A387-56D579FF2D5C}"/>
    <hyperlink ref="N24" r:id="rId31" display="https://nafdacng.sharepoint.com/sites/PMSLAGOS/Shared Documents/GDP (GOOD DISTRIBUTION PRATICE)/GSDP COMPANY FILES\J.O SARCHMORE PHARM" xr:uid="{E394CAF0-1863-4178-9766-30167DBC3053}"/>
    <hyperlink ref="N25" r:id="rId32" display="https://nafdacng.sharepoint.com/sites/PMSLAGOS/Shared Documents/GDP (GOOD DISTRIBUTION PRATICE)/GSDP COMPANY FILES\SUNLIGHT LINK PHARMACY" xr:uid="{BDFAF7A4-BD48-478D-990B-926947F44111}"/>
    <hyperlink ref="N26" r:id="rId33" display="https://nafdacng.sharepoint.com/sites/PMSLAGOS/Shared Documents/GDP (GOOD DISTRIBUTION PRATICE)/GSDP COMPANY FILES\AL-TINEZ PHARMA. LTD" xr:uid="{AB0F30A9-8692-45DD-B2CB-61E4F2CB1118}"/>
    <hyperlink ref="N28" r:id="rId34" display="https://nafdacng.sharepoint.com/sites/PMSLAGOS/Shared Documents/GDP (GOOD DISTRIBUTION PRATICE)/GSDP COMPANY FILES\EMBASSY PHARM" xr:uid="{F5366F0A-8C4A-422F-AF0A-3B6C634913EF}"/>
    <hyperlink ref="N29" r:id="rId35" display="https://nafdacng.sharepoint.com/sites/PMSLAGOS/Shared Documents/GDP (GOOD DISTRIBUTION PRATICE)/GSDP COMPANY FILES\HILLY PHARMACY" xr:uid="{74D4E1E1-20CC-4265-B6AD-7E5C700CC931}"/>
    <hyperlink ref="N30" r:id="rId36" display="https://nafdacng.sharepoint.com/sites/PMSLAGOS/Shared Documents/GDP (GOOD DISTRIBUTION PRATICE)/GSDP COMPANY FILES\ZADIP PHARMA" xr:uid="{7DC53023-9824-40EE-B30F-FC781534AE5C}"/>
    <hyperlink ref="N31" r:id="rId37" display="https://nafdacng.sharepoint.com/sites/PMSLAGOS/Shared Documents/GDP (GOOD DISTRIBUTION PRATICE)/GSDP COMPANY FILES\UNIQUE PHARMACEUTICALS" xr:uid="{67EF1BDA-6B1A-44A8-97B9-B4AACA5C870D}"/>
    <hyperlink ref="N32" r:id="rId38" display="https://nafdacng.sharepoint.com/sites/PMSLAGOS/Shared Documents/GDP (GOOD DISTRIBUTION PRATICE)/GSDP COMPANY FILES\UNIQUE PHARMACEUTICALS" xr:uid="{4F13F3B1-DF67-4673-BCBB-30E686DB941A}"/>
    <hyperlink ref="N33" r:id="rId39" display="https://nafdacng.sharepoint.com/sites/PMSLAGOS/Shared Documents/GDP (GOOD DISTRIBUTION PRATICE)/GSDP COMPANY FILES\INTERPHARM GMBH" xr:uid="{0ED7C0A7-296F-4CFE-9587-DB0E358DFE50}"/>
    <hyperlink ref="N34" r:id="rId40" display="https://nafdacng.sharepoint.com/sites/PMSLAGOS/Shared Documents/GDP (GOOD DISTRIBUTION PRATICE)/GSDP COMPANY FILES\AWARD GLOBAL" xr:uid="{E553919C-89EC-419B-9109-F223A4F90156}"/>
    <hyperlink ref="N35" r:id="rId41" display="https://nafdacng.sharepoint.com/sites/PMSLAGOS/Shared Documents/GDP (GOOD DISTRIBUTION PRATICE)/GSDP COMPANY FILES\MARCSON HEALTHCARE" xr:uid="{87BCF972-B354-4A8C-A346-4B454B5F6914}"/>
    <hyperlink ref="N36" r:id="rId42" display="https://nafdacng.sharepoint.com/sites/PMSLAGOS/Shared Documents/GDP (GOOD DISTRIBUTION PRATICE)/GSDP COMPANY FILES/PHARMAMAX NIG. LTD" xr:uid="{D1AEF26E-A0A8-4DA6-83A0-7E0F327FA403}"/>
    <hyperlink ref="N37" r:id="rId43" display="https://nafdacng.sharepoint.com/sites/PMSLAGOS/Shared Documents/GDP (GOOD DISTRIBUTION PRATICE)/GSDP COMPANY FILES/INTERPHARM GMBH" xr:uid="{8DCF0A2A-E376-44CF-9487-C6E0723CFF0B}"/>
    <hyperlink ref="N38" r:id="rId44" display="https://nafdacng.sharepoint.com/sites/PMSLAGOS/Shared Documents/GDP (GOOD DISTRIBUTION PRATICE)/GSDP COMPANY FILES\KCH CONSUMER" xr:uid="{A8FC6B93-A010-417D-861F-31CF5FC39516}"/>
    <hyperlink ref="N39" r:id="rId45" display="https://nafdacng.sharepoint.com/sites/PMSLAGOS/Shared Documents/GDP (GOOD DISTRIBUTION PRATICE)/GSDP COMPANY FILES\XCEL PHARMA" xr:uid="{B96F012C-1921-4C54-B03A-A11353B3EC24}"/>
    <hyperlink ref="N40" r:id="rId46" display="https://nafdacng.sharepoint.com/sites/PMSLAGOS/Shared Documents/GDP (GOOD DISTRIBUTION PRATICE)/GSDP COMPANY FILES\MEDVACC PHARMACY" xr:uid="{73020A4A-F39F-468E-B50B-CC6FB458B94A}"/>
    <hyperlink ref="N41" r:id="rId47" display="https://nafdacng.sharepoint.com/sites/PMSLAGOS/Shared Documents/GDP (GOOD DISTRIBUTION PRATICE)/GSDP COMPANY FILES\VACCI PHARM" xr:uid="{2B6F54E4-9E44-4F48-92F1-C0F0443D153C}"/>
    <hyperlink ref="N42" r:id="rId48" display="https://nafdacng.sharepoint.com/sites/PMSLAGOS/Shared Documents/GDP (GOOD DISTRIBUTION PRATICE)/GSDP COMPANY FILES\PLACEWARE NIG LTD" xr:uid="{99065BC7-A235-4E0F-8D70-61611C61E735}"/>
    <hyperlink ref="N43" r:id="rId49" display="https://nafdacng.sharepoint.com/sites/PMSLAGOS/Shared Documents/GDP (GOOD DISTRIBUTION PRATICE)/GSDP COMPANY FILES\SUMMIT HEALTHCARE" xr:uid="{B4FF45FC-918B-48EC-B113-865E4ECCFF2A}"/>
    <hyperlink ref="N44" r:id="rId50" display="https://nafdacng.sharepoint.com/sites/PMSLAGOS/Shared Documents/GDP (GOOD DISTRIBUTION PRATICE)/GSDP COMPANY FILES\MERIT HEALTHCARE" xr:uid="{D4D14FED-FC77-45EF-89C0-40B3E6091A1B}"/>
    <hyperlink ref="N45" r:id="rId51" display="https://nafdacng.sharepoint.com/sites/PMSLAGOS/Shared Documents/GDP (GOOD DISTRIBUTION PRATICE)/GSDP COMPANY FILES\exxon" xr:uid="{797B5B95-B97F-4FF4-8929-5BCD71924EAA}"/>
    <hyperlink ref="N46" r:id="rId52" display="https://nafdacng.sharepoint.com/sites/PMSLAGOS/Shared Documents/GDP (GOOD DISTRIBUTION PRATICE)/GSDP COMPANY FILES\NEOLIFE" xr:uid="{2B9A8619-9A10-43B5-9E5E-24B5C1A49D3F}"/>
    <hyperlink ref="N47" r:id="rId53" display="https://nafdacng.sharepoint.com/sites/PMSLAGOS/Shared Documents/GDP (GOOD DISTRIBUTION PRATICE)/GSDP COMPANY FILES/AWARD GLOBAL" xr:uid="{37B96459-D044-43ED-9EF4-055B78FA8FEB}"/>
    <hyperlink ref="N48" r:id="rId54" display="https://nafdacng.sharepoint.com/sites/PMSLAGOS/Shared Documents/GDP (GOOD DISTRIBUTION PRATICE)/GSDP COMPANY FILES\CHANRAI" xr:uid="{EFCA4A4A-05DA-4BAB-AB1F-7FF874624A3A}"/>
    <hyperlink ref="N49" r:id="rId55" display="https://nafdacng.sharepoint.com/sites/PMSLAGOS/Shared Documents/GDP (GOOD DISTRIBUTION PRATICE)/GSDP COMPANY FILES\TRICARE" xr:uid="{02FBBB62-14F2-4EBF-B841-95BD5597E3D2}"/>
    <hyperlink ref="N50" r:id="rId56" display="https://nafdacng.sharepoint.com/sites/PMSLAGOS/Shared Documents/GDP (GOOD DISTRIBUTION PRATICE)/GSDP COMPANY FILES\STERLING BIOPHARMA" xr:uid="{C599E7ED-589B-4BBE-8289-1A51ED10ABB6}"/>
    <hyperlink ref="N51" r:id="rId57" display="https://nafdacng.sharepoint.com/sites/PMSLAGOS/Shared Documents/GDP (GOOD DISTRIBUTION PRATICE)/GSDP COMPANY FILES\Seagreen Pharmaceuticals" xr:uid="{A6D0BF13-2328-4D62-93C3-AB7879C12303}"/>
    <hyperlink ref="N52" r:id="rId58" display="https://nafdacng.sharepoint.com/sites/PMSLAGOS/Shared Documents/GDP (GOOD DISTRIBUTION PRATICE)/GSDP COMPANY FILES\Brent Cross" xr:uid="{F0DFECF3-92DB-42EB-9B79-2398651A4F0D}"/>
    <hyperlink ref="N53" r:id="rId59" display="https://nafdacng.sharepoint.com/sites/PMSLAGOS/Shared Documents/GDP (GOOD DISTRIBUTION PRATICE)/GSDP COMPANY FILES\Pharmgate Healthcare LTD" xr:uid="{E46E3E89-9007-43F8-96C7-FB54E8A2E8DF}"/>
    <hyperlink ref="N54" r:id="rId60" display="https://nafdacng.sharepoint.com/sites/PMSLAGOS/Shared Documents/GDP (GOOD DISTRIBUTION PRATICE)/GSDP COMPANY FILES\NECTAR" xr:uid="{DEA96330-B27F-4A89-B374-0B6B066E18AD}"/>
    <hyperlink ref="N55" r:id="rId61" display="https://nafdacng.sharepoint.com/sites/PMSLAGOS/Shared Documents/GDP (GOOD DISTRIBUTION PRATICE)/GSDP COMPANY FILES\ZOGGAR PHARMA LTD" xr:uid="{4BC6186E-F7AD-4097-A560-BB4655E28FB7}"/>
    <hyperlink ref="N56" r:id="rId62" display="https://nafdacng.sharepoint.com/sites/PMSLAGOS/Shared Documents/GDP (GOOD DISTRIBUTION PRATICE)/GSDP COMPANY FILES\Faes Farma ltd" xr:uid="{4E02CF61-9991-4ACF-A3B9-4D3A9E6F79E3}"/>
    <hyperlink ref="N57" r:id="rId63" display="https://nafdacng.sharepoint.com/sites/PMSLAGOS/Shared Documents/GDP (GOOD DISTRIBUTION PRATICE)/GSDP COMPANY FILES\LYN EDGE" xr:uid="{3E6FB363-301B-4231-9DC7-B6D2E7BFBCC9}"/>
    <hyperlink ref="N58" r:id="rId64" display="https://nafdacng.sharepoint.com/sites/PMSLAGOS/Shared Documents/GDP (GOOD DISTRIBUTION PRATICE)/GSDP COMPANY FILES\TETA PHARMACEUTICALS" xr:uid="{516301DE-A246-4814-9208-2FC0DB621D06}"/>
    <hyperlink ref="N59" r:id="rId65" display="https://nafdacng.sharepoint.com/sites/PMSLAGOS/Shared Documents/GDP (GOOD DISTRIBUTION PRATICE)/GSDP COMPANY FILES\FEDESON PHARM" xr:uid="{95E39F57-A6E3-4ECD-A888-A16745BDB2A0}"/>
    <hyperlink ref="N60" r:id="rId66" display="https://nafdacng.sharepoint.com/sites/PMSLAGOS/Shared Documents/GDP (GOOD DISTRIBUTION PRATICE)/GSDP COMPANY FILES\IDEAL EAGLES" xr:uid="{CEE7C2A9-7FA6-4664-AB00-327C0D6E1FE2}"/>
    <hyperlink ref="N63" r:id="rId67" display="https://nafdacng.sharepoint.com/sites/PMSLAGOS/Shared Documents/GDP (GOOD DISTRIBUTION PRATICE)/GSDP COMPANY FILES\GBGL PHARMACEUTICALS" xr:uid="{D83DC15C-ACFB-4186-B2E6-1E2254CDF403}"/>
    <hyperlink ref="N62" r:id="rId68" xr:uid="{DC5CA50E-3A93-4F39-ADB8-CADE8329CD19}"/>
    <hyperlink ref="N61" r:id="rId69" xr:uid="{4364D173-1EE1-4A24-8A00-044CF4157597}"/>
  </hyperlinks>
  <pageMargins left="0.25" right="0.25" top="0.75" bottom="0.75" header="0.3" footer="0.3"/>
  <pageSetup scale="47" orientation="landscape"/>
  <tableParts count="1">
    <tablePart r:id="rId7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CF6F-00BF-482D-8799-0B207FFAAF81}">
  <dimension ref="A1:O18"/>
  <sheetViews>
    <sheetView workbookViewId="0">
      <selection activeCell="M1" sqref="M1"/>
    </sheetView>
  </sheetViews>
  <sheetFormatPr defaultRowHeight="14.45"/>
  <cols>
    <col min="2" max="5" width="11.42578125" bestFit="1" customWidth="1"/>
    <col min="6" max="6" width="29.28515625" customWidth="1"/>
    <col min="7" max="12" width="11.42578125" bestFit="1" customWidth="1"/>
    <col min="13" max="13" width="167" hidden="1" customWidth="1"/>
    <col min="14" max="14" width="13.5703125" customWidth="1"/>
  </cols>
  <sheetData>
    <row r="1" spans="1:15" ht="15.6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2"/>
      <c r="L1" s="2"/>
      <c r="M1" s="3"/>
      <c r="N1" s="3"/>
      <c r="O1" s="4"/>
    </row>
    <row r="2" spans="1:15" ht="78">
      <c r="A2" s="14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 t="s">
        <v>13</v>
      </c>
      <c r="N2" s="47" t="s">
        <v>14</v>
      </c>
      <c r="O2" s="6" t="s">
        <v>15</v>
      </c>
    </row>
    <row r="3" spans="1:15" ht="93.6">
      <c r="A3" s="14">
        <v>1</v>
      </c>
      <c r="B3" s="2" t="s">
        <v>16</v>
      </c>
      <c r="C3" s="2" t="s">
        <v>17</v>
      </c>
      <c r="D3" s="2" t="s">
        <v>18</v>
      </c>
      <c r="E3" s="2" t="s">
        <v>19</v>
      </c>
      <c r="F3" s="33">
        <v>45362</v>
      </c>
      <c r="G3" s="2" t="s">
        <v>20</v>
      </c>
      <c r="H3" s="2" t="s">
        <v>21</v>
      </c>
      <c r="I3" s="2" t="s">
        <v>22</v>
      </c>
      <c r="J3" s="2" t="s">
        <v>23</v>
      </c>
      <c r="K3" s="2" t="str">
        <f>IF(I3="YES","CAPA VERIFICATION SHOULD BE SCHEDULED",IF(I3="NO","REMINDER LETTER SHOULD BE SENT",""))</f>
        <v>REMINDER LETTER SHOULD BE SENT</v>
      </c>
      <c r="L3" s="7">
        <v>45717</v>
      </c>
      <c r="M3" s="36" t="s">
        <v>25</v>
      </c>
      <c r="N3" s="48" t="str">
        <f>IF(L3="","",HYPERLINK(L3,B3))</f>
        <v xml:space="preserve">DI MAGGO PHARMACEUTICALS
</v>
      </c>
    </row>
    <row r="4" spans="1:15" ht="140.44999999999999">
      <c r="A4" s="14">
        <v>2</v>
      </c>
      <c r="B4" s="2" t="s">
        <v>26</v>
      </c>
      <c r="C4" s="2" t="s">
        <v>27</v>
      </c>
      <c r="D4" s="2" t="s">
        <v>28</v>
      </c>
      <c r="E4" s="2" t="s">
        <v>19</v>
      </c>
      <c r="F4" s="33">
        <v>45362</v>
      </c>
      <c r="G4" s="2" t="s">
        <v>20</v>
      </c>
      <c r="H4" s="2" t="s">
        <v>29</v>
      </c>
      <c r="I4" s="2" t="s">
        <v>22</v>
      </c>
      <c r="J4" s="2" t="s">
        <v>23</v>
      </c>
      <c r="K4" s="2" t="str">
        <f>IF(I4="YES","CAPA VERIFICATION SHOULD BE SCHEDULED",IF(I4="NO","REMINDER LETTER SHOULD BE SENT",""))</f>
        <v>REMINDER LETTER SHOULD BE SENT</v>
      </c>
      <c r="L4" s="7">
        <v>45717</v>
      </c>
      <c r="M4" s="36" t="s">
        <v>31</v>
      </c>
      <c r="N4" s="48" t="str">
        <f t="shared" ref="N4:N18" si="0">IF(L4="","",HYPERLINK(L4,B4))</f>
        <v xml:space="preserve">SONYDON AND SONS PHARM NIG. LTD
</v>
      </c>
    </row>
    <row r="5" spans="1:15" ht="109.15">
      <c r="A5" s="14">
        <v>3</v>
      </c>
      <c r="B5" s="2" t="s">
        <v>32</v>
      </c>
      <c r="C5" s="2" t="s">
        <v>33</v>
      </c>
      <c r="D5" s="2" t="s">
        <v>34</v>
      </c>
      <c r="E5" s="2" t="s">
        <v>19</v>
      </c>
      <c r="F5" s="33">
        <v>45363</v>
      </c>
      <c r="G5" s="2" t="s">
        <v>20</v>
      </c>
      <c r="H5" s="2" t="s">
        <v>35</v>
      </c>
      <c r="I5" s="2" t="s">
        <v>22</v>
      </c>
      <c r="J5" s="2" t="s">
        <v>23</v>
      </c>
      <c r="K5" s="2" t="str">
        <f>IF(I6="YES","CAPA VERIFICATION SHOULD BE SCHEDULED",IF(I6="NO","REMINDER LETTER SHOULD BE SENT",""))</f>
        <v>REMINDER LETTER SHOULD BE SENT</v>
      </c>
      <c r="L5" s="7">
        <v>45717</v>
      </c>
      <c r="M5" s="36" t="s">
        <v>37</v>
      </c>
      <c r="N5" s="48" t="str">
        <f t="shared" si="0"/>
        <v xml:space="preserve">SOLOCHUCKS PHARMACEUTICALS
</v>
      </c>
    </row>
    <row r="6" spans="1:15" ht="109.15">
      <c r="A6" s="14">
        <v>4</v>
      </c>
      <c r="B6" s="2" t="s">
        <v>38</v>
      </c>
      <c r="C6" s="2" t="s">
        <v>39</v>
      </c>
      <c r="D6" s="2" t="s">
        <v>40</v>
      </c>
      <c r="E6" s="2" t="s">
        <v>19</v>
      </c>
      <c r="F6" s="33">
        <v>45363</v>
      </c>
      <c r="G6" s="2" t="s">
        <v>20</v>
      </c>
      <c r="H6" s="2" t="s">
        <v>41</v>
      </c>
      <c r="I6" s="2" t="s">
        <v>22</v>
      </c>
      <c r="J6" s="2" t="s">
        <v>23</v>
      </c>
      <c r="K6" s="2" t="e">
        <f>IF(#REF!="YES","CAPA VERIFICATION SHOULD BE SCHEDULED",IF(#REF!="NO","REMINDER LETTER SHOULD BE SENT",""))</f>
        <v>#REF!</v>
      </c>
      <c r="L6" s="7">
        <v>45717</v>
      </c>
      <c r="M6" s="36" t="s">
        <v>43</v>
      </c>
      <c r="N6" s="48" t="str">
        <f t="shared" si="0"/>
        <v xml:space="preserve">SLOCHARS PHARMACEUTICALS
</v>
      </c>
    </row>
    <row r="7" spans="1:15" ht="109.15">
      <c r="A7" s="14">
        <v>5</v>
      </c>
      <c r="B7" s="2" t="s">
        <v>44</v>
      </c>
      <c r="C7" s="2" t="s">
        <v>45</v>
      </c>
      <c r="D7" s="2" t="s">
        <v>46</v>
      </c>
      <c r="E7" s="2" t="s">
        <v>19</v>
      </c>
      <c r="F7" s="33">
        <v>45364</v>
      </c>
      <c r="G7" s="2" t="s">
        <v>20</v>
      </c>
      <c r="H7" s="2" t="s">
        <v>21</v>
      </c>
      <c r="I7" s="2" t="s">
        <v>22</v>
      </c>
      <c r="J7" s="2" t="s">
        <v>23</v>
      </c>
      <c r="K7" s="2" t="str">
        <f t="shared" ref="K7:K18" si="1">IF(I7="YES","CAPA VERIFICATION SHOULD BE SCHEDULED",IF(I7="NO","REMINDER LETTER SHOULD BE SENT",""))</f>
        <v>REMINDER LETTER SHOULD BE SENT</v>
      </c>
      <c r="L7" s="7">
        <v>45717</v>
      </c>
      <c r="M7" s="36" t="s">
        <v>48</v>
      </c>
      <c r="N7" s="48" t="str">
        <f t="shared" si="0"/>
        <v>GRACEJOHNSON LIMITED</v>
      </c>
    </row>
    <row r="8" spans="1:15" ht="109.15">
      <c r="A8" s="14">
        <v>6</v>
      </c>
      <c r="B8" s="2" t="s">
        <v>49</v>
      </c>
      <c r="C8" s="2" t="s">
        <v>50</v>
      </c>
      <c r="D8" s="2" t="s">
        <v>51</v>
      </c>
      <c r="E8" s="2" t="s">
        <v>19</v>
      </c>
      <c r="F8" s="33">
        <v>45365</v>
      </c>
      <c r="G8" s="2" t="s">
        <v>20</v>
      </c>
      <c r="H8" s="2" t="s">
        <v>21</v>
      </c>
      <c r="I8" s="2" t="s">
        <v>22</v>
      </c>
      <c r="J8" s="2" t="s">
        <v>23</v>
      </c>
      <c r="K8" s="2" t="str">
        <f t="shared" si="1"/>
        <v>REMINDER LETTER SHOULD BE SENT</v>
      </c>
      <c r="L8" s="7">
        <v>45717</v>
      </c>
      <c r="M8" s="36" t="s">
        <v>53</v>
      </c>
      <c r="N8" s="48" t="str">
        <f t="shared" si="0"/>
        <v>EL-NOSCO PHARMACY</v>
      </c>
    </row>
    <row r="9" spans="1:15" ht="93.6">
      <c r="A9" s="14">
        <v>7</v>
      </c>
      <c r="B9" s="2" t="s">
        <v>54</v>
      </c>
      <c r="C9" s="2" t="s">
        <v>55</v>
      </c>
      <c r="D9" s="2" t="s">
        <v>56</v>
      </c>
      <c r="E9" s="2" t="s">
        <v>19</v>
      </c>
      <c r="F9" s="33">
        <v>45365</v>
      </c>
      <c r="G9" s="2" t="s">
        <v>20</v>
      </c>
      <c r="H9" s="2" t="s">
        <v>21</v>
      </c>
      <c r="I9" s="2" t="s">
        <v>22</v>
      </c>
      <c r="J9" s="2" t="s">
        <v>23</v>
      </c>
      <c r="K9" s="2" t="str">
        <f t="shared" si="1"/>
        <v>REMINDER LETTER SHOULD BE SENT</v>
      </c>
      <c r="L9" s="7">
        <v>45717</v>
      </c>
      <c r="M9" s="36" t="s">
        <v>58</v>
      </c>
      <c r="N9" s="48" t="str">
        <f t="shared" si="0"/>
        <v>S. UMUNNA PHARMACEUTICALS</v>
      </c>
    </row>
    <row r="10" spans="1:15" ht="78">
      <c r="A10" s="14">
        <v>8</v>
      </c>
      <c r="B10" s="2" t="s">
        <v>59</v>
      </c>
      <c r="C10" s="2" t="s">
        <v>60</v>
      </c>
      <c r="D10" s="2" t="s">
        <v>61</v>
      </c>
      <c r="E10" s="2" t="s">
        <v>19</v>
      </c>
      <c r="F10" s="33">
        <v>45362</v>
      </c>
      <c r="G10" s="2" t="s">
        <v>20</v>
      </c>
      <c r="H10" s="2" t="s">
        <v>62</v>
      </c>
      <c r="I10" s="2" t="s">
        <v>22</v>
      </c>
      <c r="J10" s="2" t="s">
        <v>23</v>
      </c>
      <c r="K10" s="2" t="str">
        <f t="shared" si="1"/>
        <v>REMINDER LETTER SHOULD BE SENT</v>
      </c>
      <c r="L10" s="7">
        <v>45717</v>
      </c>
      <c r="M10" s="36" t="s">
        <v>64</v>
      </c>
      <c r="N10" s="48" t="str">
        <f t="shared" si="0"/>
        <v>TONIVIC PHARMACY</v>
      </c>
    </row>
    <row r="11" spans="1:15" ht="109.15">
      <c r="A11" s="14">
        <v>9</v>
      </c>
      <c r="B11" s="2" t="s">
        <v>65</v>
      </c>
      <c r="C11" s="2" t="s">
        <v>66</v>
      </c>
      <c r="D11" s="2" t="s">
        <v>67</v>
      </c>
      <c r="E11" s="2" t="s">
        <v>19</v>
      </c>
      <c r="F11" s="33">
        <v>45369</v>
      </c>
      <c r="G11" s="2" t="s">
        <v>20</v>
      </c>
      <c r="H11" s="2" t="s">
        <v>21</v>
      </c>
      <c r="I11" s="2" t="s">
        <v>22</v>
      </c>
      <c r="J11" s="2" t="s">
        <v>23</v>
      </c>
      <c r="K11" s="2" t="str">
        <f t="shared" si="1"/>
        <v>REMINDER LETTER SHOULD BE SENT</v>
      </c>
      <c r="L11" s="7">
        <v>45717</v>
      </c>
      <c r="M11" s="36" t="s">
        <v>69</v>
      </c>
      <c r="N11" s="48" t="str">
        <f t="shared" si="0"/>
        <v>JOEBIZ PHARMACY</v>
      </c>
    </row>
    <row r="12" spans="1:15" ht="109.15">
      <c r="A12" s="14">
        <v>10</v>
      </c>
      <c r="B12" s="2" t="s">
        <v>70</v>
      </c>
      <c r="C12" s="12" t="s">
        <v>71</v>
      </c>
      <c r="D12" s="2">
        <v>8064266572</v>
      </c>
      <c r="E12" s="2" t="s">
        <v>72</v>
      </c>
      <c r="F12" s="33">
        <v>45369</v>
      </c>
      <c r="G12" s="2" t="s">
        <v>20</v>
      </c>
      <c r="H12" s="2" t="s">
        <v>21</v>
      </c>
      <c r="I12" s="2" t="s">
        <v>73</v>
      </c>
      <c r="J12" s="2" t="s">
        <v>74</v>
      </c>
      <c r="K12" s="2" t="str">
        <f t="shared" si="1"/>
        <v>CAPA VERIFICATION SHOULD BE SCHEDULED</v>
      </c>
      <c r="L12" s="7">
        <v>45717</v>
      </c>
      <c r="M12" s="36" t="s">
        <v>76</v>
      </c>
      <c r="N12" s="48" t="str">
        <f t="shared" si="0"/>
        <v>GOODCARE PHARMACEUTICALS LTD (CAPA)</v>
      </c>
    </row>
    <row r="13" spans="1:15" ht="78">
      <c r="A13" s="14">
        <v>11</v>
      </c>
      <c r="B13" s="12" t="s">
        <v>77</v>
      </c>
      <c r="C13" s="2" t="s">
        <v>78</v>
      </c>
      <c r="D13" s="2">
        <v>8037588238</v>
      </c>
      <c r="E13" s="2" t="s">
        <v>72</v>
      </c>
      <c r="F13" s="33">
        <v>45369</v>
      </c>
      <c r="G13" s="2" t="s">
        <v>20</v>
      </c>
      <c r="H13" s="13" t="s">
        <v>79</v>
      </c>
      <c r="I13" s="2" t="s">
        <v>22</v>
      </c>
      <c r="J13" s="2" t="s">
        <v>74</v>
      </c>
      <c r="K13" s="2" t="str">
        <f t="shared" si="1"/>
        <v>REMINDER LETTER SHOULD BE SENT</v>
      </c>
      <c r="L13" s="7">
        <v>45717</v>
      </c>
      <c r="M13" s="36" t="s">
        <v>81</v>
      </c>
      <c r="N13" s="48" t="str">
        <f t="shared" si="0"/>
        <v>RALPHONES PHARMACEUTICAL (CAPA)</v>
      </c>
    </row>
    <row r="14" spans="1:15" ht="124.9">
      <c r="A14" s="14">
        <v>12</v>
      </c>
      <c r="B14" s="2" t="s">
        <v>82</v>
      </c>
      <c r="C14" s="2" t="s">
        <v>83</v>
      </c>
      <c r="D14" s="2" t="s">
        <v>84</v>
      </c>
      <c r="E14" s="2" t="s">
        <v>19</v>
      </c>
      <c r="F14" s="33">
        <v>45369</v>
      </c>
      <c r="G14" s="2" t="s">
        <v>20</v>
      </c>
      <c r="H14" s="2" t="s">
        <v>21</v>
      </c>
      <c r="I14" s="2" t="s">
        <v>22</v>
      </c>
      <c r="J14" s="2" t="s">
        <v>23</v>
      </c>
      <c r="K14" s="2" t="str">
        <f t="shared" si="1"/>
        <v>REMINDER LETTER SHOULD BE SENT</v>
      </c>
      <c r="L14" s="7">
        <v>45717</v>
      </c>
      <c r="M14" s="36" t="s">
        <v>85</v>
      </c>
      <c r="N14" s="48" t="str">
        <f t="shared" si="0"/>
        <v>ROYAL PRIESTHOOD LAB LTD.</v>
      </c>
    </row>
    <row r="15" spans="1:15" ht="109.15">
      <c r="A15" s="14">
        <v>13</v>
      </c>
      <c r="B15" s="2" t="s">
        <v>86</v>
      </c>
      <c r="C15" s="2" t="s">
        <v>87</v>
      </c>
      <c r="D15" s="2">
        <v>8161396721</v>
      </c>
      <c r="E15" s="2" t="s">
        <v>72</v>
      </c>
      <c r="F15" s="33">
        <v>45370</v>
      </c>
      <c r="G15" s="2" t="s">
        <v>88</v>
      </c>
      <c r="H15" s="2" t="s">
        <v>21</v>
      </c>
      <c r="I15" s="2" t="s">
        <v>73</v>
      </c>
      <c r="J15" s="2" t="s">
        <v>74</v>
      </c>
      <c r="K15" s="2" t="str">
        <f t="shared" si="1"/>
        <v>CAPA VERIFICATION SHOULD BE SCHEDULED</v>
      </c>
      <c r="L15" s="7">
        <v>46082</v>
      </c>
      <c r="M15" s="36" t="s">
        <v>90</v>
      </c>
      <c r="N15" s="48" t="str">
        <f t="shared" si="0"/>
        <v>MIVERO PHARM LTD (CAPA)</v>
      </c>
    </row>
    <row r="16" spans="1:15" ht="93.6">
      <c r="A16" s="14">
        <v>14</v>
      </c>
      <c r="B16" s="2" t="s">
        <v>91</v>
      </c>
      <c r="C16" s="2" t="s">
        <v>92</v>
      </c>
      <c r="D16" s="2" t="s">
        <v>93</v>
      </c>
      <c r="E16" s="2" t="s">
        <v>19</v>
      </c>
      <c r="F16" s="33">
        <v>45370</v>
      </c>
      <c r="G16" s="2" t="s">
        <v>20</v>
      </c>
      <c r="H16" s="2" t="s">
        <v>21</v>
      </c>
      <c r="I16" s="2" t="s">
        <v>22</v>
      </c>
      <c r="J16" s="2" t="s">
        <v>23</v>
      </c>
      <c r="K16" s="2" t="str">
        <f t="shared" si="1"/>
        <v>REMINDER LETTER SHOULD BE SENT</v>
      </c>
      <c r="L16" s="7">
        <v>45717</v>
      </c>
      <c r="M16" s="36" t="s">
        <v>95</v>
      </c>
      <c r="N16" s="48" t="str">
        <f t="shared" si="0"/>
        <v>SEC PHARMACY</v>
      </c>
    </row>
    <row r="17" spans="1:14" ht="109.15">
      <c r="A17" s="14">
        <v>15</v>
      </c>
      <c r="B17" s="2" t="s">
        <v>96</v>
      </c>
      <c r="C17" s="2" t="s">
        <v>97</v>
      </c>
      <c r="D17" s="2" t="s">
        <v>98</v>
      </c>
      <c r="E17" s="2" t="s">
        <v>19</v>
      </c>
      <c r="F17" s="33">
        <v>45370</v>
      </c>
      <c r="G17" s="2" t="s">
        <v>88</v>
      </c>
      <c r="H17" s="2" t="s">
        <v>21</v>
      </c>
      <c r="I17" s="2" t="s">
        <v>73</v>
      </c>
      <c r="J17" s="2" t="s">
        <v>74</v>
      </c>
      <c r="K17" s="2" t="str">
        <f t="shared" si="1"/>
        <v>CAPA VERIFICATION SHOULD BE SCHEDULED</v>
      </c>
      <c r="L17" s="7">
        <v>46082</v>
      </c>
      <c r="M17" s="36" t="s">
        <v>100</v>
      </c>
      <c r="N17" s="48" t="str">
        <f t="shared" si="0"/>
        <v>FEDESON PHARMACY</v>
      </c>
    </row>
    <row r="18" spans="1:14" ht="78">
      <c r="A18" s="14">
        <v>17</v>
      </c>
      <c r="B18" s="2" t="s">
        <v>106</v>
      </c>
      <c r="C18" s="2" t="s">
        <v>107</v>
      </c>
      <c r="D18" s="2" t="s">
        <v>108</v>
      </c>
      <c r="E18" s="2" t="s">
        <v>19</v>
      </c>
      <c r="F18" s="33">
        <v>45371</v>
      </c>
      <c r="G18" s="2" t="s">
        <v>20</v>
      </c>
      <c r="H18" s="2" t="s">
        <v>21</v>
      </c>
      <c r="I18" s="2" t="s">
        <v>22</v>
      </c>
      <c r="J18" s="2" t="s">
        <v>23</v>
      </c>
      <c r="K18" s="2" t="str">
        <f t="shared" si="1"/>
        <v>REMINDER LETTER SHOULD BE SENT</v>
      </c>
      <c r="L18" s="7">
        <v>45717</v>
      </c>
      <c r="M18" s="39" t="s">
        <v>110</v>
      </c>
      <c r="N18" s="48" t="str">
        <f t="shared" si="0"/>
        <v>EZE-SUNICH PHARMACY</v>
      </c>
    </row>
  </sheetData>
  <mergeCells count="1">
    <mergeCell ref="A1:J1"/>
  </mergeCells>
  <conditionalFormatting sqref="I1:I2">
    <cfRule type="containsText" dxfId="67" priority="3" operator="containsText" text="NO">
      <formula>NOT(ISERROR(SEARCH("NO",I1)))</formula>
    </cfRule>
    <cfRule type="containsText" dxfId="66" priority="4" operator="containsText" text="YES">
      <formula>NOT(ISERROR(SEARCH("YES",I1)))</formula>
    </cfRule>
  </conditionalFormatting>
  <conditionalFormatting sqref="I3:I18">
    <cfRule type="containsText" dxfId="65" priority="1" operator="containsText" text="NO">
      <formula>NOT(ISERROR(SEARCH("NO",I3)))</formula>
    </cfRule>
    <cfRule type="containsText" dxfId="64" priority="2" operator="containsText" text="YES">
      <formula>NOT(ISERROR(SEARCH("YES",I3)))</formula>
    </cfRule>
  </conditionalFormatting>
  <dataValidations count="1">
    <dataValidation type="list" allowBlank="1" showInputMessage="1" showErrorMessage="1" sqref="I3:I18" xr:uid="{41823B63-A58E-496A-8349-8827C6F836B1}">
      <formula1>"YES,NO,N/A"</formula1>
    </dataValidation>
  </dataValidations>
  <hyperlinks>
    <hyperlink ref="M3" r:id="rId1" xr:uid="{EDCFAF91-C4B5-4F07-BBE0-6F248287C6C6}"/>
    <hyperlink ref="M4" r:id="rId2" display="https://nafdacng.sharepoint.com/sites/PMSLAGOS/Shared Documents/GDP (GOOD DISTRIBUTION PRATICE)/GSDP COMPANY FILES\SONYDON &amp; SON" xr:uid="{82A6ADB2-6A27-4992-B402-4C618F0CEFFB}"/>
    <hyperlink ref="M5" r:id="rId3" xr:uid="{FE9F0DA4-BD14-46CD-AD9C-449DD39573CE}"/>
    <hyperlink ref="M6" r:id="rId4" display="https://nafdacng.sharepoint.com/sites/PMSLAGOS/Shared Documents/GDP (GOOD DISTRIBUTION PRATICE)/GSDP COMPANY FILES\SLOCHARS PHARM" xr:uid="{76EE77CA-0428-4FBD-A3D3-C5CB39B41581}"/>
    <hyperlink ref="M7" r:id="rId5" display="https://nafdacng.sharepoint.com/sites/PMSLAGOS/Shared Documents/GDP (GOOD DISTRIBUTION PRATICE)/GSDP COMPANY FILES\GRACE JOHNSON LTD" xr:uid="{3E68AA3A-82D5-4030-B8ED-ED4B87B5293D}"/>
    <hyperlink ref="M8" r:id="rId6" display="https://nafdacng.sharepoint.com/sites/PMSLAGOS/Shared Documents/GDP (GOOD DISTRIBUTION PRATICE)/GSDP COMPANY FILES\EL-NOSCO PHARM" xr:uid="{B800E893-77D9-4307-9045-C980023EE710}"/>
    <hyperlink ref="M9" r:id="rId7" display="https://nafdacng.sharepoint.com/sites/PMSLAGOS/Shared Documents/GDP (GOOD DISTRIBUTION PRATICE)/GSDP COMPANY FILES\S. UMUNNA PHARM" xr:uid="{A3C419E8-2CDF-4C8D-A844-086080BCA78F}"/>
    <hyperlink ref="M10" r:id="rId8" display="https://nafdacng.sharepoint.com/sites/PMSLAGOS/Shared Documents/GDP (GOOD DISTRIBUTION PRATICE)/GSDP COMPANY FILES\TONIVIC" xr:uid="{A552A434-5F6E-40F8-8B9A-EE556AEB64C9}"/>
    <hyperlink ref="M11" r:id="rId9" display="https://nafdacng.sharepoint.com/sites/PMSLAGOS/Shared Documents/GDP (GOOD DISTRIBUTION PRATICE)/GSDP COMPANY FILES\JOEBIZ PHARMACY" xr:uid="{117B3783-D2AE-410F-9E53-DC5B837D695B}"/>
    <hyperlink ref="M12" r:id="rId10" display="https://nafdacng.sharepoint.com/sites/PMSLAGOS/Shared Documents/GDP (GOOD DISTRIBUTION PRATICE)/GSDP COMPANY FILES\GOODCARE" xr:uid="{CEB33F61-8E65-448A-B863-8C5EDA7F5378}"/>
    <hyperlink ref="M13" r:id="rId11" display="https://nafdacng.sharepoint.com/sites/PMSLAGOS/Shared Documents/GDP (GOOD DISTRIBUTION PRATICE)/GSDP COMPANY FILES\RALPHONES PHARMACEUTICAL LTD" xr:uid="{10EFD1ED-8846-4782-B24B-F2FB50EACF64}"/>
    <hyperlink ref="M14" r:id="rId12" xr:uid="{DA4798C3-78D1-412F-A552-B96FB3D2FDAC}"/>
    <hyperlink ref="M15" r:id="rId13" display="https://nafdacng.sharepoint.com/sites/PMSLAGOS/Shared Documents/GDP (GOOD DISTRIBUTION PRATICE)/GSDP COMPANY FILES\MIVERO PHARM" xr:uid="{FFAE26A1-9E75-48C9-8C63-56066A646412}"/>
    <hyperlink ref="M16" r:id="rId14" display="https://nafdacng.sharepoint.com/sites/PMSLAGOS/Shared Documents/GDP (GOOD DISTRIBUTION PRATICE)/GSDP COMPANY FILES\SEC PHARMACEUTICAL" xr:uid="{7734E43D-E435-46FB-B5DB-5DDF9472C0EE}"/>
    <hyperlink ref="M17" r:id="rId15" display="https://nafdacng.sharepoint.com/sites/PMSLAGOS/Shared Documents/GDP (GOOD DISTRIBUTION PRATICE)/GSDP COMPANY FILES\FEDESON PHARM" xr:uid="{0F2E9A27-73DB-4238-BC5B-D5F92874F084}"/>
    <hyperlink ref="M18" r:id="rId16" display="https://nafdacng.sharepoint.com/sites/PMSLAGOS/Shared Documents/GDP (GOOD DISTRIBUTION PRATICE)/GSDP COMPANY FILES\EZE-SUNICH PHARM" xr:uid="{4655B175-1988-4AF5-839D-4C2BDA9D1253}"/>
  </hyperlinks>
  <pageMargins left="0.7" right="0.7" top="0.75" bottom="0.75" header="0.3" footer="0.3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BDB9-22E2-47CC-A528-DA2590BE23B5}">
  <dimension ref="A1:O13"/>
  <sheetViews>
    <sheetView workbookViewId="0">
      <selection activeCell="A2" sqref="A2"/>
    </sheetView>
  </sheetViews>
  <sheetFormatPr defaultRowHeight="14.45"/>
  <cols>
    <col min="2" max="2" width="11.42578125" bestFit="1" customWidth="1"/>
    <col min="3" max="3" width="18" customWidth="1"/>
    <col min="4" max="5" width="11.42578125" bestFit="1" customWidth="1"/>
    <col min="6" max="6" width="26.85546875" customWidth="1"/>
    <col min="7" max="12" width="11.42578125" bestFit="1" customWidth="1"/>
    <col min="13" max="13" width="160.5703125" hidden="1" customWidth="1"/>
    <col min="14" max="14" width="13.5703125" bestFit="1" customWidth="1"/>
  </cols>
  <sheetData>
    <row r="1" spans="1:15" ht="15.6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2"/>
      <c r="L1" s="2"/>
      <c r="M1" s="3"/>
      <c r="N1" s="3"/>
      <c r="O1" s="4"/>
    </row>
    <row r="2" spans="1:15" ht="7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 t="s">
        <v>13</v>
      </c>
      <c r="N2" s="47" t="s">
        <v>14</v>
      </c>
      <c r="O2" s="6" t="s">
        <v>15</v>
      </c>
    </row>
    <row r="3" spans="1:15" ht="109.15">
      <c r="A3" s="40">
        <v>16</v>
      </c>
      <c r="B3" s="2" t="s">
        <v>101</v>
      </c>
      <c r="C3" s="2" t="s">
        <v>102</v>
      </c>
      <c r="D3" s="2" t="s">
        <v>103</v>
      </c>
      <c r="E3" s="2" t="s">
        <v>72</v>
      </c>
      <c r="F3" s="33">
        <v>45427</v>
      </c>
      <c r="G3" s="2" t="s">
        <v>88</v>
      </c>
      <c r="H3" s="2" t="s">
        <v>104</v>
      </c>
      <c r="I3" s="2" t="s">
        <v>73</v>
      </c>
      <c r="J3" s="2" t="s">
        <v>74</v>
      </c>
      <c r="K3" s="2" t="str">
        <f t="shared" ref="K3:K11" si="0">IF(I3="YES","CAPA VERIFICATION SHOULD BE SCHEDULED",IF(I3="NO","REMINDER LETTER SHOULD BE SENT",""))</f>
        <v>CAPA VERIFICATION SHOULD BE SCHEDULED</v>
      </c>
      <c r="L3" s="15">
        <v>46143</v>
      </c>
      <c r="M3" s="36" t="s">
        <v>105</v>
      </c>
      <c r="N3" s="49" t="str">
        <f>IF(L3="","",HYPERLINK(L3,B3))</f>
        <v>ALATRA PHARMACEUTICALS (CAPA)</v>
      </c>
    </row>
    <row r="4" spans="1:15" ht="62.45">
      <c r="A4" s="2">
        <v>18</v>
      </c>
      <c r="B4" s="2" t="s">
        <v>111</v>
      </c>
      <c r="C4" s="2" t="s">
        <v>112</v>
      </c>
      <c r="D4" s="2" t="s">
        <v>113</v>
      </c>
      <c r="E4" s="2" t="s">
        <v>19</v>
      </c>
      <c r="F4" s="33">
        <v>45418</v>
      </c>
      <c r="G4" s="2" t="s">
        <v>20</v>
      </c>
      <c r="H4" s="2" t="s">
        <v>114</v>
      </c>
      <c r="I4" s="2" t="s">
        <v>22</v>
      </c>
      <c r="J4" s="2" t="s">
        <v>23</v>
      </c>
      <c r="K4" s="2" t="str">
        <f t="shared" si="0"/>
        <v>REMINDER LETTER SHOULD BE SENT</v>
      </c>
      <c r="L4" s="15">
        <v>45778</v>
      </c>
      <c r="M4" s="41"/>
      <c r="N4" s="49" t="str">
        <f t="shared" ref="N4:N13" si="1">IF(L4="","",HYPERLINK(L4,B4))</f>
        <v>JOMEC PHARM CO.LTD</v>
      </c>
    </row>
    <row r="5" spans="1:15" ht="109.15">
      <c r="A5" s="2">
        <v>19</v>
      </c>
      <c r="B5" s="2" t="s">
        <v>115</v>
      </c>
      <c r="C5" s="2" t="s">
        <v>116</v>
      </c>
      <c r="D5" s="2" t="s">
        <v>117</v>
      </c>
      <c r="E5" s="2" t="s">
        <v>19</v>
      </c>
      <c r="F5" s="33">
        <v>45419</v>
      </c>
      <c r="G5" s="2" t="s">
        <v>88</v>
      </c>
      <c r="H5" s="13">
        <v>45570</v>
      </c>
      <c r="I5" s="2" t="s">
        <v>73</v>
      </c>
      <c r="J5" s="2" t="s">
        <v>118</v>
      </c>
      <c r="K5" s="2" t="str">
        <f t="shared" si="0"/>
        <v>CAPA VERIFICATION SHOULD BE SCHEDULED</v>
      </c>
      <c r="L5" s="15">
        <v>46143</v>
      </c>
      <c r="M5" s="36" t="s">
        <v>120</v>
      </c>
      <c r="N5" s="49" t="str">
        <f t="shared" si="1"/>
        <v xml:space="preserve">CHUPET PHARMACEUTICAL
</v>
      </c>
    </row>
    <row r="6" spans="1:15" ht="93.6">
      <c r="A6" s="2">
        <v>20</v>
      </c>
      <c r="B6" s="2" t="s">
        <v>121</v>
      </c>
      <c r="C6" s="2" t="s">
        <v>122</v>
      </c>
      <c r="D6" s="2" t="s">
        <v>123</v>
      </c>
      <c r="E6" s="2" t="s">
        <v>19</v>
      </c>
      <c r="F6" s="33">
        <v>45420</v>
      </c>
      <c r="G6" s="2" t="s">
        <v>20</v>
      </c>
      <c r="H6" s="2" t="s">
        <v>124</v>
      </c>
      <c r="I6" s="2" t="s">
        <v>22</v>
      </c>
      <c r="J6" s="2" t="s">
        <v>23</v>
      </c>
      <c r="K6" s="2" t="str">
        <f t="shared" si="0"/>
        <v>REMINDER LETTER SHOULD BE SENT</v>
      </c>
      <c r="L6" s="15">
        <v>45778</v>
      </c>
      <c r="M6" s="36" t="s">
        <v>126</v>
      </c>
      <c r="N6" s="49" t="str">
        <f t="shared" si="1"/>
        <v>SPINE PRODUCT LTD</v>
      </c>
    </row>
    <row r="7" spans="1:15" ht="62.45">
      <c r="A7" s="2">
        <v>21</v>
      </c>
      <c r="B7" s="2" t="s">
        <v>127</v>
      </c>
      <c r="C7" s="2" t="s">
        <v>128</v>
      </c>
      <c r="D7" s="2" t="s">
        <v>129</v>
      </c>
      <c r="E7" s="2" t="s">
        <v>19</v>
      </c>
      <c r="F7" s="33">
        <v>45421</v>
      </c>
      <c r="G7" s="2" t="s">
        <v>20</v>
      </c>
      <c r="H7" s="2" t="s">
        <v>130</v>
      </c>
      <c r="I7" s="2" t="s">
        <v>22</v>
      </c>
      <c r="J7" s="2" t="s">
        <v>23</v>
      </c>
      <c r="K7" s="2" t="str">
        <f t="shared" si="0"/>
        <v>REMINDER LETTER SHOULD BE SENT</v>
      </c>
      <c r="L7" s="15">
        <v>45778</v>
      </c>
      <c r="M7" s="36" t="s">
        <v>132</v>
      </c>
      <c r="N7" s="49" t="str">
        <f t="shared" si="1"/>
        <v>HOLY TRINTY PHARMACY</v>
      </c>
    </row>
    <row r="8" spans="1:15" ht="93.6">
      <c r="A8" s="2">
        <v>22</v>
      </c>
      <c r="B8" s="2" t="s">
        <v>133</v>
      </c>
      <c r="C8" s="2" t="s">
        <v>134</v>
      </c>
      <c r="D8" s="2" t="s">
        <v>135</v>
      </c>
      <c r="E8" s="2" t="s">
        <v>19</v>
      </c>
      <c r="F8" s="33">
        <v>45421</v>
      </c>
      <c r="G8" s="2" t="s">
        <v>20</v>
      </c>
      <c r="H8" s="2" t="s">
        <v>114</v>
      </c>
      <c r="I8" s="2" t="s">
        <v>22</v>
      </c>
      <c r="J8" s="2" t="s">
        <v>23</v>
      </c>
      <c r="K8" s="2" t="str">
        <f t="shared" si="0"/>
        <v>REMINDER LETTER SHOULD BE SENT</v>
      </c>
      <c r="L8" s="15">
        <v>45778</v>
      </c>
      <c r="M8" s="36" t="s">
        <v>137</v>
      </c>
      <c r="N8" s="49" t="str">
        <f t="shared" si="1"/>
        <v>J.O SARCHMORE PHARMACY</v>
      </c>
    </row>
    <row r="9" spans="1:15" ht="62.45">
      <c r="A9" s="2">
        <v>23</v>
      </c>
      <c r="B9" s="2" t="s">
        <v>138</v>
      </c>
      <c r="C9" s="2" t="s">
        <v>139</v>
      </c>
      <c r="D9" s="2" t="s">
        <v>140</v>
      </c>
      <c r="E9" s="2" t="s">
        <v>19</v>
      </c>
      <c r="F9" s="33">
        <v>45425</v>
      </c>
      <c r="G9" s="2" t="s">
        <v>20</v>
      </c>
      <c r="H9" s="2" t="s">
        <v>124</v>
      </c>
      <c r="I9" s="2" t="s">
        <v>22</v>
      </c>
      <c r="J9" s="2" t="s">
        <v>23</v>
      </c>
      <c r="K9" s="2" t="str">
        <f t="shared" si="0"/>
        <v>REMINDER LETTER SHOULD BE SENT</v>
      </c>
      <c r="L9" s="15">
        <v>45778</v>
      </c>
      <c r="M9" s="36" t="s">
        <v>142</v>
      </c>
      <c r="N9" s="49" t="str">
        <f t="shared" si="1"/>
        <v>SUNLIGHT LINKS PHARMACY LTD</v>
      </c>
    </row>
    <row r="10" spans="1:15" ht="62.45">
      <c r="A10" s="2">
        <v>24</v>
      </c>
      <c r="B10" s="2" t="s">
        <v>143</v>
      </c>
      <c r="C10" s="2" t="s">
        <v>144</v>
      </c>
      <c r="D10" s="2" t="s">
        <v>145</v>
      </c>
      <c r="E10" s="2" t="s">
        <v>19</v>
      </c>
      <c r="F10" s="33">
        <v>45425</v>
      </c>
      <c r="G10" s="2" t="s">
        <v>20</v>
      </c>
      <c r="H10" s="2" t="s">
        <v>104</v>
      </c>
      <c r="I10" s="2" t="s">
        <v>22</v>
      </c>
      <c r="J10" s="2" t="s">
        <v>23</v>
      </c>
      <c r="K10" s="2" t="str">
        <f t="shared" si="0"/>
        <v>REMINDER LETTER SHOULD BE SENT</v>
      </c>
      <c r="L10" s="15">
        <v>45778</v>
      </c>
      <c r="M10" s="36" t="s">
        <v>147</v>
      </c>
      <c r="N10" s="49" t="str">
        <f t="shared" si="1"/>
        <v>AL-TINEZ PHARMACEUTICALS</v>
      </c>
    </row>
    <row r="11" spans="1:15" ht="62.45">
      <c r="A11" s="2">
        <v>25</v>
      </c>
      <c r="B11" s="2" t="s">
        <v>148</v>
      </c>
      <c r="C11" s="2" t="s">
        <v>149</v>
      </c>
      <c r="D11" s="2" t="s">
        <v>150</v>
      </c>
      <c r="E11" s="2" t="s">
        <v>19</v>
      </c>
      <c r="F11" s="33">
        <v>45426</v>
      </c>
      <c r="G11" s="2" t="s">
        <v>20</v>
      </c>
      <c r="H11" s="2"/>
      <c r="I11" s="2" t="s">
        <v>22</v>
      </c>
      <c r="J11" s="2" t="s">
        <v>23</v>
      </c>
      <c r="K11" s="2" t="str">
        <f t="shared" si="0"/>
        <v>REMINDER LETTER SHOULD BE SENT</v>
      </c>
      <c r="L11" s="15">
        <v>45778</v>
      </c>
      <c r="M11" s="41"/>
      <c r="N11" s="49" t="str">
        <f t="shared" si="1"/>
        <v>ROCA PHARMACEUTICAL</v>
      </c>
    </row>
    <row r="12" spans="1:15" ht="109.15">
      <c r="A12" s="2">
        <v>26</v>
      </c>
      <c r="B12" s="2" t="s">
        <v>151</v>
      </c>
      <c r="C12" s="2" t="s">
        <v>152</v>
      </c>
      <c r="D12" s="2">
        <v>8029702822</v>
      </c>
      <c r="E12" s="2" t="s">
        <v>72</v>
      </c>
      <c r="F12" s="33">
        <v>45428</v>
      </c>
      <c r="G12" s="2" t="s">
        <v>88</v>
      </c>
      <c r="H12" s="2"/>
      <c r="I12" s="2" t="s">
        <v>73</v>
      </c>
      <c r="J12" s="2" t="s">
        <v>153</v>
      </c>
      <c r="K12" s="2" t="s">
        <v>154</v>
      </c>
      <c r="L12" s="15">
        <v>46143</v>
      </c>
      <c r="M12" s="36" t="s">
        <v>156</v>
      </c>
      <c r="N12" s="49" t="str">
        <f t="shared" si="1"/>
        <v>EMBASSY PHARMACEUTICALS (CAPA)</v>
      </c>
    </row>
    <row r="13" spans="1:15" ht="109.15">
      <c r="A13" s="2">
        <v>27</v>
      </c>
      <c r="B13" s="2" t="s">
        <v>157</v>
      </c>
      <c r="C13" s="2" t="s">
        <v>158</v>
      </c>
      <c r="D13" s="2" t="s">
        <v>159</v>
      </c>
      <c r="E13" s="2" t="s">
        <v>19</v>
      </c>
      <c r="F13" s="33">
        <v>45428</v>
      </c>
      <c r="G13" s="2" t="s">
        <v>20</v>
      </c>
      <c r="H13" s="2"/>
      <c r="I13" s="2" t="s">
        <v>73</v>
      </c>
      <c r="J13" s="2" t="s">
        <v>23</v>
      </c>
      <c r="K13" s="2" t="str">
        <f t="shared" ref="K13" si="2">IF(I13="YES","CAPA VERIFICATION SHOULD BE SCHEDULED",IF(I13="NO","REMINDER LETTER SHOULD BE SENT",""))</f>
        <v>CAPA VERIFICATION SHOULD BE SCHEDULED</v>
      </c>
      <c r="L13" s="15">
        <v>45778</v>
      </c>
      <c r="M13" s="36" t="s">
        <v>161</v>
      </c>
      <c r="N13" s="49" t="str">
        <f t="shared" si="1"/>
        <v>HILLY PHARMACY</v>
      </c>
    </row>
  </sheetData>
  <mergeCells count="1">
    <mergeCell ref="A1:J1"/>
  </mergeCells>
  <conditionalFormatting sqref="I1:I2">
    <cfRule type="containsText" dxfId="47" priority="3" operator="containsText" text="NO">
      <formula>NOT(ISERROR(SEARCH("NO",I1)))</formula>
    </cfRule>
    <cfRule type="containsText" dxfId="46" priority="4" operator="containsText" text="YES">
      <formula>NOT(ISERROR(SEARCH("YES",I1)))</formula>
    </cfRule>
  </conditionalFormatting>
  <conditionalFormatting sqref="I3:I13">
    <cfRule type="containsText" dxfId="45" priority="1" operator="containsText" text="NO">
      <formula>NOT(ISERROR(SEARCH("NO",I3)))</formula>
    </cfRule>
    <cfRule type="containsText" dxfId="44" priority="2" operator="containsText" text="YES">
      <formula>NOT(ISERROR(SEARCH("YES",I3)))</formula>
    </cfRule>
  </conditionalFormatting>
  <dataValidations count="1">
    <dataValidation type="list" allowBlank="1" showInputMessage="1" showErrorMessage="1" sqref="I3:I13" xr:uid="{25747497-0D22-4BC9-9DAE-7469C0A5783A}">
      <formula1>"YES,NO,N/A"</formula1>
    </dataValidation>
  </dataValidations>
  <hyperlinks>
    <hyperlink ref="M3" r:id="rId1" xr:uid="{995B46C2-3996-40DD-A03E-0FE9170356D6}"/>
    <hyperlink ref="M5" r:id="rId2" display="https://nafdacng.sharepoint.com/sites/PMSLAGOS/Shared Documents/GDP (GOOD DISTRIBUTION PRATICE)/GSDP COMPANY FILES\CHUPET PHARMACEUTICALS" xr:uid="{24C00153-7EEF-4314-8C04-CF329A8F5186}"/>
    <hyperlink ref="M6" r:id="rId3" display="https://nafdacng.sharepoint.com/sites/PMSLAGOS/Shared Documents/GDP (GOOD DISTRIBUTION PRATICE)/GSDP COMPANY FILES\SPINE PRODUCT LTD" xr:uid="{B9E2C237-598E-40B6-91EB-B412E3BBE2C3}"/>
    <hyperlink ref="M7" r:id="rId4" display="https://nafdacng.sharepoint.com/sites/PMSLAGOS/Shared Documents/GDP (GOOD DISTRIBUTION PRATICE)/GSDP COMPANY FILES\HOLY TRINTY PHARM" xr:uid="{744D5BF1-481C-44E7-90FF-06A915710A7B}"/>
    <hyperlink ref="M8" r:id="rId5" display="https://nafdacng.sharepoint.com/sites/PMSLAGOS/Shared Documents/GDP (GOOD DISTRIBUTION PRATICE)/GSDP COMPANY FILES\J.O SARCHMORE PHARM" xr:uid="{68DE897D-09A7-42FF-BE6A-D4A1FEF37126}"/>
    <hyperlink ref="M9" r:id="rId6" display="https://nafdacng.sharepoint.com/sites/PMSLAGOS/Shared Documents/GDP (GOOD DISTRIBUTION PRATICE)/GSDP COMPANY FILES\SUNLIGHT LINK PHARMACY" xr:uid="{B13F65A9-4065-4EF4-AE9C-6FE470005F45}"/>
    <hyperlink ref="M10" r:id="rId7" display="https://nafdacng.sharepoint.com/sites/PMSLAGOS/Shared Documents/GDP (GOOD DISTRIBUTION PRATICE)/GSDP COMPANY FILES\AL-TINEZ PHARMA. LTD" xr:uid="{DA2DE4E8-93C0-45DF-8FE8-565CC23999CD}"/>
    <hyperlink ref="M12" r:id="rId8" display="https://nafdacng.sharepoint.com/sites/PMSLAGOS/Shared Documents/GDP (GOOD DISTRIBUTION PRATICE)/GSDP COMPANY FILES\EMBASSY PHARM" xr:uid="{6311094E-F7E0-4E25-B7E7-A3FAA66278A6}"/>
    <hyperlink ref="M13" r:id="rId9" display="https://nafdacng.sharepoint.com/sites/PMSLAGOS/Shared Documents/GDP (GOOD DISTRIBUTION PRATICE)/GSDP COMPANY FILES\HILLY PHARMACY" xr:uid="{0D3836EC-3682-495A-899A-6AEA2CAB551A}"/>
  </hyperlinks>
  <pageMargins left="0.7" right="0.7" top="0.75" bottom="0.75" header="0.3" footer="0.3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93D5-BC30-472B-A24D-54D9DCC50F79}">
  <dimension ref="A1:O12"/>
  <sheetViews>
    <sheetView workbookViewId="0">
      <selection activeCell="F5" sqref="F5"/>
    </sheetView>
  </sheetViews>
  <sheetFormatPr defaultRowHeight="14.45"/>
  <cols>
    <col min="2" max="5" width="11.42578125" bestFit="1" customWidth="1"/>
    <col min="6" max="6" width="30.85546875" customWidth="1"/>
    <col min="7" max="12" width="11.42578125" bestFit="1" customWidth="1"/>
    <col min="13" max="13" width="160.42578125" hidden="1" customWidth="1"/>
    <col min="14" max="14" width="13.5703125" bestFit="1" customWidth="1"/>
  </cols>
  <sheetData>
    <row r="1" spans="1:15" ht="15.6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2"/>
      <c r="L1" s="2"/>
      <c r="M1" s="3"/>
      <c r="N1" s="3"/>
      <c r="O1" s="4"/>
    </row>
    <row r="2" spans="1:15" ht="7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 t="s">
        <v>13</v>
      </c>
      <c r="N2" s="47" t="s">
        <v>14</v>
      </c>
      <c r="O2" s="6" t="s">
        <v>15</v>
      </c>
    </row>
    <row r="3" spans="1:15" ht="62.45">
      <c r="A3" s="1">
        <v>28</v>
      </c>
      <c r="B3" s="12" t="s">
        <v>162</v>
      </c>
      <c r="C3" s="12" t="s">
        <v>163</v>
      </c>
      <c r="D3" s="2" t="s">
        <v>164</v>
      </c>
      <c r="E3" s="2" t="s">
        <v>19</v>
      </c>
      <c r="F3" s="33">
        <v>45509</v>
      </c>
      <c r="G3" s="2" t="s">
        <v>20</v>
      </c>
      <c r="H3" s="13">
        <v>45481</v>
      </c>
      <c r="I3" s="2" t="s">
        <v>22</v>
      </c>
      <c r="J3" s="2" t="s">
        <v>23</v>
      </c>
      <c r="K3" s="2" t="str">
        <f t="shared" ref="K3:K11" si="0">IF(I3="YES","CAPA VERIFICATION SHOULD BE SCHEDULED",IF(I3="NO","REMINDER LETTER SHOULD BE SENT",""))</f>
        <v>REMINDER LETTER SHOULD BE SENT</v>
      </c>
      <c r="L3" s="7">
        <v>45870</v>
      </c>
      <c r="M3" s="36" t="s">
        <v>166</v>
      </c>
      <c r="N3" s="49" t="str">
        <f>IF(L3="","",HYPERLINK(L3,B3))</f>
        <v>ZADIP PHARMA NIG. LTD</v>
      </c>
    </row>
    <row r="4" spans="1:15" ht="109.15">
      <c r="A4" s="42">
        <v>29</v>
      </c>
      <c r="B4" s="12" t="s">
        <v>167</v>
      </c>
      <c r="C4" s="12" t="s">
        <v>168</v>
      </c>
      <c r="D4" s="12" t="s">
        <v>169</v>
      </c>
      <c r="E4" s="2" t="s">
        <v>19</v>
      </c>
      <c r="F4" s="33">
        <v>45511</v>
      </c>
      <c r="G4" s="2" t="s">
        <v>20</v>
      </c>
      <c r="H4" s="2" t="s">
        <v>170</v>
      </c>
      <c r="I4" s="2" t="s">
        <v>73</v>
      </c>
      <c r="J4" s="2" t="s">
        <v>118</v>
      </c>
      <c r="K4" s="2" t="str">
        <f t="shared" si="0"/>
        <v>CAPA VERIFICATION SHOULD BE SCHEDULED</v>
      </c>
      <c r="L4" s="15">
        <v>45597</v>
      </c>
      <c r="M4" s="36" t="s">
        <v>172</v>
      </c>
      <c r="N4" s="49" t="str">
        <f t="shared" ref="N4:N12" si="1">IF(L4="","",HYPERLINK(L4,B4))</f>
        <v>UNIQUE PHARM LTD</v>
      </c>
    </row>
    <row r="5" spans="1:15" ht="140.44999999999999">
      <c r="A5" s="1">
        <v>30</v>
      </c>
      <c r="B5" s="12" t="s">
        <v>173</v>
      </c>
      <c r="C5" s="12" t="s">
        <v>174</v>
      </c>
      <c r="D5" s="12" t="s">
        <v>175</v>
      </c>
      <c r="E5" s="2" t="s">
        <v>19</v>
      </c>
      <c r="F5" s="33">
        <v>45512</v>
      </c>
      <c r="G5" s="2" t="s">
        <v>20</v>
      </c>
      <c r="H5" s="2" t="s">
        <v>176</v>
      </c>
      <c r="I5" s="2" t="s">
        <v>73</v>
      </c>
      <c r="J5" s="2" t="s">
        <v>74</v>
      </c>
      <c r="K5" s="2" t="str">
        <f t="shared" si="0"/>
        <v>CAPA VERIFICATION SHOULD BE SCHEDULED</v>
      </c>
      <c r="L5" s="2" t="s">
        <v>177</v>
      </c>
      <c r="M5" s="36" t="s">
        <v>172</v>
      </c>
      <c r="N5" s="49" t="str">
        <f t="shared" si="1"/>
        <v>GENERICS &amp; SPECIALITIES LTD</v>
      </c>
    </row>
    <row r="6" spans="1:15" ht="78">
      <c r="A6" s="1">
        <v>31</v>
      </c>
      <c r="B6" s="12" t="s">
        <v>179</v>
      </c>
      <c r="C6" s="12" t="s">
        <v>180</v>
      </c>
      <c r="D6" s="12">
        <v>8033329209</v>
      </c>
      <c r="E6" s="2" t="s">
        <v>19</v>
      </c>
      <c r="F6" s="33">
        <v>45513</v>
      </c>
      <c r="G6" s="2" t="s">
        <v>20</v>
      </c>
      <c r="H6" s="2" t="s">
        <v>181</v>
      </c>
      <c r="I6" s="2" t="s">
        <v>22</v>
      </c>
      <c r="J6" s="2" t="s">
        <v>23</v>
      </c>
      <c r="K6" s="2" t="str">
        <f t="shared" si="0"/>
        <v>REMINDER LETTER SHOULD BE SENT</v>
      </c>
      <c r="L6" s="7">
        <v>45870</v>
      </c>
      <c r="M6" s="36" t="s">
        <v>183</v>
      </c>
      <c r="N6" s="49" t="str">
        <f t="shared" si="1"/>
        <v xml:space="preserve">INTERPHARM GMBH </v>
      </c>
    </row>
    <row r="7" spans="1:15" ht="109.15">
      <c r="A7" s="1">
        <v>32</v>
      </c>
      <c r="B7" s="12" t="s">
        <v>184</v>
      </c>
      <c r="C7" s="12" t="s">
        <v>185</v>
      </c>
      <c r="D7" s="12" t="s">
        <v>186</v>
      </c>
      <c r="E7" s="2" t="s">
        <v>72</v>
      </c>
      <c r="F7" s="33">
        <v>45516</v>
      </c>
      <c r="G7" s="2" t="s">
        <v>20</v>
      </c>
      <c r="H7" s="2" t="s">
        <v>187</v>
      </c>
      <c r="I7" s="2" t="s">
        <v>73</v>
      </c>
      <c r="J7" s="2" t="s">
        <v>188</v>
      </c>
      <c r="K7" s="2" t="str">
        <f t="shared" si="0"/>
        <v>CAPA VERIFICATION SHOULD BE SCHEDULED</v>
      </c>
      <c r="L7" s="2" t="s">
        <v>177</v>
      </c>
      <c r="M7" s="36" t="s">
        <v>190</v>
      </c>
      <c r="N7" s="49" t="str">
        <f t="shared" si="1"/>
        <v>AWARD GLOBAL COMPANY LTD (CAPA)</v>
      </c>
    </row>
    <row r="8" spans="1:15" ht="109.15">
      <c r="A8" s="1">
        <v>33</v>
      </c>
      <c r="B8" s="12" t="s">
        <v>191</v>
      </c>
      <c r="C8" s="2" t="s">
        <v>192</v>
      </c>
      <c r="D8" s="12" t="s">
        <v>193</v>
      </c>
      <c r="E8" s="2" t="s">
        <v>19</v>
      </c>
      <c r="F8" s="33">
        <v>45517</v>
      </c>
      <c r="G8" s="2" t="s">
        <v>20</v>
      </c>
      <c r="H8" s="2" t="s">
        <v>194</v>
      </c>
      <c r="I8" s="2" t="s">
        <v>73</v>
      </c>
      <c r="J8" s="2" t="s">
        <v>118</v>
      </c>
      <c r="K8" s="2" t="str">
        <f t="shared" si="0"/>
        <v>CAPA VERIFICATION SHOULD BE SCHEDULED</v>
      </c>
      <c r="L8" s="17">
        <v>45954</v>
      </c>
      <c r="M8" s="36" t="s">
        <v>196</v>
      </c>
      <c r="N8" s="49" t="str">
        <f t="shared" si="1"/>
        <v xml:space="preserve">MARCSON HEALTHCARE </v>
      </c>
    </row>
    <row r="9" spans="1:15" ht="78">
      <c r="A9" s="1">
        <v>34</v>
      </c>
      <c r="B9" s="12" t="s">
        <v>197</v>
      </c>
      <c r="C9" s="12" t="s">
        <v>198</v>
      </c>
      <c r="D9" s="12" t="s">
        <v>199</v>
      </c>
      <c r="E9" s="2" t="s">
        <v>19</v>
      </c>
      <c r="F9" s="33">
        <v>45518</v>
      </c>
      <c r="G9" s="2" t="s">
        <v>20</v>
      </c>
      <c r="H9" s="2" t="s">
        <v>170</v>
      </c>
      <c r="I9" s="2" t="s">
        <v>22</v>
      </c>
      <c r="J9" s="2" t="s">
        <v>23</v>
      </c>
      <c r="K9" s="2" t="str">
        <f t="shared" si="0"/>
        <v>REMINDER LETTER SHOULD BE SENT</v>
      </c>
      <c r="L9" s="17">
        <v>45894</v>
      </c>
      <c r="M9" s="36" t="s">
        <v>201</v>
      </c>
      <c r="N9" s="49" t="str">
        <f t="shared" si="1"/>
        <v xml:space="preserve">PHARMAMAX NIGERIA LTD </v>
      </c>
    </row>
    <row r="10" spans="1:15" ht="78">
      <c r="A10" s="1">
        <v>35</v>
      </c>
      <c r="B10" s="12" t="s">
        <v>202</v>
      </c>
      <c r="C10" s="12" t="s">
        <v>203</v>
      </c>
      <c r="D10" s="12" t="s">
        <v>204</v>
      </c>
      <c r="E10" s="2" t="s">
        <v>19</v>
      </c>
      <c r="F10" s="33">
        <v>45520</v>
      </c>
      <c r="G10" s="2" t="s">
        <v>20</v>
      </c>
      <c r="H10" s="2" t="s">
        <v>205</v>
      </c>
      <c r="I10" s="2" t="s">
        <v>22</v>
      </c>
      <c r="J10" s="2" t="s">
        <v>23</v>
      </c>
      <c r="K10" s="2" t="str">
        <f t="shared" si="0"/>
        <v>REMINDER LETTER SHOULD BE SENT</v>
      </c>
      <c r="L10" s="17">
        <v>45894</v>
      </c>
      <c r="M10" s="36" t="s">
        <v>207</v>
      </c>
      <c r="N10" s="49" t="str">
        <f t="shared" si="1"/>
        <v>INTERPHARMA INDUSTRIES LTD</v>
      </c>
    </row>
    <row r="11" spans="1:15" ht="140.44999999999999">
      <c r="A11" s="1">
        <v>36</v>
      </c>
      <c r="B11" s="12" t="s">
        <v>208</v>
      </c>
      <c r="C11" s="12" t="s">
        <v>209</v>
      </c>
      <c r="D11" s="12" t="s">
        <v>210</v>
      </c>
      <c r="E11" s="2" t="s">
        <v>19</v>
      </c>
      <c r="F11" s="33">
        <v>45523</v>
      </c>
      <c r="G11" s="2" t="s">
        <v>20</v>
      </c>
      <c r="H11" s="2" t="s">
        <v>211</v>
      </c>
      <c r="I11" s="2" t="s">
        <v>73</v>
      </c>
      <c r="J11" s="2" t="s">
        <v>74</v>
      </c>
      <c r="K11" s="2" t="str">
        <f t="shared" si="0"/>
        <v>CAPA VERIFICATION SHOULD BE SCHEDULED</v>
      </c>
      <c r="L11" s="2" t="s">
        <v>177</v>
      </c>
      <c r="M11" s="36" t="s">
        <v>213</v>
      </c>
      <c r="N11" s="49" t="str">
        <f t="shared" si="1"/>
        <v>KCH CONSUMER HEALTHCARE LTD</v>
      </c>
    </row>
    <row r="12" spans="1:15" ht="78">
      <c r="A12" s="1">
        <v>37</v>
      </c>
      <c r="B12" s="2" t="s">
        <v>214</v>
      </c>
      <c r="C12" s="2" t="s">
        <v>215</v>
      </c>
      <c r="D12" s="2" t="s">
        <v>216</v>
      </c>
      <c r="E12" s="2" t="s">
        <v>19</v>
      </c>
      <c r="F12" s="33">
        <v>45532</v>
      </c>
      <c r="G12" s="2" t="s">
        <v>20</v>
      </c>
      <c r="H12" s="13">
        <v>45786</v>
      </c>
      <c r="I12" s="2" t="s">
        <v>22</v>
      </c>
      <c r="J12" s="2" t="s">
        <v>23</v>
      </c>
      <c r="K12" s="2" t="s">
        <v>217</v>
      </c>
      <c r="L12" s="7">
        <v>45870</v>
      </c>
      <c r="M12" s="36" t="s">
        <v>219</v>
      </c>
      <c r="N12" s="49" t="str">
        <f t="shared" si="1"/>
        <v>XCEL PHARMA LTD</v>
      </c>
    </row>
  </sheetData>
  <mergeCells count="1">
    <mergeCell ref="A1:J1"/>
  </mergeCells>
  <conditionalFormatting sqref="I1:I2">
    <cfRule type="containsText" dxfId="27" priority="3" operator="containsText" text="NO">
      <formula>NOT(ISERROR(SEARCH("NO",I1)))</formula>
    </cfRule>
    <cfRule type="containsText" dxfId="26" priority="4" operator="containsText" text="YES">
      <formula>NOT(ISERROR(SEARCH("YES",I1)))</formula>
    </cfRule>
  </conditionalFormatting>
  <conditionalFormatting sqref="I3:I12">
    <cfRule type="containsText" dxfId="25" priority="1" operator="containsText" text="NO">
      <formula>NOT(ISERROR(SEARCH("NO",I3)))</formula>
    </cfRule>
    <cfRule type="containsText" dxfId="24" priority="2" operator="containsText" text="YES">
      <formula>NOT(ISERROR(SEARCH("YES",I3)))</formula>
    </cfRule>
  </conditionalFormatting>
  <dataValidations count="1">
    <dataValidation type="list" allowBlank="1" showInputMessage="1" showErrorMessage="1" sqref="I3:I12" xr:uid="{5142CFC2-DABA-440B-BE00-A4B22D9456E1}">
      <formula1>"YES,NO,N/A"</formula1>
    </dataValidation>
  </dataValidations>
  <hyperlinks>
    <hyperlink ref="M3" r:id="rId1" display="https://nafdacng.sharepoint.com/sites/PMSLAGOS/Shared Documents/GDP (GOOD DISTRIBUTION PRATICE)/GSDP COMPANY FILES\ZADIP PHARMA" xr:uid="{FAC3D240-565F-45BF-960B-7F444D8C5934}"/>
    <hyperlink ref="M4" r:id="rId2" display="https://nafdacng.sharepoint.com/sites/PMSLAGOS/Shared Documents/GDP (GOOD DISTRIBUTION PRATICE)/GSDP COMPANY FILES\UNIQUE PHARMACEUTICALS" xr:uid="{1158FBC9-0303-4238-9987-42DCE99CBA10}"/>
    <hyperlink ref="M5" r:id="rId3" display="https://nafdacng.sharepoint.com/sites/PMSLAGOS/Shared Documents/GDP (GOOD DISTRIBUTION PRATICE)/GSDP COMPANY FILES\UNIQUE PHARMACEUTICALS" xr:uid="{BE18835E-75C3-4025-AD06-FBA279D4AF22}"/>
    <hyperlink ref="M6" r:id="rId4" display="https://nafdacng.sharepoint.com/sites/PMSLAGOS/Shared Documents/GDP (GOOD DISTRIBUTION PRATICE)/GSDP COMPANY FILES\INTERPHARM GMBH" xr:uid="{957A2AD6-ED66-41F7-B6E2-07207FD1EFF1}"/>
    <hyperlink ref="M7" r:id="rId5" display="https://nafdacng.sharepoint.com/sites/PMSLAGOS/Shared Documents/GDP (GOOD DISTRIBUTION PRATICE)/GSDP COMPANY FILES\AWARD GLOBAL" xr:uid="{C5A46A15-F166-4908-938C-91FE3948CCC3}"/>
    <hyperlink ref="M8" r:id="rId6" display="https://nafdacng.sharepoint.com/sites/PMSLAGOS/Shared Documents/GDP (GOOD DISTRIBUTION PRATICE)/GSDP COMPANY FILES\MARCSON HEALTHCARE" xr:uid="{87BF8400-22D2-455D-94F5-475F2FC7CBCF}"/>
    <hyperlink ref="M9" r:id="rId7" display="https://nafdacng.sharepoint.com/sites/PMSLAGOS/Shared Documents/GDP (GOOD DISTRIBUTION PRATICE)/GSDP COMPANY FILES/PHARMAMAX NIG. LTD" xr:uid="{930DE905-AC2F-4E98-8748-8C9F65DFBE3C}"/>
    <hyperlink ref="M10" r:id="rId8" display="https://nafdacng.sharepoint.com/sites/PMSLAGOS/Shared Documents/GDP (GOOD DISTRIBUTION PRATICE)/GSDP COMPANY FILES/INTERPHARM GMBH" xr:uid="{82F71C3F-B079-45D3-8A45-E50EA5DA4848}"/>
    <hyperlink ref="M11" r:id="rId9" display="https://nafdacng.sharepoint.com/sites/PMSLAGOS/Shared Documents/GDP (GOOD DISTRIBUTION PRATICE)/GSDP COMPANY FILES\KCH CONSUMER" xr:uid="{8403E261-5D1C-4D37-AB77-62AA0402C6E1}"/>
    <hyperlink ref="M12" r:id="rId10" display="https://nafdacng.sharepoint.com/sites/PMSLAGOS/Shared Documents/GDP (GOOD DISTRIBUTION PRATICE)/GSDP COMPANY FILES\XCEL PHARMA" xr:uid="{53A6BCEB-9B70-41BC-B267-2B7D7C838C07}"/>
  </hyperlinks>
  <pageMargins left="0.7" right="0.7" top="0.75" bottom="0.75" header="0.3" footer="0.3"/>
  <tableParts count="1"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B6C9A-F43E-4A61-92F8-C592178A34CC}">
  <dimension ref="A1:O10"/>
  <sheetViews>
    <sheetView workbookViewId="0">
      <selection activeCell="A3" sqref="A3"/>
    </sheetView>
  </sheetViews>
  <sheetFormatPr defaultRowHeight="14.45"/>
  <cols>
    <col min="6" max="6" width="28.5703125" customWidth="1"/>
  </cols>
  <sheetData>
    <row r="1" spans="1:15" ht="15.6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2"/>
      <c r="L1" s="2"/>
      <c r="M1" s="3"/>
      <c r="N1" s="3"/>
      <c r="O1" s="4"/>
    </row>
    <row r="2" spans="1:15" ht="93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 t="s">
        <v>13</v>
      </c>
      <c r="N2" s="5" t="s">
        <v>14</v>
      </c>
      <c r="O2" s="6" t="s">
        <v>15</v>
      </c>
    </row>
    <row r="3" spans="1:15" ht="124.9">
      <c r="A3" s="1">
        <v>38</v>
      </c>
      <c r="B3" s="2" t="s">
        <v>220</v>
      </c>
      <c r="C3" s="2" t="s">
        <v>221</v>
      </c>
      <c r="D3" s="2" t="s">
        <v>222</v>
      </c>
      <c r="E3" s="2" t="s">
        <v>19</v>
      </c>
      <c r="F3" s="33">
        <v>45551</v>
      </c>
      <c r="G3" s="2" t="s">
        <v>20</v>
      </c>
      <c r="H3" s="2" t="s">
        <v>223</v>
      </c>
      <c r="I3" s="2" t="s">
        <v>73</v>
      </c>
      <c r="J3" s="2" t="s">
        <v>118</v>
      </c>
      <c r="K3" s="2" t="str">
        <f t="shared" ref="K3:K10" si="0">IF(I3="YES","CAPA VERIFICATION SHOULD BE SCHEDULED",IF(I3="NO","REMINDER LETTER SHOULD BE SENT",""))</f>
        <v>CAPA VERIFICATION SHOULD BE SCHEDULED</v>
      </c>
      <c r="L3" s="2" t="s">
        <v>177</v>
      </c>
      <c r="M3" s="36" t="s">
        <v>225</v>
      </c>
      <c r="N3" s="38">
        <f t="shared" ref="N3:N10" si="1">IF(L3="","",HYPERLINK(L3,A3))</f>
        <v>38</v>
      </c>
    </row>
    <row r="4" spans="1:15" ht="124.9">
      <c r="A4" s="1">
        <v>39</v>
      </c>
      <c r="B4" s="2" t="s">
        <v>226</v>
      </c>
      <c r="C4" s="2" t="s">
        <v>227</v>
      </c>
      <c r="D4" s="2" t="s">
        <v>228</v>
      </c>
      <c r="E4" s="2" t="s">
        <v>72</v>
      </c>
      <c r="F4" s="33">
        <v>45551</v>
      </c>
      <c r="G4" s="2" t="s">
        <v>20</v>
      </c>
      <c r="H4" s="2"/>
      <c r="I4" s="2" t="s">
        <v>73</v>
      </c>
      <c r="J4" s="2" t="s">
        <v>74</v>
      </c>
      <c r="K4" s="2" t="str">
        <f t="shared" si="0"/>
        <v>CAPA VERIFICATION SHOULD BE SCHEDULED</v>
      </c>
      <c r="L4" s="7">
        <v>45901</v>
      </c>
      <c r="M4" s="36" t="s">
        <v>230</v>
      </c>
      <c r="N4" s="38">
        <f t="shared" si="1"/>
        <v>39</v>
      </c>
    </row>
    <row r="5" spans="1:15" ht="124.9">
      <c r="A5" s="42">
        <v>40</v>
      </c>
      <c r="B5" s="2" t="s">
        <v>231</v>
      </c>
      <c r="C5" s="2" t="s">
        <v>232</v>
      </c>
      <c r="D5" s="2" t="s">
        <v>233</v>
      </c>
      <c r="E5" s="2" t="s">
        <v>19</v>
      </c>
      <c r="F5" s="33">
        <v>45552</v>
      </c>
      <c r="G5" s="2" t="s">
        <v>20</v>
      </c>
      <c r="H5" s="2" t="s">
        <v>234</v>
      </c>
      <c r="I5" s="2" t="s">
        <v>73</v>
      </c>
      <c r="J5" s="2" t="s">
        <v>23</v>
      </c>
      <c r="K5" s="2" t="str">
        <f t="shared" si="0"/>
        <v>CAPA VERIFICATION SHOULD BE SCHEDULED</v>
      </c>
      <c r="L5" s="18" t="s">
        <v>177</v>
      </c>
      <c r="M5" s="36" t="s">
        <v>236</v>
      </c>
      <c r="N5" s="38">
        <f t="shared" si="1"/>
        <v>40</v>
      </c>
    </row>
    <row r="6" spans="1:15" ht="109.15">
      <c r="A6" s="1">
        <v>41</v>
      </c>
      <c r="B6" s="2" t="s">
        <v>237</v>
      </c>
      <c r="C6" s="2" t="s">
        <v>238</v>
      </c>
      <c r="D6" s="2" t="s">
        <v>239</v>
      </c>
      <c r="E6" s="2" t="s">
        <v>19</v>
      </c>
      <c r="F6" s="33">
        <v>45553</v>
      </c>
      <c r="G6" s="2" t="s">
        <v>20</v>
      </c>
      <c r="H6" s="2" t="s">
        <v>223</v>
      </c>
      <c r="I6" s="2" t="s">
        <v>22</v>
      </c>
      <c r="J6" s="2" t="s">
        <v>23</v>
      </c>
      <c r="K6" s="2" t="str">
        <f t="shared" si="0"/>
        <v>REMINDER LETTER SHOULD BE SENT</v>
      </c>
      <c r="L6" s="17">
        <v>45925</v>
      </c>
      <c r="M6" s="36" t="s">
        <v>241</v>
      </c>
      <c r="N6" s="38">
        <f t="shared" si="1"/>
        <v>41</v>
      </c>
    </row>
    <row r="7" spans="1:15" ht="109.15">
      <c r="A7" s="1">
        <v>42</v>
      </c>
      <c r="B7" s="2" t="s">
        <v>242</v>
      </c>
      <c r="C7" s="2" t="s">
        <v>243</v>
      </c>
      <c r="D7" s="2" t="s">
        <v>244</v>
      </c>
      <c r="E7" s="2" t="s">
        <v>19</v>
      </c>
      <c r="F7" s="33">
        <v>45558</v>
      </c>
      <c r="G7" s="2" t="s">
        <v>88</v>
      </c>
      <c r="H7" s="2" t="s">
        <v>245</v>
      </c>
      <c r="I7" s="2" t="s">
        <v>22</v>
      </c>
      <c r="J7" s="2" t="s">
        <v>23</v>
      </c>
      <c r="K7" s="2" t="str">
        <f t="shared" si="0"/>
        <v>REMINDER LETTER SHOULD BE SENT</v>
      </c>
      <c r="L7" s="17">
        <v>45925</v>
      </c>
      <c r="M7" s="36" t="s">
        <v>247</v>
      </c>
      <c r="N7" s="38">
        <f t="shared" si="1"/>
        <v>42</v>
      </c>
    </row>
    <row r="8" spans="1:15" ht="140.44999999999999">
      <c r="A8" s="1">
        <v>43</v>
      </c>
      <c r="B8" s="2" t="s">
        <v>248</v>
      </c>
      <c r="C8" s="2" t="s">
        <v>249</v>
      </c>
      <c r="D8" s="2" t="s">
        <v>250</v>
      </c>
      <c r="E8" s="2" t="s">
        <v>19</v>
      </c>
      <c r="F8" s="33">
        <v>45558</v>
      </c>
      <c r="G8" s="2" t="s">
        <v>251</v>
      </c>
      <c r="H8" s="2"/>
      <c r="I8" s="2" t="s">
        <v>73</v>
      </c>
      <c r="J8" s="2" t="s">
        <v>74</v>
      </c>
      <c r="K8" s="2" t="str">
        <f t="shared" si="0"/>
        <v>CAPA VERIFICATION SHOULD BE SCHEDULED</v>
      </c>
      <c r="L8" s="7">
        <v>45717</v>
      </c>
      <c r="M8" s="36" t="s">
        <v>253</v>
      </c>
      <c r="N8" s="38">
        <f t="shared" si="1"/>
        <v>43</v>
      </c>
    </row>
    <row r="9" spans="1:15" ht="140.44999999999999">
      <c r="A9" s="1">
        <v>44</v>
      </c>
      <c r="B9" s="2" t="s">
        <v>254</v>
      </c>
      <c r="C9" s="2" t="s">
        <v>255</v>
      </c>
      <c r="D9" s="2" t="s">
        <v>256</v>
      </c>
      <c r="E9" s="2" t="s">
        <v>19</v>
      </c>
      <c r="F9" s="33">
        <v>45559</v>
      </c>
      <c r="G9" s="2" t="s">
        <v>20</v>
      </c>
      <c r="H9" s="2" t="s">
        <v>257</v>
      </c>
      <c r="I9" s="2" t="s">
        <v>22</v>
      </c>
      <c r="J9" s="2" t="s">
        <v>23</v>
      </c>
      <c r="K9" s="2" t="str">
        <f t="shared" si="0"/>
        <v>REMINDER LETTER SHOULD BE SENT</v>
      </c>
      <c r="L9" s="17">
        <v>45925</v>
      </c>
      <c r="M9" s="36" t="s">
        <v>259</v>
      </c>
      <c r="N9" s="38">
        <f t="shared" si="1"/>
        <v>44</v>
      </c>
    </row>
    <row r="10" spans="1:15" ht="124.9">
      <c r="A10" s="1">
        <v>45</v>
      </c>
      <c r="B10" s="12" t="s">
        <v>184</v>
      </c>
      <c r="C10" s="12" t="s">
        <v>185</v>
      </c>
      <c r="D10" s="12" t="s">
        <v>186</v>
      </c>
      <c r="E10" s="2" t="s">
        <v>72</v>
      </c>
      <c r="F10" s="33">
        <v>45559</v>
      </c>
      <c r="G10" s="2" t="s">
        <v>20</v>
      </c>
      <c r="H10" s="2" t="s">
        <v>257</v>
      </c>
      <c r="I10" s="2" t="s">
        <v>73</v>
      </c>
      <c r="J10" s="2" t="s">
        <v>74</v>
      </c>
      <c r="K10" s="2" t="str">
        <f t="shared" si="0"/>
        <v>CAPA VERIFICATION SHOULD BE SCHEDULED</v>
      </c>
      <c r="L10" s="2" t="s">
        <v>177</v>
      </c>
      <c r="M10" s="36" t="s">
        <v>261</v>
      </c>
      <c r="N10" s="38">
        <f t="shared" si="1"/>
        <v>45</v>
      </c>
    </row>
  </sheetData>
  <mergeCells count="1">
    <mergeCell ref="A1:J1"/>
  </mergeCells>
  <conditionalFormatting sqref="I1:I10">
    <cfRule type="containsText" dxfId="7" priority="1" operator="containsText" text="NO">
      <formula>NOT(ISERROR(SEARCH("NO",I1)))</formula>
    </cfRule>
    <cfRule type="containsText" dxfId="6" priority="2" operator="containsText" text="YES">
      <formula>NOT(ISERROR(SEARCH("YES",I1)))</formula>
    </cfRule>
  </conditionalFormatting>
  <dataValidations count="1">
    <dataValidation type="list" allowBlank="1" showInputMessage="1" showErrorMessage="1" sqref="I3:I10" xr:uid="{7C572924-70E9-445E-AFB8-163E1890B81C}">
      <formula1>"YES,NO,N/A"</formula1>
    </dataValidation>
  </dataValidations>
  <hyperlinks>
    <hyperlink ref="M3" r:id="rId1" display="https://nafdacng.sharepoint.com/sites/PMSLAGOS/Shared Documents/GDP (GOOD DISTRIBUTION PRATICE)/GSDP COMPANY FILES\MEDVACC PHARMACY" xr:uid="{34AE02FE-4E26-4DF7-AB8C-F4DC3AAD54D6}"/>
    <hyperlink ref="M4" r:id="rId2" display="https://nafdacng.sharepoint.com/sites/PMSLAGOS/Shared Documents/GDP (GOOD DISTRIBUTION PRATICE)/GSDP COMPANY FILES\VACCI PHARM" xr:uid="{1C5EA56F-1B89-4B44-963B-C579CAA9688D}"/>
    <hyperlink ref="M5" r:id="rId3" display="https://nafdacng.sharepoint.com/sites/PMSLAGOS/Shared Documents/GDP (GOOD DISTRIBUTION PRATICE)/GSDP COMPANY FILES\PLACEWARE NIG LTD" xr:uid="{CDDF7A7B-2D4A-4C23-B22D-13B4CD787FA6}"/>
    <hyperlink ref="M6" r:id="rId4" display="https://nafdacng.sharepoint.com/sites/PMSLAGOS/Shared Documents/GDP (GOOD DISTRIBUTION PRATICE)/GSDP COMPANY FILES\SUMMIT HEALTHCARE" xr:uid="{B650877D-D251-4014-A1AE-34E2919654A3}"/>
    <hyperlink ref="M7" r:id="rId5" display="https://nafdacng.sharepoint.com/sites/PMSLAGOS/Shared Documents/GDP (GOOD DISTRIBUTION PRATICE)/GSDP COMPANY FILES\MERIT HEALTHCARE" xr:uid="{E99308EC-9C86-46F0-8BBB-C1574720A498}"/>
    <hyperlink ref="M8" r:id="rId6" display="https://nafdacng.sharepoint.com/sites/PMSLAGOS/Shared Documents/GDP (GOOD DISTRIBUTION PRATICE)/GSDP COMPANY FILES\exxon" xr:uid="{5BB62187-5D82-45C2-B61B-DD000BE0801B}"/>
    <hyperlink ref="M9" r:id="rId7" display="https://nafdacng.sharepoint.com/sites/PMSLAGOS/Shared Documents/GDP (GOOD DISTRIBUTION PRATICE)/GSDP COMPANY FILES\NEOLIFE" xr:uid="{66C97F36-D913-43F1-BA6C-BFB9E35C4926}"/>
    <hyperlink ref="M10" r:id="rId8" display="https://nafdacng.sharepoint.com/sites/PMSLAGOS/Shared Documents/GDP (GOOD DISTRIBUTION PRATICE)/GSDP COMPANY FILES/AWARD GLOBAL" xr:uid="{596B166D-9885-41C5-BAFC-F61872051AB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4E5F-7753-4FDA-A7CB-1ABE47D067A6}">
  <dimension ref="A1:O3"/>
  <sheetViews>
    <sheetView workbookViewId="0">
      <selection activeCell="A3" sqref="A3"/>
    </sheetView>
  </sheetViews>
  <sheetFormatPr defaultRowHeight="14.45"/>
  <cols>
    <col min="6" max="6" width="25.7109375" customWidth="1"/>
  </cols>
  <sheetData>
    <row r="1" spans="1:15" ht="15.6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2"/>
      <c r="L1" s="2"/>
      <c r="M1" s="3"/>
      <c r="N1" s="3"/>
      <c r="O1" s="4"/>
    </row>
    <row r="2" spans="1:15" ht="93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 t="s">
        <v>13</v>
      </c>
      <c r="N2" s="5" t="s">
        <v>14</v>
      </c>
      <c r="O2" s="6" t="s">
        <v>15</v>
      </c>
    </row>
    <row r="3" spans="1:15" ht="140.44999999999999">
      <c r="A3" s="2">
        <v>46</v>
      </c>
      <c r="B3" s="19" t="s">
        <v>262</v>
      </c>
      <c r="C3" s="19" t="s">
        <v>263</v>
      </c>
      <c r="D3" s="19">
        <v>8024153514</v>
      </c>
      <c r="E3" s="2" t="s">
        <v>72</v>
      </c>
      <c r="F3" s="33">
        <v>45568</v>
      </c>
      <c r="G3" s="2" t="s">
        <v>88</v>
      </c>
      <c r="H3" s="2" t="s">
        <v>181</v>
      </c>
      <c r="I3" s="2" t="s">
        <v>153</v>
      </c>
      <c r="J3" s="2" t="s">
        <v>264</v>
      </c>
      <c r="K3" s="2" t="s">
        <v>154</v>
      </c>
      <c r="L3" s="7">
        <v>46296</v>
      </c>
      <c r="M3" s="39" t="s">
        <v>266</v>
      </c>
      <c r="N3" s="38">
        <f t="shared" ref="N3" si="0">IF(L3="","",HYPERLINK(L3,A3))</f>
        <v>46</v>
      </c>
    </row>
  </sheetData>
  <mergeCells count="1">
    <mergeCell ref="A1:J1"/>
  </mergeCells>
  <conditionalFormatting sqref="I1:I3">
    <cfRule type="containsText" dxfId="5" priority="1" operator="containsText" text="NO">
      <formula>NOT(ISERROR(SEARCH("NO",I1)))</formula>
    </cfRule>
    <cfRule type="containsText" dxfId="4" priority="2" operator="containsText" text="YES">
      <formula>NOT(ISERROR(SEARCH("YES",I1)))</formula>
    </cfRule>
  </conditionalFormatting>
  <dataValidations count="1">
    <dataValidation type="list" allowBlank="1" showInputMessage="1" showErrorMessage="1" sqref="I3" xr:uid="{6BD828EA-1FBF-46E6-B469-A7F55DD1D5F4}">
      <formula1>"YES,NO,N/A"</formula1>
    </dataValidation>
  </dataValidations>
  <hyperlinks>
    <hyperlink ref="M3" r:id="rId1" display="https://nafdacng.sharepoint.com/sites/PMSLAGOS/Shared Documents/GDP (GOOD DISTRIBUTION PRATICE)/GSDP COMPANY FILES\CHANRAI" xr:uid="{F01F3033-2491-4719-BF56-28516199A06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EDB4-97CE-450D-ABE4-555099DC41C3}">
  <dimension ref="A1:O11"/>
  <sheetViews>
    <sheetView workbookViewId="0">
      <selection activeCell="A3" sqref="A3"/>
    </sheetView>
  </sheetViews>
  <sheetFormatPr defaultRowHeight="14.45"/>
  <cols>
    <col min="6" max="6" width="26.28515625" customWidth="1"/>
  </cols>
  <sheetData>
    <row r="1" spans="1:15" ht="15.6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2"/>
      <c r="L1" s="2"/>
      <c r="M1" s="3"/>
      <c r="N1" s="3"/>
      <c r="O1" s="4"/>
    </row>
    <row r="2" spans="1:15" ht="93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 t="s">
        <v>13</v>
      </c>
      <c r="N2" s="5" t="s">
        <v>14</v>
      </c>
      <c r="O2" s="6" t="s">
        <v>15</v>
      </c>
    </row>
    <row r="3" spans="1:15" ht="109.15">
      <c r="A3" s="2">
        <v>47</v>
      </c>
      <c r="B3" s="2" t="s">
        <v>267</v>
      </c>
      <c r="C3" s="2" t="s">
        <v>268</v>
      </c>
      <c r="D3" s="2">
        <v>8033082688</v>
      </c>
      <c r="E3" s="2" t="s">
        <v>19</v>
      </c>
      <c r="F3" s="33">
        <v>45601</v>
      </c>
      <c r="G3" s="2" t="s">
        <v>20</v>
      </c>
      <c r="H3" s="13">
        <v>45454</v>
      </c>
      <c r="I3" s="2" t="s">
        <v>22</v>
      </c>
      <c r="J3" s="2" t="s">
        <v>23</v>
      </c>
      <c r="K3" s="2" t="str">
        <f>IF(I3="YES","CAPA VERIFICATION SHOULD BE SCHEDULED",IF(I3="NO","REMINDER LETTER SHOULD BE SENT",""))</f>
        <v>REMINDER LETTER SHOULD BE SENT</v>
      </c>
      <c r="L3" s="7">
        <v>45962</v>
      </c>
      <c r="M3" s="36" t="s">
        <v>270</v>
      </c>
      <c r="N3" s="38">
        <f t="shared" ref="N3:N11" si="0">IF(L3="","",HYPERLINK(L3,A3))</f>
        <v>47</v>
      </c>
    </row>
    <row r="4" spans="1:15" ht="140.44999999999999">
      <c r="A4" s="2">
        <v>48</v>
      </c>
      <c r="B4" s="2" t="s">
        <v>271</v>
      </c>
      <c r="C4" s="2" t="s">
        <v>272</v>
      </c>
      <c r="D4" s="2">
        <v>8034676220</v>
      </c>
      <c r="E4" s="2" t="s">
        <v>19</v>
      </c>
      <c r="F4" s="33">
        <v>45601</v>
      </c>
      <c r="G4" s="2" t="s">
        <v>20</v>
      </c>
      <c r="H4" s="13">
        <v>45605</v>
      </c>
      <c r="I4" s="2" t="s">
        <v>153</v>
      </c>
      <c r="J4" s="2" t="s">
        <v>74</v>
      </c>
      <c r="K4" s="2" t="s">
        <v>154</v>
      </c>
      <c r="L4" s="7">
        <v>45962</v>
      </c>
      <c r="M4" s="36" t="s">
        <v>274</v>
      </c>
      <c r="N4" s="38">
        <f t="shared" si="0"/>
        <v>48</v>
      </c>
    </row>
    <row r="5" spans="1:15" ht="124.9">
      <c r="A5" s="40">
        <v>49</v>
      </c>
      <c r="B5" s="2" t="s">
        <v>275</v>
      </c>
      <c r="C5" s="2" t="s">
        <v>276</v>
      </c>
      <c r="D5" s="2" t="s">
        <v>277</v>
      </c>
      <c r="E5" s="2" t="s">
        <v>19</v>
      </c>
      <c r="F5" s="33">
        <v>45608</v>
      </c>
      <c r="G5" s="2" t="s">
        <v>251</v>
      </c>
      <c r="H5" s="13">
        <v>45605</v>
      </c>
      <c r="I5" s="2" t="s">
        <v>73</v>
      </c>
      <c r="J5" s="2" t="s">
        <v>188</v>
      </c>
      <c r="K5" s="2" t="str">
        <f t="shared" ref="K5:K11" si="1">IF(I5="YES","CAPA VERIFICATION SHOULD BE SCHEDULED",IF(I5="NO","REMINDER LETTER SHOULD BE SENT",""))</f>
        <v>CAPA VERIFICATION SHOULD BE SCHEDULED</v>
      </c>
      <c r="L5" s="15">
        <v>45778</v>
      </c>
      <c r="M5" s="36" t="s">
        <v>279</v>
      </c>
      <c r="N5" s="38">
        <f t="shared" si="0"/>
        <v>49</v>
      </c>
    </row>
    <row r="6" spans="1:15" ht="156">
      <c r="A6" s="2">
        <v>50</v>
      </c>
      <c r="B6" s="2" t="s">
        <v>280</v>
      </c>
      <c r="C6" s="2" t="s">
        <v>281</v>
      </c>
      <c r="D6" s="2" t="s">
        <v>282</v>
      </c>
      <c r="E6" s="2" t="s">
        <v>19</v>
      </c>
      <c r="F6" s="33">
        <v>45615</v>
      </c>
      <c r="G6" s="2" t="s">
        <v>251</v>
      </c>
      <c r="H6" s="13">
        <v>45618</v>
      </c>
      <c r="I6" s="2" t="s">
        <v>22</v>
      </c>
      <c r="J6" s="2" t="s">
        <v>283</v>
      </c>
      <c r="K6" s="2" t="str">
        <f t="shared" si="1"/>
        <v>REMINDER LETTER SHOULD BE SENT</v>
      </c>
      <c r="L6" s="15">
        <v>45778</v>
      </c>
      <c r="M6" s="36" t="s">
        <v>285</v>
      </c>
      <c r="N6" s="38">
        <f t="shared" si="0"/>
        <v>50</v>
      </c>
    </row>
    <row r="7" spans="1:15" ht="109.15">
      <c r="A7" s="2">
        <v>51</v>
      </c>
      <c r="B7" s="2" t="s">
        <v>286</v>
      </c>
      <c r="C7" s="2" t="s">
        <v>287</v>
      </c>
      <c r="D7" s="2" t="s">
        <v>288</v>
      </c>
      <c r="E7" s="2" t="s">
        <v>19</v>
      </c>
      <c r="F7" s="33">
        <v>45616</v>
      </c>
      <c r="G7" s="2" t="s">
        <v>20</v>
      </c>
      <c r="H7" s="13">
        <v>45333</v>
      </c>
      <c r="I7" s="2" t="s">
        <v>22</v>
      </c>
      <c r="J7" s="2" t="s">
        <v>23</v>
      </c>
      <c r="K7" s="2" t="str">
        <f t="shared" si="1"/>
        <v>REMINDER LETTER SHOULD BE SENT</v>
      </c>
      <c r="L7" s="7">
        <v>45962</v>
      </c>
      <c r="M7" s="36" t="s">
        <v>290</v>
      </c>
      <c r="N7" s="38">
        <f t="shared" si="0"/>
        <v>51</v>
      </c>
    </row>
    <row r="8" spans="1:15" ht="109.15">
      <c r="A8" s="2">
        <v>52</v>
      </c>
      <c r="B8" s="2" t="s">
        <v>291</v>
      </c>
      <c r="C8" s="2" t="s">
        <v>292</v>
      </c>
      <c r="D8" s="2" t="s">
        <v>293</v>
      </c>
      <c r="E8" s="2" t="s">
        <v>19</v>
      </c>
      <c r="F8" s="33">
        <v>45616</v>
      </c>
      <c r="G8" s="2" t="s">
        <v>20</v>
      </c>
      <c r="H8" s="2" t="s">
        <v>294</v>
      </c>
      <c r="I8" s="2" t="s">
        <v>22</v>
      </c>
      <c r="J8" s="2" t="s">
        <v>23</v>
      </c>
      <c r="K8" s="2" t="str">
        <f t="shared" si="1"/>
        <v>REMINDER LETTER SHOULD BE SENT</v>
      </c>
      <c r="L8" s="7">
        <v>45962</v>
      </c>
      <c r="M8" s="36" t="s">
        <v>296</v>
      </c>
      <c r="N8" s="38">
        <f t="shared" si="0"/>
        <v>52</v>
      </c>
    </row>
    <row r="9" spans="1:15" ht="109.15">
      <c r="A9" s="2">
        <v>53</v>
      </c>
      <c r="B9" s="2" t="s">
        <v>297</v>
      </c>
      <c r="C9" s="2" t="s">
        <v>298</v>
      </c>
      <c r="D9" s="2" t="s">
        <v>299</v>
      </c>
      <c r="E9" s="2" t="s">
        <v>19</v>
      </c>
      <c r="F9" s="33">
        <v>45616</v>
      </c>
      <c r="G9" s="2" t="s">
        <v>20</v>
      </c>
      <c r="H9" s="2"/>
      <c r="I9" s="2" t="s">
        <v>22</v>
      </c>
      <c r="J9" s="2" t="s">
        <v>23</v>
      </c>
      <c r="K9" s="2" t="str">
        <f t="shared" si="1"/>
        <v>REMINDER LETTER SHOULD BE SENT</v>
      </c>
      <c r="L9" s="7">
        <v>45962</v>
      </c>
      <c r="M9" s="36" t="s">
        <v>301</v>
      </c>
      <c r="N9" s="38">
        <f t="shared" si="0"/>
        <v>53</v>
      </c>
    </row>
    <row r="10" spans="1:15" ht="109.15">
      <c r="A10" s="2">
        <v>54</v>
      </c>
      <c r="B10" s="2" t="s">
        <v>302</v>
      </c>
      <c r="C10" s="2" t="s">
        <v>303</v>
      </c>
      <c r="D10" s="2" t="s">
        <v>304</v>
      </c>
      <c r="E10" s="2" t="s">
        <v>19</v>
      </c>
      <c r="F10" s="33">
        <v>45617</v>
      </c>
      <c r="G10" s="2" t="s">
        <v>20</v>
      </c>
      <c r="H10" s="2"/>
      <c r="I10" s="2" t="s">
        <v>22</v>
      </c>
      <c r="J10" s="2" t="s">
        <v>23</v>
      </c>
      <c r="K10" s="2" t="str">
        <f t="shared" si="1"/>
        <v>REMINDER LETTER SHOULD BE SENT</v>
      </c>
      <c r="L10" s="7">
        <v>45962</v>
      </c>
      <c r="M10" s="36" t="s">
        <v>306</v>
      </c>
      <c r="N10" s="38">
        <f t="shared" si="0"/>
        <v>54</v>
      </c>
    </row>
    <row r="11" spans="1:15" ht="140.44999999999999">
      <c r="A11" s="2">
        <v>55</v>
      </c>
      <c r="B11" s="2" t="s">
        <v>307</v>
      </c>
      <c r="C11" s="2" t="s">
        <v>308</v>
      </c>
      <c r="D11" s="2" t="s">
        <v>309</v>
      </c>
      <c r="E11" s="2" t="s">
        <v>19</v>
      </c>
      <c r="F11" s="33">
        <v>45617</v>
      </c>
      <c r="G11" s="2" t="s">
        <v>20</v>
      </c>
      <c r="H11" s="2" t="s">
        <v>130</v>
      </c>
      <c r="I11" s="2" t="s">
        <v>22</v>
      </c>
      <c r="J11" s="2" t="s">
        <v>23</v>
      </c>
      <c r="K11" s="2" t="str">
        <f t="shared" si="1"/>
        <v>REMINDER LETTER SHOULD BE SENT</v>
      </c>
      <c r="L11" s="7">
        <v>45962</v>
      </c>
      <c r="M11" s="36" t="s">
        <v>311</v>
      </c>
      <c r="N11" s="38">
        <f t="shared" si="0"/>
        <v>55</v>
      </c>
    </row>
  </sheetData>
  <mergeCells count="1">
    <mergeCell ref="A1:J1"/>
  </mergeCells>
  <conditionalFormatting sqref="I1:I11">
    <cfRule type="containsText" dxfId="3" priority="1" operator="containsText" text="NO">
      <formula>NOT(ISERROR(SEARCH("NO",I1)))</formula>
    </cfRule>
    <cfRule type="containsText" dxfId="2" priority="2" operator="containsText" text="YES">
      <formula>NOT(ISERROR(SEARCH("YES",I1)))</formula>
    </cfRule>
  </conditionalFormatting>
  <dataValidations count="1">
    <dataValidation type="list" allowBlank="1" showInputMessage="1" showErrorMessage="1" sqref="I3:I11" xr:uid="{B4323BFE-0819-4F15-9CD5-1E4D978835E5}">
      <formula1>"YES,NO,N/A"</formula1>
    </dataValidation>
  </dataValidations>
  <hyperlinks>
    <hyperlink ref="M3" r:id="rId1" display="https://nafdacng.sharepoint.com/sites/PMSLAGOS/Shared Documents/GDP (GOOD DISTRIBUTION PRATICE)/GSDP COMPANY FILES\TRICARE" xr:uid="{9151DCD3-F0C8-4790-9947-226B4C08315D}"/>
    <hyperlink ref="M4" r:id="rId2" display="https://nafdacng.sharepoint.com/sites/PMSLAGOS/Shared Documents/GDP (GOOD DISTRIBUTION PRATICE)/GSDP COMPANY FILES\STERLING BIOPHARMA" xr:uid="{38ADE998-C12D-4471-8409-2AD600BC4EC9}"/>
    <hyperlink ref="M5" r:id="rId3" display="https://nafdacng.sharepoint.com/sites/PMSLAGOS/Shared Documents/GDP (GOOD DISTRIBUTION PRATICE)/GSDP COMPANY FILES\Seagreen Pharmaceuticals" xr:uid="{5997BC2D-8EBD-4BC3-806A-7F398C15B84C}"/>
    <hyperlink ref="M6" r:id="rId4" display="https://nafdacng.sharepoint.com/sites/PMSLAGOS/Shared Documents/GDP (GOOD DISTRIBUTION PRATICE)/GSDP COMPANY FILES\Brent Cross" xr:uid="{913538EC-6AE0-433D-9390-D60EE224F0A2}"/>
    <hyperlink ref="M7" r:id="rId5" display="https://nafdacng.sharepoint.com/sites/PMSLAGOS/Shared Documents/GDP (GOOD DISTRIBUTION PRATICE)/GSDP COMPANY FILES\Pharmgate Healthcare LTD" xr:uid="{18C695F2-7610-4F2C-BAC1-4B846AF9A35A}"/>
    <hyperlink ref="M8" r:id="rId6" display="https://nafdacng.sharepoint.com/sites/PMSLAGOS/Shared Documents/GDP (GOOD DISTRIBUTION PRATICE)/GSDP COMPANY FILES\NECTAR" xr:uid="{91AF18A0-5649-42EF-939D-06569F320050}"/>
    <hyperlink ref="M9" r:id="rId7" display="https://nafdacng.sharepoint.com/sites/PMSLAGOS/Shared Documents/GDP (GOOD DISTRIBUTION PRATICE)/GSDP COMPANY FILES\ZOGGAR PHARMA LTD" xr:uid="{2016E465-6F92-42A4-978A-44A811B1B4D4}"/>
    <hyperlink ref="M10" r:id="rId8" display="https://nafdacng.sharepoint.com/sites/PMSLAGOS/Shared Documents/GDP (GOOD DISTRIBUTION PRATICE)/GSDP COMPANY FILES\Faes Farma ltd" xr:uid="{EE9C56B0-B76C-4663-B0AD-4069FD64B03D}"/>
    <hyperlink ref="M11" r:id="rId9" display="https://nafdacng.sharepoint.com/sites/PMSLAGOS/Shared Documents/GDP (GOOD DISTRIBUTION PRATICE)/GSDP COMPANY FILES\LYN EDGE" xr:uid="{2E325586-49AB-496A-B8A4-985687AC906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F821-8FD2-4693-BC53-DD54C1A9886D}">
  <dimension ref="A1:O7"/>
  <sheetViews>
    <sheetView workbookViewId="0">
      <selection activeCell="A3" sqref="A3"/>
    </sheetView>
  </sheetViews>
  <sheetFormatPr defaultRowHeight="14.45"/>
  <cols>
    <col min="6" max="6" width="40" customWidth="1"/>
  </cols>
  <sheetData>
    <row r="1" spans="1:15" ht="15.6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2"/>
      <c r="K1" s="2"/>
      <c r="L1" s="2"/>
      <c r="M1" s="3"/>
      <c r="N1" s="3"/>
      <c r="O1" s="4"/>
    </row>
    <row r="2" spans="1:15" ht="93.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 t="s">
        <v>13</v>
      </c>
      <c r="N2" s="5" t="s">
        <v>14</v>
      </c>
      <c r="O2" s="6" t="s">
        <v>15</v>
      </c>
    </row>
    <row r="3" spans="1:15" ht="124.9">
      <c r="A3" s="2">
        <v>56</v>
      </c>
      <c r="B3" s="2" t="s">
        <v>312</v>
      </c>
      <c r="C3" s="20" t="s">
        <v>313</v>
      </c>
      <c r="D3" s="2" t="s">
        <v>314</v>
      </c>
      <c r="E3" s="2" t="s">
        <v>19</v>
      </c>
      <c r="F3" s="33">
        <v>45629</v>
      </c>
      <c r="G3" s="2" t="s">
        <v>20</v>
      </c>
      <c r="H3" s="2" t="s">
        <v>315</v>
      </c>
      <c r="I3" s="2" t="s">
        <v>73</v>
      </c>
      <c r="J3" s="2" t="s">
        <v>188</v>
      </c>
      <c r="K3" s="2" t="str">
        <f t="shared" ref="K3:K7" si="0">IF(I3="YES","CAPA VERIFICATION SHOULD BE SCHEDULED",IF(I3="NO","REMINDER LETTER SHOULD BE SENT",""))</f>
        <v>CAPA VERIFICATION SHOULD BE SCHEDULED</v>
      </c>
      <c r="L3" s="7">
        <v>45962</v>
      </c>
      <c r="M3" s="36" t="s">
        <v>317</v>
      </c>
      <c r="N3" s="38">
        <f t="shared" ref="N3:N4" si="1">IF(L3="","",HYPERLINK(L3,A3))</f>
        <v>56</v>
      </c>
    </row>
    <row r="4" spans="1:15" ht="124.9">
      <c r="A4" s="2">
        <v>58</v>
      </c>
      <c r="B4" s="2" t="s">
        <v>319</v>
      </c>
      <c r="C4" s="2" t="s">
        <v>320</v>
      </c>
      <c r="D4" s="2" t="s">
        <v>321</v>
      </c>
      <c r="E4" s="2" t="s">
        <v>19</v>
      </c>
      <c r="F4" s="33">
        <v>45630</v>
      </c>
      <c r="G4" s="2" t="s">
        <v>20</v>
      </c>
      <c r="H4" s="13">
        <v>45424</v>
      </c>
      <c r="I4" s="2" t="s">
        <v>73</v>
      </c>
      <c r="J4" s="2" t="s">
        <v>23</v>
      </c>
      <c r="K4" s="2" t="str">
        <f t="shared" si="0"/>
        <v>CAPA VERIFICATION SHOULD BE SCHEDULED</v>
      </c>
      <c r="L4" s="7">
        <v>45992</v>
      </c>
      <c r="M4" s="36" t="s">
        <v>323</v>
      </c>
      <c r="N4" s="38">
        <f t="shared" si="1"/>
        <v>58</v>
      </c>
    </row>
    <row r="5" spans="1:15" ht="140.44999999999999">
      <c r="A5" s="2">
        <v>59</v>
      </c>
      <c r="B5" s="2" t="s">
        <v>324</v>
      </c>
      <c r="C5" s="2" t="s">
        <v>325</v>
      </c>
      <c r="D5" s="2"/>
      <c r="E5" s="2" t="s">
        <v>19</v>
      </c>
      <c r="F5" s="33">
        <v>45631</v>
      </c>
      <c r="G5" s="2" t="s">
        <v>20</v>
      </c>
      <c r="H5" s="13">
        <v>45547</v>
      </c>
      <c r="I5" s="2" t="s">
        <v>73</v>
      </c>
      <c r="J5" s="2" t="s">
        <v>74</v>
      </c>
      <c r="K5" s="2" t="str">
        <f t="shared" si="0"/>
        <v>CAPA VERIFICATION SHOULD BE SCHEDULED</v>
      </c>
      <c r="L5" s="7">
        <v>45992</v>
      </c>
      <c r="M5" s="36" t="s">
        <v>327</v>
      </c>
      <c r="N5" s="45" t="s">
        <v>324</v>
      </c>
    </row>
    <row r="6" spans="1:15" ht="124.9">
      <c r="A6" s="40">
        <v>60</v>
      </c>
      <c r="B6" s="2" t="s">
        <v>328</v>
      </c>
      <c r="C6" s="2" t="s">
        <v>329</v>
      </c>
      <c r="D6" s="2" t="s">
        <v>330</v>
      </c>
      <c r="E6" s="2" t="s">
        <v>72</v>
      </c>
      <c r="F6" s="33">
        <v>45636</v>
      </c>
      <c r="G6" s="2" t="s">
        <v>20</v>
      </c>
      <c r="H6" s="13">
        <v>45637</v>
      </c>
      <c r="I6" s="2" t="s">
        <v>73</v>
      </c>
      <c r="J6" s="2" t="s">
        <v>23</v>
      </c>
      <c r="K6" s="2" t="str">
        <f t="shared" si="0"/>
        <v>CAPA VERIFICATION SHOULD BE SCHEDULED</v>
      </c>
      <c r="L6" s="7">
        <v>45992</v>
      </c>
      <c r="M6" s="36" t="s">
        <v>327</v>
      </c>
      <c r="N6" s="37" t="s">
        <v>331</v>
      </c>
    </row>
    <row r="7" spans="1:15" ht="202.9">
      <c r="A7" s="43">
        <v>61</v>
      </c>
      <c r="B7" s="43" t="s">
        <v>332</v>
      </c>
      <c r="C7" s="43" t="s">
        <v>333</v>
      </c>
      <c r="D7" s="43" t="s">
        <v>334</v>
      </c>
      <c r="E7" s="43" t="s">
        <v>19</v>
      </c>
      <c r="F7" s="33">
        <v>45636</v>
      </c>
      <c r="G7" s="43" t="s">
        <v>20</v>
      </c>
      <c r="H7" s="44">
        <v>45577</v>
      </c>
      <c r="I7" s="43" t="s">
        <v>73</v>
      </c>
      <c r="J7" s="43" t="s">
        <v>74</v>
      </c>
      <c r="K7" s="43" t="str">
        <f t="shared" si="0"/>
        <v>CAPA VERIFICATION SHOULD BE SCHEDULED</v>
      </c>
      <c r="L7" s="7">
        <v>45992</v>
      </c>
      <c r="M7" s="39" t="s">
        <v>336</v>
      </c>
      <c r="N7" s="46">
        <f t="shared" ref="N7" si="2">IF(L7="","",HYPERLINK(L7,A7))</f>
        <v>61</v>
      </c>
    </row>
  </sheetData>
  <mergeCells count="1">
    <mergeCell ref="A1:J1"/>
  </mergeCells>
  <conditionalFormatting sqref="I1:I7">
    <cfRule type="containsText" dxfId="1" priority="1" operator="containsText" text="NO">
      <formula>NOT(ISERROR(SEARCH("NO",I1)))</formula>
    </cfRule>
    <cfRule type="containsText" dxfId="0" priority="2" operator="containsText" text="YES">
      <formula>NOT(ISERROR(SEARCH("YES",I1)))</formula>
    </cfRule>
  </conditionalFormatting>
  <dataValidations count="1">
    <dataValidation type="list" allowBlank="1" showInputMessage="1" showErrorMessage="1" sqref="I3:I7" xr:uid="{3502A5C7-2A53-4E1C-994B-A2EDF42E8F94}">
      <formula1>"YES,NO,N/A"</formula1>
    </dataValidation>
  </dataValidations>
  <hyperlinks>
    <hyperlink ref="M3" r:id="rId1" display="https://nafdacng.sharepoint.com/sites/PMSLAGOS/Shared Documents/GDP (GOOD DISTRIBUTION PRATICE)/GSDP COMPANY FILES\TETA PHARMACEUTICALS" xr:uid="{D77A39EC-3DD2-4223-AF08-EE6FEB9F9CEF}"/>
    <hyperlink ref="N6" r:id="rId2" xr:uid="{681FD894-B98D-44C6-9705-290BC02A7A16}"/>
    <hyperlink ref="N5" r:id="rId3" xr:uid="{4D6C7F28-B548-4E22-BF64-54508968A0AE}"/>
    <hyperlink ref="M4" r:id="rId4" display="https://nafdacng.sharepoint.com/sites/PMSLAGOS/Shared Documents/GDP (GOOD DISTRIBUTION PRATICE)/GSDP COMPANY FILES\IDEAL EAGLES" xr:uid="{104ED690-B1A0-4091-A5F3-F06AD770FB4B}"/>
    <hyperlink ref="M7" r:id="rId5" display="https://nafdacng.sharepoint.com/sites/PMSLAGOS/Shared Documents/GDP (GOOD DISTRIBUTION PRATICE)/GSDP COMPANY FILES\GBGL PHARMACEUTICALS" xr:uid="{6CC2C04A-66DB-4869-A457-860366F05ACA}"/>
    <hyperlink ref="M6" r:id="rId6" xr:uid="{6F3928D1-0CF1-4623-A1AE-1DEF630E360F}"/>
    <hyperlink ref="M5" r:id="rId7" xr:uid="{61D471C0-8996-461B-8729-D698E3AFC04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322B-6F6F-4F19-83F2-64849CB03A0B}">
  <dimension ref="A2:G14"/>
  <sheetViews>
    <sheetView workbookViewId="0">
      <selection activeCell="N22" sqref="N22"/>
    </sheetView>
  </sheetViews>
  <sheetFormatPr defaultRowHeight="14.45"/>
  <cols>
    <col min="2" max="2" width="18.85546875" customWidth="1"/>
    <col min="3" max="3" width="13.140625" customWidth="1"/>
    <col min="4" max="4" width="14" customWidth="1"/>
  </cols>
  <sheetData>
    <row r="2" spans="1:7" ht="28.9">
      <c r="B2" s="34" t="s">
        <v>337</v>
      </c>
      <c r="C2" s="34" t="s">
        <v>338</v>
      </c>
      <c r="D2" s="34" t="s">
        <v>9</v>
      </c>
      <c r="E2" s="34" t="s">
        <v>339</v>
      </c>
      <c r="F2" s="34" t="s">
        <v>340</v>
      </c>
      <c r="G2" s="34" t="s">
        <v>341</v>
      </c>
    </row>
    <row r="3" spans="1:7">
      <c r="A3" t="s">
        <v>342</v>
      </c>
      <c r="B3">
        <f>COUNTIFS(
'INSPECTED FACILITIES 2024'!E:E,"GDP",
'INSPECTED FACILITIES 2024'!F:F,"&gt;="&amp;DATE(2024,MONTH(DATEVALUE(A3&amp;" 1")),1),
'INSPECTED FACILITIES 2024'!F:F,"&lt;"&amp;EOMONTH(DATE(2024,MONTH(DATEVALUE(A3&amp;" 1")),1),0)+1
)</f>
        <v>0</v>
      </c>
      <c r="C3">
        <f>COUNTIFS(
'INSPECTED FACILITIES 2024'!E:E,"CAPA",
'INSPECTED FACILITIES 2024'!F:F,"&gt;="&amp;DATE(2024,MONTH(DATEVALUE(A3&amp;" 1")),1),
'INSPECTED FACILITIES 2024'!F:F,"&lt;"&amp;EOMONTH(DATE(2024,MONTH(DATEVALUE(A3&amp;" 1")),1),0)+1
)</f>
        <v>0</v>
      </c>
      <c r="D3">
        <f>COUNTIFS(
'INSPECTED FACILITIES 2024'!I:I,"YES",
'INSPECTED FACILITIES 2024'!F:F,"&gt;="&amp;DATE(2024,MONTH(DATEVALUE(A3&amp;" 1")),1),
'INSPECTED FACILITIES 2024'!F:F,"&lt;"&amp;EOMONTH(DATE(2024,MONTH(DATEVALUE(A3&amp;" 1")),1),0)+1
)</f>
        <v>0</v>
      </c>
      <c r="E3">
        <f>COUNTIFS(
'INSPECTED FACILITIES 2024'!G:G,"Low Risk ",
'INSPECTED FACILITIES 2024'!F:F,"&gt;="&amp;DATE(2024,MONTH(DATEVALUE(A3&amp;" 1")),1),
'INSPECTED FACILITIES 2024'!F:F,"&lt;"&amp;EOMONTH(DATE(2024,MONTH(DATEVALUE(A3&amp;" 1")),1),0)+1
)</f>
        <v>0</v>
      </c>
      <c r="F3">
        <f>COUNTIFS(
'INSPECTED FACILITIES 2024'!G:G,"Medium Risk ",
'INSPECTED FACILITIES 2024'!F:F,"&gt;="&amp;DATE(2024,MONTH(DATEVALUE(A3&amp;" 1")),1),
'INSPECTED FACILITIES 2024'!F:F,"&lt;"&amp;EOMONTH(DATE(2024,MONTH(DATEVALUE(A3&amp;" 1")),1),0)+1
)</f>
        <v>0</v>
      </c>
      <c r="G3">
        <f>COUNTIFS(
'INSPECTED FACILITIES 2024'!G:G,"High Risk",
'INSPECTED FACILITIES 2024'!F:F,"&gt;="&amp;DATE(2024,MONTH(DATEVALUE(A3&amp;" 1")),1),
'INSPECTED FACILITIES 2024'!F:F,"&lt;"&amp;EOMONTH(DATE(2024,MONTH(DATEVALUE(A3&amp;" 1")),1),0)+1
)</f>
        <v>0</v>
      </c>
    </row>
    <row r="4" spans="1:7">
      <c r="A4" t="s">
        <v>343</v>
      </c>
      <c r="B4">
        <f>COUNTIFS(
'INSPECTED FACILITIES 2024'!E:E,"GDP",
'INSPECTED FACILITIES 2024'!F:F,"&gt;="&amp;DATE(2024,MONTH(DATEVALUE(A4&amp;" 1")),1),
'INSPECTED FACILITIES 2024'!F:F,"&lt;"&amp;EOMONTH(DATE(2024,MONTH(DATEVALUE(A4&amp;" 1")),1),0)+1
)</f>
        <v>0</v>
      </c>
      <c r="C4">
        <f>COUNTIFS(
'INSPECTED FACILITIES 2024'!E:E,"CAPA",
'INSPECTED FACILITIES 2024'!F:F,"&gt;="&amp;DATE(2024,MONTH(DATEVALUE(A4&amp;" 1")),1),
'INSPECTED FACILITIES 2024'!F:F,"&lt;"&amp;EOMONTH(DATE(2024,MONTH(DATEVALUE(A4&amp;" 1")),1),0)+1
)</f>
        <v>0</v>
      </c>
      <c r="D4">
        <f>COUNTIFS(
'INSPECTED FACILITIES 2024'!I:I,"YES",
'INSPECTED FACILITIES 2024'!F:F,"&gt;="&amp;DATE(2024,MONTH(DATEVALUE(A4&amp;" 1")),1),
'INSPECTED FACILITIES 2024'!F:F,"&lt;"&amp;EOMONTH(DATE(2024,MONTH(DATEVALUE(A4&amp;" 1")),1),0)+1
)</f>
        <v>0</v>
      </c>
      <c r="E4">
        <f>COUNTIFS(
'INSPECTED FACILITIES 2024'!G:G,"Low Risk ",
'INSPECTED FACILITIES 2024'!F:F,"&gt;="&amp;DATE(2024,MONTH(DATEVALUE(A4&amp;" 1")),1),
'INSPECTED FACILITIES 2024'!F:F,"&lt;"&amp;EOMONTH(DATE(2024,MONTH(DATEVALUE(A4&amp;" 1")),1),0)+1
)</f>
        <v>0</v>
      </c>
      <c r="F4">
        <f>COUNTIFS(
'INSPECTED FACILITIES 2024'!G:G,"Medium Risk ",
'INSPECTED FACILITIES 2024'!F:F,"&gt;="&amp;DATE(2024,MONTH(DATEVALUE(A4&amp;" 1")),1),
'INSPECTED FACILITIES 2024'!F:F,"&lt;"&amp;EOMONTH(DATE(2024,MONTH(DATEVALUE(A4&amp;" 1")),1),0)+1
)</f>
        <v>0</v>
      </c>
      <c r="G4">
        <f>COUNTIFS(
'INSPECTED FACILITIES 2024'!G:G,"High Risk",
'INSPECTED FACILITIES 2024'!F:F,"&gt;="&amp;DATE(2024,MONTH(DATEVALUE(A4&amp;" 1")),1),
'INSPECTED FACILITIES 2024'!F:F,"&lt;"&amp;EOMONTH(DATE(2024,MONTH(DATEVALUE(A4&amp;" 1")),1),0)+1
)</f>
        <v>0</v>
      </c>
    </row>
    <row r="5" spans="1:7">
      <c r="A5" t="s">
        <v>344</v>
      </c>
      <c r="B5">
        <f>COUNTIFS(
'INSPECTED FACILITIES 2024'!E:E,"GDP",
'INSPECTED FACILITIES 2024'!F:F,"&gt;="&amp;DATE(2024,MONTH(DATEVALUE(A5&amp;" 1")),1),
'INSPECTED FACILITIES 2024'!F:F,"&lt;"&amp;EOMONTH(DATE(2024,MONTH(DATEVALUE(A5&amp;" 1")),1),0)+1
)</f>
        <v>13</v>
      </c>
      <c r="C5">
        <f>COUNTIFS(
'INSPECTED FACILITIES 2024'!E:E,"CAPA",
'INSPECTED FACILITIES 2024'!F:F,"&gt;="&amp;DATE(2024,MONTH(DATEVALUE(A5&amp;" 1")),1),
'INSPECTED FACILITIES 2024'!F:F,"&lt;"&amp;EOMONTH(DATE(2024,MONTH(DATEVALUE(A5&amp;" 1")),1),0)+1
)</f>
        <v>3</v>
      </c>
      <c r="D5">
        <f>COUNTIFS(
'INSPECTED FACILITIES 2024'!I:I,"YES",
'INSPECTED FACILITIES 2024'!F:F,"&gt;="&amp;DATE(2024,MONTH(DATEVALUE(A5&amp;" 1")),1),
'INSPECTED FACILITIES 2024'!F:F,"&lt;"&amp;EOMONTH(DATE(2024,MONTH(DATEVALUE(A5&amp;" 1")),1),0)+1
)</f>
        <v>3</v>
      </c>
      <c r="E5">
        <f>COUNTIFS(
'INSPECTED FACILITIES 2024'!G:G,"Low Risk ",
'INSPECTED FACILITIES 2024'!F:F,"&gt;="&amp;DATE(2024,MONTH(DATEVALUE(A5&amp;" 1")),1),
'INSPECTED FACILITIES 2024'!F:F,"&lt;"&amp;EOMONTH(DATE(2024,MONTH(DATEVALUE(A5&amp;" 1")),1),0)+1
)</f>
        <v>2</v>
      </c>
      <c r="F5">
        <f>COUNTIFS(
'INSPECTED FACILITIES 2024'!G:G,"Medium Risk ",
'INSPECTED FACILITIES 2024'!F:F,"&gt;="&amp;DATE(2024,MONTH(DATEVALUE(A5&amp;" 1")),1),
'INSPECTED FACILITIES 2024'!F:F,"&lt;"&amp;EOMONTH(DATE(2024,MONTH(DATEVALUE(A5&amp;" 1")),1),0)+1
)</f>
        <v>14</v>
      </c>
      <c r="G5">
        <f>COUNTIFS(
'INSPECTED FACILITIES 2024'!G:G,"High Risk",
'INSPECTED FACILITIES 2024'!F:F,"&gt;="&amp;DATE(2024,MONTH(DATEVALUE(A5&amp;" 1")),1),
'INSPECTED FACILITIES 2024'!F:F,"&lt;"&amp;EOMONTH(DATE(2024,MONTH(DATEVALUE(A5&amp;" 1")),1),0)+1
)</f>
        <v>0</v>
      </c>
    </row>
    <row r="6" spans="1:7">
      <c r="A6" t="s">
        <v>345</v>
      </c>
      <c r="B6">
        <f>COUNTIFS(
'INSPECTED FACILITIES 2024'!E:E,"GDP",
'INSPECTED FACILITIES 2024'!F:F,"&gt;="&amp;DATE(2024,MONTH(DATEVALUE(A6&amp;" 1")),1),
'INSPECTED FACILITIES 2024'!F:F,"&lt;"&amp;EOMONTH(DATE(2024,MONTH(DATEVALUE(A6&amp;" 1")),1),0)+1
)</f>
        <v>0</v>
      </c>
      <c r="C6">
        <f>COUNTIFS(
'INSPECTED FACILITIES 2024'!E:E,"CAPA",
'INSPECTED FACILITIES 2024'!F:F,"&gt;="&amp;DATE(2024,MONTH(DATEVALUE(A6&amp;" 1")),1),
'INSPECTED FACILITIES 2024'!F:F,"&lt;"&amp;EOMONTH(DATE(2024,MONTH(DATEVALUE(A6&amp;" 1")),1),0)+1
)</f>
        <v>0</v>
      </c>
      <c r="D6">
        <f>COUNTIFS(
'INSPECTED FACILITIES 2024'!I:I,"YES",
'INSPECTED FACILITIES 2024'!F:F,"&gt;="&amp;DATE(2024,MONTH(DATEVALUE(A6&amp;" 1")),1),
'INSPECTED FACILITIES 2024'!F:F,"&lt;"&amp;EOMONTH(DATE(2024,MONTH(DATEVALUE(A6&amp;" 1")),1),0)+1
)</f>
        <v>0</v>
      </c>
      <c r="E6">
        <f>COUNTIFS(
'INSPECTED FACILITIES 2024'!G:G,"Low Risk ",
'INSPECTED FACILITIES 2024'!F:F,"&gt;="&amp;DATE(2024,MONTH(DATEVALUE(A6&amp;" 1")),1),
'INSPECTED FACILITIES 2024'!F:F,"&lt;"&amp;EOMONTH(DATE(2024,MONTH(DATEVALUE(A6&amp;" 1")),1),0)+1
)</f>
        <v>0</v>
      </c>
      <c r="F6">
        <f>COUNTIFS(
'INSPECTED FACILITIES 2024'!G:G,"Medium Risk ",
'INSPECTED FACILITIES 2024'!F:F,"&gt;="&amp;DATE(2024,MONTH(DATEVALUE(A6&amp;" 1")),1),
'INSPECTED FACILITIES 2024'!F:F,"&lt;"&amp;EOMONTH(DATE(2024,MONTH(DATEVALUE(A6&amp;" 1")),1),0)+1
)</f>
        <v>0</v>
      </c>
      <c r="G6">
        <f>COUNTIFS(
'INSPECTED FACILITIES 2024'!G:G,"High Risk",
'INSPECTED FACILITIES 2024'!F:F,"&gt;="&amp;DATE(2024,MONTH(DATEVALUE(A6&amp;" 1")),1),
'INSPECTED FACILITIES 2024'!F:F,"&lt;"&amp;EOMONTH(DATE(2024,MONTH(DATEVALUE(A6&amp;" 1")),1),0)+1
)</f>
        <v>0</v>
      </c>
    </row>
    <row r="7" spans="1:7">
      <c r="A7" t="s">
        <v>346</v>
      </c>
      <c r="B7">
        <f>COUNTIFS(
'INSPECTED FACILITIES 2024'!E:E,"GDP",
'INSPECTED FACILITIES 2024'!F:F,"&gt;="&amp;DATE(2024,MONTH(DATEVALUE(A7&amp;" 1")),1),
'INSPECTED FACILITIES 2024'!F:F,"&lt;"&amp;EOMONTH(DATE(2024,MONTH(DATEVALUE(A7&amp;" 1")),1),0)+1
)</f>
        <v>9</v>
      </c>
      <c r="C7">
        <f>COUNTIFS(
'INSPECTED FACILITIES 2024'!E:E,"CAPA",
'INSPECTED FACILITIES 2024'!F:F,"&gt;="&amp;DATE(2024,MONTH(DATEVALUE(A7&amp;" 1")),1),
'INSPECTED FACILITIES 2024'!F:F,"&lt;"&amp;EOMONTH(DATE(2024,MONTH(DATEVALUE(A7&amp;" 1")),1),0)+1
)</f>
        <v>2</v>
      </c>
      <c r="D7">
        <f>COUNTIFS(
'INSPECTED FACILITIES 2024'!I:I,"YES",
'INSPECTED FACILITIES 2024'!F:F,"&gt;="&amp;DATE(2024,MONTH(DATEVALUE(A7&amp;" 1")),1),
'INSPECTED FACILITIES 2024'!F:F,"&lt;"&amp;EOMONTH(DATE(2024,MONTH(DATEVALUE(A7&amp;" 1")),1),0)+1
)</f>
        <v>4</v>
      </c>
      <c r="E7">
        <f>COUNTIFS(
'INSPECTED FACILITIES 2024'!G:G,"Low Risk ",
'INSPECTED FACILITIES 2024'!F:F,"&gt;="&amp;DATE(2024,MONTH(DATEVALUE(A7&amp;" 1")),1),
'INSPECTED FACILITIES 2024'!F:F,"&lt;"&amp;EOMONTH(DATE(2024,MONTH(DATEVALUE(A7&amp;" 1")),1),0)+1
)</f>
        <v>3</v>
      </c>
      <c r="F7">
        <f>COUNTIFS(
'INSPECTED FACILITIES 2024'!G:G,"Medium Risk ",
'INSPECTED FACILITIES 2024'!F:F,"&gt;="&amp;DATE(2024,MONTH(DATEVALUE(A7&amp;" 1")),1),
'INSPECTED FACILITIES 2024'!F:F,"&lt;"&amp;EOMONTH(DATE(2024,MONTH(DATEVALUE(A7&amp;" 1")),1),0)+1
)</f>
        <v>8</v>
      </c>
      <c r="G7">
        <f>COUNTIFS(
'INSPECTED FACILITIES 2024'!G:G,"High Risk",
'INSPECTED FACILITIES 2024'!F:F,"&gt;="&amp;DATE(2024,MONTH(DATEVALUE(A7&amp;" 1")),1),
'INSPECTED FACILITIES 2024'!F:F,"&lt;"&amp;EOMONTH(DATE(2024,MONTH(DATEVALUE(A7&amp;" 1")),1),0)+1
)</f>
        <v>0</v>
      </c>
    </row>
    <row r="8" spans="1:7">
      <c r="A8" t="s">
        <v>347</v>
      </c>
      <c r="B8">
        <f>COUNTIFS(
'INSPECTED FACILITIES 2024'!E:E,"GDP",
'INSPECTED FACILITIES 2024'!F:F,"&gt;="&amp;DATE(2024,MONTH(DATEVALUE(A8&amp;" 1")),1),
'INSPECTED FACILITIES 2024'!F:F,"&lt;"&amp;EOMONTH(DATE(2024,MONTH(DATEVALUE(A8&amp;" 1")),1),0)+1
)</f>
        <v>0</v>
      </c>
      <c r="C8">
        <f>COUNTIFS(
'INSPECTED FACILITIES 2024'!E:E,"CAPA",
'INSPECTED FACILITIES 2024'!F:F,"&gt;="&amp;DATE(2024,MONTH(DATEVALUE(A8&amp;" 1")),1),
'INSPECTED FACILITIES 2024'!F:F,"&lt;"&amp;EOMONTH(DATE(2024,MONTH(DATEVALUE(A8&amp;" 1")),1),0)+1
)</f>
        <v>0</v>
      </c>
      <c r="D8">
        <f>COUNTIFS(
'INSPECTED FACILITIES 2024'!I:I,"YES",
'INSPECTED FACILITIES 2024'!F:F,"&gt;="&amp;DATE(2024,MONTH(DATEVALUE(A8&amp;" 1")),1),
'INSPECTED FACILITIES 2024'!F:F,"&lt;"&amp;EOMONTH(DATE(2024,MONTH(DATEVALUE(A8&amp;" 1")),1),0)+1
)</f>
        <v>0</v>
      </c>
      <c r="E8">
        <f>COUNTIFS(
'INSPECTED FACILITIES 2024'!G:G,"Low Risk ",
'INSPECTED FACILITIES 2024'!F:F,"&gt;="&amp;DATE(2024,MONTH(DATEVALUE(A8&amp;" 1")),1),
'INSPECTED FACILITIES 2024'!F:F,"&lt;"&amp;EOMONTH(DATE(2024,MONTH(DATEVALUE(A8&amp;" 1")),1),0)+1
)</f>
        <v>0</v>
      </c>
      <c r="F8">
        <f>COUNTIFS(
'INSPECTED FACILITIES 2024'!G:G,"Medium Risk ",
'INSPECTED FACILITIES 2024'!F:F,"&gt;="&amp;DATE(2024,MONTH(DATEVALUE(A8&amp;" 1")),1),
'INSPECTED FACILITIES 2024'!F:F,"&lt;"&amp;EOMONTH(DATE(2024,MONTH(DATEVALUE(A8&amp;" 1")),1),0)+1
)</f>
        <v>0</v>
      </c>
      <c r="G8">
        <f>COUNTIFS(
'INSPECTED FACILITIES 2024'!G:G,"High Risk",
'INSPECTED FACILITIES 2024'!F:F,"&gt;="&amp;DATE(2024,MONTH(DATEVALUE(A8&amp;" 1")),1),
'INSPECTED FACILITIES 2024'!F:F,"&lt;"&amp;EOMONTH(DATE(2024,MONTH(DATEVALUE(A8&amp;" 1")),1),0)+1
)</f>
        <v>0</v>
      </c>
    </row>
    <row r="9" spans="1:7">
      <c r="A9" t="s">
        <v>348</v>
      </c>
      <c r="B9">
        <f>COUNTIFS(
'INSPECTED FACILITIES 2024'!E:E,"GDP",
'INSPECTED FACILITIES 2024'!F:F,"&gt;="&amp;DATE(2024,MONTH(DATEVALUE(A9&amp;" 1")),1),
'INSPECTED FACILITIES 2024'!F:F,"&lt;"&amp;EOMONTH(DATE(2024,MONTH(DATEVALUE(A9&amp;" 1")),1),0)+1
)</f>
        <v>0</v>
      </c>
      <c r="C9">
        <f>COUNTIFS(
'INSPECTED FACILITIES 2024'!E:E,"CAPA",
'INSPECTED FACILITIES 2024'!F:F,"&gt;="&amp;DATE(2024,MONTH(DATEVALUE(A9&amp;" 1")),1),
'INSPECTED FACILITIES 2024'!F:F,"&lt;"&amp;EOMONTH(DATE(2024,MONTH(DATEVALUE(A9&amp;" 1")),1),0)+1
)</f>
        <v>0</v>
      </c>
      <c r="D9">
        <f>COUNTIFS(
'INSPECTED FACILITIES 2024'!I:I,"YES",
'INSPECTED FACILITIES 2024'!F:F,"&gt;="&amp;DATE(2024,MONTH(DATEVALUE(A9&amp;" 1")),1),
'INSPECTED FACILITIES 2024'!F:F,"&lt;"&amp;EOMONTH(DATE(2024,MONTH(DATEVALUE(A9&amp;" 1")),1),0)+1
)</f>
        <v>0</v>
      </c>
      <c r="E9">
        <f>COUNTIFS(
'INSPECTED FACILITIES 2024'!G:G,"Low Risk ",
'INSPECTED FACILITIES 2024'!F:F,"&gt;="&amp;DATE(2024,MONTH(DATEVALUE(A9&amp;" 1")),1),
'INSPECTED FACILITIES 2024'!F:F,"&lt;"&amp;EOMONTH(DATE(2024,MONTH(DATEVALUE(A9&amp;" 1")),1),0)+1
)</f>
        <v>0</v>
      </c>
      <c r="F9">
        <f>COUNTIFS(
'INSPECTED FACILITIES 2024'!G:G,"Medium Risk ",
'INSPECTED FACILITIES 2024'!F:F,"&gt;="&amp;DATE(2024,MONTH(DATEVALUE(A9&amp;" 1")),1),
'INSPECTED FACILITIES 2024'!F:F,"&lt;"&amp;EOMONTH(DATE(2024,MONTH(DATEVALUE(A9&amp;" 1")),1),0)+1
)</f>
        <v>0</v>
      </c>
      <c r="G9">
        <f>COUNTIFS(
'INSPECTED FACILITIES 2024'!G:G,"High Risk",
'INSPECTED FACILITIES 2024'!F:F,"&gt;="&amp;DATE(2024,MONTH(DATEVALUE(A9&amp;" 1")),1),
'INSPECTED FACILITIES 2024'!F:F,"&lt;"&amp;EOMONTH(DATE(2024,MONTH(DATEVALUE(A9&amp;" 1")),1),0)+1
)</f>
        <v>0</v>
      </c>
    </row>
    <row r="10" spans="1:7">
      <c r="A10" t="s">
        <v>349</v>
      </c>
      <c r="B10">
        <f>COUNTIFS(
'INSPECTED FACILITIES 2024'!E:E,"GDP",
'INSPECTED FACILITIES 2024'!F:F,"&gt;="&amp;DATE(2024,MONTH(DATEVALUE(A10&amp;" 1")),1),
'INSPECTED FACILITIES 2024'!F:F,"&lt;"&amp;EOMONTH(DATE(2024,MONTH(DATEVALUE(A10&amp;" 1")),1),0)+1
)</f>
        <v>9</v>
      </c>
      <c r="C10">
        <f>COUNTIFS(
'INSPECTED FACILITIES 2024'!E:E,"CAPA",
'INSPECTED FACILITIES 2024'!F:F,"&gt;="&amp;DATE(2024,MONTH(DATEVALUE(A10&amp;" 1")),1),
'INSPECTED FACILITIES 2024'!F:F,"&lt;"&amp;EOMONTH(DATE(2024,MONTH(DATEVALUE(A10&amp;" 1")),1),0)+1
)</f>
        <v>1</v>
      </c>
      <c r="D10">
        <f>COUNTIFS(
'INSPECTED FACILITIES 2024'!I:I,"YES",
'INSPECTED FACILITIES 2024'!F:F,"&gt;="&amp;DATE(2024,MONTH(DATEVALUE(A10&amp;" 1")),1),
'INSPECTED FACILITIES 2024'!F:F,"&lt;"&amp;EOMONTH(DATE(2024,MONTH(DATEVALUE(A10&amp;" 1")),1),0)+1
)</f>
        <v>5</v>
      </c>
      <c r="E10">
        <f>COUNTIFS(
'INSPECTED FACILITIES 2024'!G:G,"Low Risk ",
'INSPECTED FACILITIES 2024'!F:F,"&gt;="&amp;DATE(2024,MONTH(DATEVALUE(A10&amp;" 1")),1),
'INSPECTED FACILITIES 2024'!F:F,"&lt;"&amp;EOMONTH(DATE(2024,MONTH(DATEVALUE(A10&amp;" 1")),1),0)+1
)</f>
        <v>0</v>
      </c>
      <c r="F10">
        <f>COUNTIFS(
'INSPECTED FACILITIES 2024'!G:G,"Medium Risk ",
'INSPECTED FACILITIES 2024'!F:F,"&gt;="&amp;DATE(2024,MONTH(DATEVALUE(A10&amp;" 1")),1),
'INSPECTED FACILITIES 2024'!F:F,"&lt;"&amp;EOMONTH(DATE(2024,MONTH(DATEVALUE(A10&amp;" 1")),1),0)+1
)</f>
        <v>10</v>
      </c>
      <c r="G10">
        <f>COUNTIFS(
'INSPECTED FACILITIES 2024'!G:G,"High Risk",
'INSPECTED FACILITIES 2024'!F:F,"&gt;="&amp;DATE(2024,MONTH(DATEVALUE(A10&amp;" 1")),1),
'INSPECTED FACILITIES 2024'!F:F,"&lt;"&amp;EOMONTH(DATE(2024,MONTH(DATEVALUE(A10&amp;" 1")),1),0)+1
)</f>
        <v>0</v>
      </c>
    </row>
    <row r="11" spans="1:7">
      <c r="A11" t="s">
        <v>350</v>
      </c>
      <c r="B11">
        <f>COUNTIFS(
'INSPECTED FACILITIES 2024'!E:E,"GDP",
'INSPECTED FACILITIES 2024'!F:F,"&gt;="&amp;DATE(2024,MONTH(DATEVALUE(A11&amp;" 1")),1),
'INSPECTED FACILITIES 2024'!F:F,"&lt;"&amp;EOMONTH(DATE(2024,MONTH(DATEVALUE(A11&amp;" 1")),1),0)+1
)</f>
        <v>6</v>
      </c>
      <c r="C11">
        <f>COUNTIFS(
'INSPECTED FACILITIES 2024'!E:E,"CAPA",
'INSPECTED FACILITIES 2024'!F:F,"&gt;="&amp;DATE(2024,MONTH(DATEVALUE(A11&amp;" 1")),1),
'INSPECTED FACILITIES 2024'!F:F,"&lt;"&amp;EOMONTH(DATE(2024,MONTH(DATEVALUE(A11&amp;" 1")),1),0)+1
)</f>
        <v>2</v>
      </c>
      <c r="D11">
        <f>COUNTIFS(
'INSPECTED FACILITIES 2024'!I:I,"YES",
'INSPECTED FACILITIES 2024'!F:F,"&gt;="&amp;DATE(2024,MONTH(DATEVALUE(A11&amp;" 1")),1),
'INSPECTED FACILITIES 2024'!F:F,"&lt;"&amp;EOMONTH(DATE(2024,MONTH(DATEVALUE(A11&amp;" 1")),1),0)+1
)</f>
        <v>5</v>
      </c>
      <c r="E11">
        <f>COUNTIFS(
'INSPECTED FACILITIES 2024'!G:G,"Low Risk ",
'INSPECTED FACILITIES 2024'!F:F,"&gt;="&amp;DATE(2024,MONTH(DATEVALUE(A11&amp;" 1")),1),
'INSPECTED FACILITIES 2024'!F:F,"&lt;"&amp;EOMONTH(DATE(2024,MONTH(DATEVALUE(A11&amp;" 1")),1),0)+1
)</f>
        <v>1</v>
      </c>
      <c r="F11">
        <f>COUNTIFS(
'INSPECTED FACILITIES 2024'!G:G,"Medium Risk ",
'INSPECTED FACILITIES 2024'!F:F,"&gt;="&amp;DATE(2024,MONTH(DATEVALUE(A11&amp;" 1")),1),
'INSPECTED FACILITIES 2024'!F:F,"&lt;"&amp;EOMONTH(DATE(2024,MONTH(DATEVALUE(A11&amp;" 1")),1),0)+1
)</f>
        <v>6</v>
      </c>
      <c r="G11">
        <f>COUNTIFS(
'INSPECTED FACILITIES 2024'!G:G,"High Risk",
'INSPECTED FACILITIES 2024'!F:F,"&gt;="&amp;DATE(2024,MONTH(DATEVALUE(A11&amp;" 1")),1),
'INSPECTED FACILITIES 2024'!F:F,"&lt;"&amp;EOMONTH(DATE(2024,MONTH(DATEVALUE(A11&amp;" 1")),1),0)+1
)</f>
        <v>1</v>
      </c>
    </row>
    <row r="12" spans="1:7">
      <c r="A12" t="s">
        <v>351</v>
      </c>
      <c r="B12">
        <f>COUNTIFS(
'INSPECTED FACILITIES 2024'!E:E,"GDP",
'INSPECTED FACILITIES 2024'!F:F,"&gt;="&amp;DATE(2024,MONTH(DATEVALUE(A12&amp;" 1")),1),
'INSPECTED FACILITIES 2024'!F:F,"&lt;"&amp;EOMONTH(DATE(2024,MONTH(DATEVALUE(A12&amp;" 1")),1),0)+1
)</f>
        <v>0</v>
      </c>
      <c r="C12">
        <f>COUNTIFS(
'INSPECTED FACILITIES 2024'!E:E,"CAPA",
'INSPECTED FACILITIES 2024'!F:F,"&gt;="&amp;DATE(2024,MONTH(DATEVALUE(A12&amp;" 1")),1),
'INSPECTED FACILITIES 2024'!F:F,"&lt;"&amp;EOMONTH(DATE(2024,MONTH(DATEVALUE(A12&amp;" 1")),1),0)+1
)</f>
        <v>1</v>
      </c>
      <c r="D12">
        <f>COUNTIFS(
'INSPECTED FACILITIES 2024'!I:I,"YES",
'INSPECTED FACILITIES 2024'!F:F,"&gt;="&amp;DATE(2024,MONTH(DATEVALUE(A12&amp;" 1")),1),
'INSPECTED FACILITIES 2024'!F:F,"&lt;"&amp;EOMONTH(DATE(2024,MONTH(DATEVALUE(A12&amp;" 1")),1),0)+1
)</f>
        <v>0</v>
      </c>
      <c r="E12">
        <f>COUNTIFS(
'INSPECTED FACILITIES 2024'!G:G,"Low Risk ",
'INSPECTED FACILITIES 2024'!F:F,"&gt;="&amp;DATE(2024,MONTH(DATEVALUE(A12&amp;" 1")),1),
'INSPECTED FACILITIES 2024'!F:F,"&lt;"&amp;EOMONTH(DATE(2024,MONTH(DATEVALUE(A12&amp;" 1")),1),0)+1
)</f>
        <v>1</v>
      </c>
      <c r="F12">
        <f>COUNTIFS(
'INSPECTED FACILITIES 2024'!G:G,"Medium Risk ",
'INSPECTED FACILITIES 2024'!F:F,"&gt;="&amp;DATE(2024,MONTH(DATEVALUE(A12&amp;" 1")),1),
'INSPECTED FACILITIES 2024'!F:F,"&lt;"&amp;EOMONTH(DATE(2024,MONTH(DATEVALUE(A12&amp;" 1")),1),0)+1
)</f>
        <v>0</v>
      </c>
      <c r="G12">
        <f>COUNTIFS(
'INSPECTED FACILITIES 2024'!G:G,"High Risk",
'INSPECTED FACILITIES 2024'!F:F,"&gt;="&amp;DATE(2024,MONTH(DATEVALUE(A12&amp;" 1")),1),
'INSPECTED FACILITIES 2024'!F:F,"&lt;"&amp;EOMONTH(DATE(2024,MONTH(DATEVALUE(A12&amp;" 1")),1),0)+1
)</f>
        <v>0</v>
      </c>
    </row>
    <row r="13" spans="1:7">
      <c r="A13" t="s">
        <v>352</v>
      </c>
      <c r="B13">
        <f>COUNTIFS(
'INSPECTED FACILITIES 2024'!E:E,"GDP",
'INSPECTED FACILITIES 2024'!F:F,"&gt;="&amp;DATE(2024,MONTH(DATEVALUE(A13&amp;" 1")),1),
'INSPECTED FACILITIES 2024'!F:F,"&lt;"&amp;EOMONTH(DATE(2024,MONTH(DATEVALUE(A13&amp;" 1")),1),0)+1
)</f>
        <v>9</v>
      </c>
      <c r="C13">
        <f>COUNTIFS(
'INSPECTED FACILITIES 2024'!E:E,"CAPA",
'INSPECTED FACILITIES 2024'!F:F,"&gt;="&amp;DATE(2024,MONTH(DATEVALUE(A13&amp;" 1")),1),
'INSPECTED FACILITIES 2024'!F:F,"&lt;"&amp;EOMONTH(DATE(2024,MONTH(DATEVALUE(A13&amp;" 1")),1),0)+1
)</f>
        <v>0</v>
      </c>
      <c r="D13">
        <f>COUNTIFS(
'INSPECTED FACILITIES 2024'!I:I,"YES",
'INSPECTED FACILITIES 2024'!F:F,"&gt;="&amp;DATE(2024,MONTH(DATEVALUE(A13&amp;" 1")),1),
'INSPECTED FACILITIES 2024'!F:F,"&lt;"&amp;EOMONTH(DATE(2024,MONTH(DATEVALUE(A13&amp;" 1")),1),0)+1
)</f>
        <v>1</v>
      </c>
      <c r="E13">
        <f>COUNTIFS(
'INSPECTED FACILITIES 2024'!G:G,"Low Risk ",
'INSPECTED FACILITIES 2024'!F:F,"&gt;="&amp;DATE(2024,MONTH(DATEVALUE(A13&amp;" 1")),1),
'INSPECTED FACILITIES 2024'!F:F,"&lt;"&amp;EOMONTH(DATE(2024,MONTH(DATEVALUE(A13&amp;" 1")),1),0)+1
)</f>
        <v>0</v>
      </c>
      <c r="F13">
        <f>COUNTIFS(
'INSPECTED FACILITIES 2024'!G:G,"Medium Risk ",
'INSPECTED FACILITIES 2024'!F:F,"&gt;="&amp;DATE(2024,MONTH(DATEVALUE(A13&amp;" 1")),1),
'INSPECTED FACILITIES 2024'!F:F,"&lt;"&amp;EOMONTH(DATE(2024,MONTH(DATEVALUE(A13&amp;" 1")),1),0)+1
)</f>
        <v>7</v>
      </c>
      <c r="G13">
        <f>COUNTIFS(
'INSPECTED FACILITIES 2024'!G:G,"High Risk",
'INSPECTED FACILITIES 2024'!F:F,"&gt;="&amp;DATE(2024,MONTH(DATEVALUE(A13&amp;" 1")),1),
'INSPECTED FACILITIES 2024'!F:F,"&lt;"&amp;EOMONTH(DATE(2024,MONTH(DATEVALUE(A13&amp;" 1")),1),0)+1
)</f>
        <v>2</v>
      </c>
    </row>
    <row r="14" spans="1:7">
      <c r="A14" t="s">
        <v>353</v>
      </c>
      <c r="B14">
        <f>COUNTIFS(
'INSPECTED FACILITIES 2024'!E:E,"GDP",
'INSPECTED FACILITIES 2024'!F:F,"&gt;="&amp;DATE(2024,MONTH(DATEVALUE(A14&amp;" 1")),1),
'INSPECTED FACILITIES 2024'!F:F,"&lt;"&amp;EOMONTH(DATE(2024,MONTH(DATEVALUE(A14&amp;" 1")),1),0)+1
)</f>
        <v>4</v>
      </c>
      <c r="C14">
        <f>COUNTIFS(
'INSPECTED FACILITIES 2024'!E:E,"CAPA",
'INSPECTED FACILITIES 2024'!F:F,"&gt;="&amp;DATE(2024,MONTH(DATEVALUE(A14&amp;" 1")),1),
'INSPECTED FACILITIES 2024'!F:F,"&lt;"&amp;EOMONTH(DATE(2024,MONTH(DATEVALUE(A14&amp;" 1")),1),0)+1
)</f>
        <v>1</v>
      </c>
      <c r="D14">
        <f>COUNTIFS(
'INSPECTED FACILITIES 2024'!I:I,"YES",
'INSPECTED FACILITIES 2024'!F:F,"&gt;="&amp;DATE(2024,MONTH(DATEVALUE(A14&amp;" 1")),1),
'INSPECTED FACILITIES 2024'!F:F,"&lt;"&amp;EOMONTH(DATE(2024,MONTH(DATEVALUE(A14&amp;" 1")),1),0)+1
)</f>
        <v>5</v>
      </c>
      <c r="E14">
        <f>COUNTIFS(
'INSPECTED FACILITIES 2024'!G:G,"Low Risk ",
'INSPECTED FACILITIES 2024'!F:F,"&gt;="&amp;DATE(2024,MONTH(DATEVALUE(A14&amp;" 1")),1),
'INSPECTED FACILITIES 2024'!F:F,"&lt;"&amp;EOMONTH(DATE(2024,MONTH(DATEVALUE(A14&amp;" 1")),1),0)+1
)</f>
        <v>0</v>
      </c>
      <c r="F14">
        <f>COUNTIFS(
'INSPECTED FACILITIES 2024'!G:G,"Medium Risk ",
'INSPECTED FACILITIES 2024'!F:F,"&gt;="&amp;DATE(2024,MONTH(DATEVALUE(A14&amp;" 1")),1),
'INSPECTED FACILITIES 2024'!F:F,"&lt;"&amp;EOMONTH(DATE(2024,MONTH(DATEVALUE(A14&amp;" 1")),1),0)+1
)</f>
        <v>5</v>
      </c>
      <c r="G14">
        <f>COUNTIFS(
'INSPECTED FACILITIES 2024'!G:G,"High Risk",
'INSPECTED FACILITIES 2024'!F:F,"&gt;="&amp;DATE(2024,MONTH(DATEVALUE(A14&amp;" 1")),1),
'INSPECTED FACILITIES 2024'!F:F,"&lt;"&amp;EOMONTH(DATE(2024,MONTH(DATEVALUE(A14&amp;" 1")),1),0)+1
)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SentBy xmlns="b13d5edd-c324-4cc7-96f8-eb6094d850cb">
      <UserInfo>
        <DisplayName/>
        <AccountId xsi:nil="true"/>
        <AccountType/>
      </UserInfo>
    </_ApprovalSentBy>
    <DATE xmlns="b13d5edd-c324-4cc7-96f8-eb6094d850cb" xsi:nil="true"/>
    <GLSISTATUS xmlns="b13d5edd-c324-4cc7-96f8-eb6094d850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20" ma:contentTypeDescription="Create a new document." ma:contentTypeScope="" ma:versionID="b2269030e1d5b884177cefd80b5e9eb7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be4ec57f75b398270395586eb78763aa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DDE8EB-2B0A-431A-8E18-730D0543D18A}"/>
</file>

<file path=customXml/itemProps2.xml><?xml version="1.0" encoding="utf-8"?>
<ds:datastoreItem xmlns:ds="http://schemas.openxmlformats.org/officeDocument/2006/customXml" ds:itemID="{A957E531-B7AB-4974-9649-19A137A11703}"/>
</file>

<file path=customXml/itemProps3.xml><?xml version="1.0" encoding="utf-8"?>
<ds:datastoreItem xmlns:ds="http://schemas.openxmlformats.org/officeDocument/2006/customXml" ds:itemID="{0CBEB048-163D-4950-8931-590C60C64D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Adegbite Adeboyin</cp:lastModifiedBy>
  <cp:revision/>
  <dcterms:created xsi:type="dcterms:W3CDTF">2025-12-13T20:54:56Z</dcterms:created>
  <dcterms:modified xsi:type="dcterms:W3CDTF">2026-06-17T11:40:43Z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  <property fmtid="{D5CDD505-2E9C-101B-9397-08002B2CF9AE}" pid="3" name="MediaServiceImageTags">
    <vt:lpwstr/>
  </property>
  <property fmtid="{D5CDD505-2E9C-101B-9397-08002B2CF9AE}" pid="4" name="WorkbookGuid">
    <vt:lpwstr>158d85c4-681b-40b9-919e-b37be3fe9881</vt:lpwstr>
  </property>
</Properties>
</file>