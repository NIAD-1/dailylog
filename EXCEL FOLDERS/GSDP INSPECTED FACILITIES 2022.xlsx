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updateLinks="never"/>
  <mc:AlternateContent xmlns:mc="http://schemas.openxmlformats.org/markup-compatibility/2006">
    <mc:Choice Requires="x15">
      <x15ac:absPath xmlns:x15ac="http://schemas.microsoft.com/office/spreadsheetml/2010/11/ac" url="https://nafdacng.sharepoint.com/sites/PMSLAGOS/Shared Documents/GSDP (GOOD STORAGE AND DISTRIBUTION PRACTICE)/2022/"/>
    </mc:Choice>
  </mc:AlternateContent>
  <xr:revisionPtr revIDLastSave="354" documentId="11_D463C6C3F43DDB69FA33D776CE5588034B218D57" xr6:coauthVersionLast="47" xr6:coauthVersionMax="47" xr10:uidLastSave="{CA725555-EF72-4C7E-A858-22D3ABFADCBE}"/>
  <bookViews>
    <workbookView xWindow="-108" yWindow="-108" windowWidth="23256" windowHeight="13176" firstSheet="1" activeTab="1" xr2:uid="{00000000-000D-0000-FFFF-FFFF00000000}"/>
  </bookViews>
  <sheets>
    <sheet name="Sheet2 (2)" sheetId="6" state="hidden" r:id="rId1"/>
    <sheet name="INSPECTED FACILITIES 2022" sheetId="3" r:id="rId2"/>
    <sheet name="MARCH" sheetId="8" r:id="rId3"/>
    <sheet name="APRIL" sheetId="7" r:id="rId4"/>
    <sheet name="JUNE" sheetId="9" r:id="rId5"/>
    <sheet name="SEPTEMBER" sheetId="10" r:id="rId6"/>
    <sheet name="OCTOBER" sheetId="11" r:id="rId7"/>
    <sheet name="VISUAL DATA" sheetId="5" r:id="rId8"/>
  </sheets>
  <externalReferences>
    <externalReference r:id="rId9"/>
  </externalReferences>
  <calcPr calcId="191028"/>
  <pivotCaches>
    <pivotCache cacheId="340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1" l="1"/>
  <c r="N4" i="11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3" i="11"/>
  <c r="K3" i="11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3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6" i="10"/>
  <c r="K5" i="10"/>
  <c r="K4" i="10"/>
  <c r="K3" i="10"/>
  <c r="K17" i="9"/>
  <c r="K16" i="9"/>
  <c r="K15" i="9"/>
  <c r="K14" i="9"/>
  <c r="K13" i="9"/>
  <c r="K12" i="9"/>
  <c r="K11" i="9"/>
  <c r="K10" i="9"/>
  <c r="K9" i="9"/>
  <c r="K8" i="9"/>
  <c r="K7" i="9"/>
  <c r="K6" i="9"/>
  <c r="N5" i="7"/>
  <c r="N4" i="7"/>
  <c r="N3" i="7"/>
  <c r="N11" i="8"/>
  <c r="N10" i="8"/>
  <c r="N9" i="8"/>
  <c r="N8" i="8"/>
  <c r="N7" i="8"/>
  <c r="N6" i="8"/>
  <c r="N5" i="8"/>
  <c r="N4" i="8"/>
  <c r="N3" i="8"/>
  <c r="O60" i="3"/>
  <c r="L60" i="3"/>
  <c r="O59" i="3"/>
  <c r="O58" i="3"/>
  <c r="O57" i="3"/>
  <c r="L57" i="3"/>
  <c r="O56" i="3"/>
  <c r="L56" i="3"/>
  <c r="O55" i="3"/>
  <c r="L55" i="3"/>
  <c r="O54" i="3"/>
  <c r="L54" i="3"/>
  <c r="O53" i="3"/>
  <c r="L53" i="3"/>
  <c r="O52" i="3"/>
  <c r="L52" i="3"/>
  <c r="O51" i="3"/>
  <c r="L51" i="3"/>
  <c r="O50" i="3"/>
  <c r="L50" i="3"/>
  <c r="O49" i="3"/>
  <c r="L49" i="3"/>
  <c r="O48" i="3"/>
  <c r="L48" i="3"/>
  <c r="O47" i="3"/>
  <c r="L47" i="3"/>
  <c r="O46" i="3"/>
  <c r="L46" i="3"/>
  <c r="O45" i="3"/>
  <c r="L45" i="3"/>
  <c r="O44" i="3"/>
  <c r="L44" i="3"/>
  <c r="O43" i="3"/>
  <c r="L43" i="3"/>
  <c r="O42" i="3"/>
  <c r="L42" i="3"/>
  <c r="O41" i="3"/>
  <c r="L41" i="3"/>
  <c r="O40" i="3"/>
  <c r="L40" i="3"/>
  <c r="O39" i="3"/>
  <c r="L39" i="3"/>
  <c r="O38" i="3"/>
  <c r="L38" i="3"/>
  <c r="O37" i="3"/>
  <c r="L37" i="3"/>
  <c r="O36" i="3"/>
  <c r="L36" i="3"/>
  <c r="O35" i="3"/>
  <c r="L35" i="3"/>
  <c r="O33" i="3"/>
  <c r="L33" i="3"/>
  <c r="O32" i="3"/>
  <c r="L32" i="3"/>
  <c r="O31" i="3"/>
  <c r="L31" i="3"/>
  <c r="O30" i="3"/>
  <c r="L30" i="3"/>
  <c r="O29" i="3"/>
  <c r="L29" i="3"/>
  <c r="O28" i="3"/>
  <c r="L28" i="3"/>
  <c r="O27" i="3"/>
  <c r="L27" i="3"/>
  <c r="O26" i="3"/>
  <c r="L26" i="3"/>
  <c r="O25" i="3"/>
  <c r="L25" i="3"/>
  <c r="O24" i="3"/>
  <c r="L24" i="3"/>
  <c r="O23" i="3"/>
  <c r="L23" i="3"/>
  <c r="O22" i="3"/>
  <c r="L22" i="3"/>
  <c r="O21" i="3"/>
  <c r="L21" i="3"/>
  <c r="O20" i="3"/>
  <c r="L20" i="3"/>
  <c r="O19" i="3"/>
  <c r="L19" i="3"/>
  <c r="O18" i="3"/>
  <c r="L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</calcChain>
</file>

<file path=xl/sharedStrings.xml><?xml version="1.0" encoding="utf-8"?>
<sst xmlns="http://schemas.openxmlformats.org/spreadsheetml/2006/main" count="1167" uniqueCount="288">
  <si>
    <t>FINDINGS</t>
  </si>
  <si>
    <t>Count of FINDINGS</t>
  </si>
  <si>
    <t>High-Risk (C)</t>
  </si>
  <si>
    <t>Low-Risk (A)</t>
  </si>
  <si>
    <t>Medium-Risk (B)</t>
  </si>
  <si>
    <t>N/A</t>
  </si>
  <si>
    <t>(blank)</t>
  </si>
  <si>
    <t>Grand Total</t>
  </si>
  <si>
    <t>GDP INSPECTION CLASSIFICATION DATA BASE AS AT 2022</t>
  </si>
  <si>
    <t>S/N</t>
  </si>
  <si>
    <t>NAME OF MANUFACTURER</t>
  </si>
  <si>
    <t>LOCATION ADDRESS</t>
  </si>
  <si>
    <t>CONTACT</t>
  </si>
  <si>
    <t>TYPE OF LAST INSPECTION</t>
  </si>
  <si>
    <t>DATE OF LAST INSPECTION</t>
  </si>
  <si>
    <t>DATE OF LAST INSPECTION 2</t>
  </si>
  <si>
    <t>CAPA ISSUED DATE</t>
  </si>
  <si>
    <t>CAPA SUBMITTED</t>
  </si>
  <si>
    <t>CONCLUSION</t>
  </si>
  <si>
    <t>REMARKS</t>
  </si>
  <si>
    <t>EXPECTED DATE OF INSPECTION</t>
  </si>
  <si>
    <t>COMPANY FILE</t>
  </si>
  <si>
    <t>OMPANY FFILE</t>
  </si>
  <si>
    <t>IKON PHARM NIG LTD</t>
  </si>
  <si>
    <t>No. 2, Market Road, Ijanikin, Lagos</t>
  </si>
  <si>
    <t>08033195876; 08037663759</t>
  </si>
  <si>
    <t>GDP</t>
  </si>
  <si>
    <t>22nd March, 2022</t>
  </si>
  <si>
    <t>NO</t>
  </si>
  <si>
    <t>CAPA to be submitted</t>
  </si>
  <si>
    <t>REMINDER LETTER SHOULD BE SENT</t>
  </si>
  <si>
    <t>https://nafdacng.sharepoint.com/sites/PMSLAGOS/Shared Documents/GSDP (GOOD STORAGE AND DISTRIBUTION PRACTICE)/GSDP COMPANY FILES\IKON PHARM NIG LTD</t>
  </si>
  <si>
    <t>IKON PHARM NIG LTD (BRANCH)</t>
  </si>
  <si>
    <t>Along Igando/Okoafa, Opp C&amp;S Church, Okoafa, Badagry, Lagos</t>
  </si>
  <si>
    <t>08035740038</t>
  </si>
  <si>
    <t>YANKEE PHARM CO.NIG LTD</t>
  </si>
  <si>
    <t>69, Zoglo Road, Badagry, Lagos</t>
  </si>
  <si>
    <t>08145129325</t>
  </si>
  <si>
    <t>YES</t>
  </si>
  <si>
    <t>CAPA submitted on February 22nd, 2023</t>
  </si>
  <si>
    <t>CAPA VERIFICATIO SHOULD BE SCHEDULED</t>
  </si>
  <si>
    <t>https://nafdacng.sharepoint.com/sites/PMSLAGOS/Shared Documents/GSDP (GOOD STORAGE AND DISTRIBUTION PRACTICE)/GSDP COMPANY FILES\YENKEE PHARM</t>
  </si>
  <si>
    <t>ESTYBEE PHARM LTD</t>
  </si>
  <si>
    <t>Ajara Vetho Chief Port Junction, Badagry, Lagos</t>
  </si>
  <si>
    <t>08130918949</t>
  </si>
  <si>
    <t>CAPA  submitted</t>
  </si>
  <si>
    <t>https://nafdacng.sharepoint.com/sites/PMSLAGOS/Shared Documents/GSDP (GOOD STORAGE AND DISTRIBUTION PRACTICE)/GSDP COMPANY FILES\ESTYBEE PHARM LTD</t>
  </si>
  <si>
    <t>BENATO PHARM LTD</t>
  </si>
  <si>
    <t>No. 31, Turner Street, Mosafejo Bus-Stop, Amukoko, Lagos</t>
  </si>
  <si>
    <t>08029475250</t>
  </si>
  <si>
    <t>23rd March, 2022</t>
  </si>
  <si>
    <t>https://nafdacng.sharepoint.com/sites/PMSLAGOS/Shared Documents/GSDP (GOOD STORAGE AND DISTRIBUTION PRACTICE)/GSDP COMPANY FILES\BARNAETO PHARM</t>
  </si>
  <si>
    <t>TIBRO PHARM CO. LTD</t>
  </si>
  <si>
    <t>35, Olumokun Street, Amukoko, Lagos</t>
  </si>
  <si>
    <t>09023901746</t>
  </si>
  <si>
    <t>https://nafdacng.sharepoint.com/sites/PMSLAGOS/Shared Documents/GSDP (GOOD STORAGE AND DISTRIBUTION PRACTICE)/GSDP COMPANY FILES\TIBROS PHARM</t>
  </si>
  <si>
    <t>LIFE POINT PHARM LTD</t>
  </si>
  <si>
    <t>20/21, Alaba, Oro Road, Amukoko, Lagos</t>
  </si>
  <si>
    <t>07033573790</t>
  </si>
  <si>
    <t>https://nafdacng.sharepoint.com/sites/PMSLAGOS/Shared Documents/GSDP (GOOD STORAGE AND DISTRIBUTION PRACTICE)/GSDP COMPANY FILES\LIFE POINT PHARM LTD</t>
  </si>
  <si>
    <t>E.CLEMS PHARMACY</t>
  </si>
  <si>
    <t>34, Shibiri Road, Ilemba, Awori Ojo, Lagos</t>
  </si>
  <si>
    <t>08030635990</t>
  </si>
  <si>
    <t>24th March, 2022</t>
  </si>
  <si>
    <t>GEMINI PHARMACEUTICALS NIGERIA LTD</t>
  </si>
  <si>
    <t>Plot 13, Block A, Industrial Estate Amuwo Odofin, Apapa Oshodi Expressway, Lagos</t>
  </si>
  <si>
    <t>08023535173</t>
  </si>
  <si>
    <t>CAPA submitted on June 15th, 2022</t>
  </si>
  <si>
    <t>https://nafdacng.sharepoint.com/sites/PMSLAGOS/Shared Documents/GSDP (GOOD STORAGE AND DISTRIBUTION PRACTICE)/GSDP COMPANY FILES\GEMININI PHARMACEUTICALS NIG LTD</t>
  </si>
  <si>
    <t>EMZOR PHARMACEUTICAL INDUSTRIES LTD</t>
  </si>
  <si>
    <t>Km 42, Lekki-Epe Expressway, Oribanwa Bus-Stop, Lakowe, Ibeju Lekki, Lagos</t>
  </si>
  <si>
    <t>08034749100</t>
  </si>
  <si>
    <t>26th April, 2022</t>
  </si>
  <si>
    <t>15th may 2022</t>
  </si>
  <si>
    <t>CAPA submitted on February 15th, 2023</t>
  </si>
  <si>
    <t>https://nafdacng.sharepoint.com/sites/PMSLAGOS/Shared Documents/GSDP (GOOD STORAGE AND DISTRIBUTION PRACTICE)/GSDP COMPANY FILES\EMZOR PHARMACEUTICALS</t>
  </si>
  <si>
    <t>SAFCO MEGA SOLUTION LTD</t>
  </si>
  <si>
    <t>Plot 6A, Ogombe Road, Off Lekki Expressway, Lagos</t>
  </si>
  <si>
    <t>08034243222</t>
  </si>
  <si>
    <t>CAPA submitted June 21st, 2022</t>
  </si>
  <si>
    <t>https://nafdacng.sharepoint.com/sites/PMSLAGOS/Shared Documents/GSDP (GOOD STORAGE AND DISTRIBUTION PRACTICE)/GSDP COMPANY FILES\SAFCO MEGA SOLUTION LTD</t>
  </si>
  <si>
    <t>ELFIMO PHARMACY LTD</t>
  </si>
  <si>
    <t>Shop H94, Ikota Shopping Complex, Lekki, Lagos.</t>
  </si>
  <si>
    <t>08022904546</t>
  </si>
  <si>
    <t>18th January 2022</t>
  </si>
  <si>
    <t>CAPA submitted June 10th, 2022</t>
  </si>
  <si>
    <t>https://nafdacng.sharepoint.com/sites/PMSLAGOS/Shared Documents/GSDP (GOOD STORAGE AND DISTRIBUTION PRACTICE)/GSDP COMPANY FILES\ELFIMO PHARMACY LTD</t>
  </si>
  <si>
    <t>ANOBS PHARMACY &amp; STORES LTD</t>
  </si>
  <si>
    <t>1, Karim Str., Shibiri, Ojo, Lagos</t>
  </si>
  <si>
    <t>08032614939;  08033799283</t>
  </si>
  <si>
    <t>June 9th, 2022</t>
  </si>
  <si>
    <t>24/06/22</t>
  </si>
  <si>
    <t>https://nafdacng.sharepoint.com/sites/PMSLAGOS/Shared Documents/GSDP (GOOD STORAGE AND DISTRIBUTION PRACTICE)/GSDP COMPANY FILES\ANOBS PHARMACY AND STORES LIMITED</t>
  </si>
  <si>
    <t>ALL ROUND HEALTH LTD</t>
  </si>
  <si>
    <t>96, Isashi Road, Oluwaseyi B/Stop, Iyana Isashi, Lagos</t>
  </si>
  <si>
    <t>07036371437; 08037162967</t>
  </si>
  <si>
    <t>June 10th, 2022</t>
  </si>
  <si>
    <t>21/09/22</t>
  </si>
  <si>
    <t>CAPA submitted 14th, March, 2023</t>
  </si>
  <si>
    <t>https://nafdacng.sharepoint.com/sites/PMSLAGOS/Shared Documents/GSDP (GOOD STORAGE AND DISTRIBUTION PRACTICE)/GSDP COMPANY FILES\ALL ROUND PHARMACY</t>
  </si>
  <si>
    <t>OCICAN PHARMACY &amp; STORES LTD.</t>
  </si>
  <si>
    <t>38, Kembiri Str.,Okokomaiko, Lagos</t>
  </si>
  <si>
    <t>08060298310; 08166520280</t>
  </si>
  <si>
    <t>The company should formally inform PCN and NAFDAC about the decision to shut down the facility.</t>
  </si>
  <si>
    <t>MEMO SHOULD BE SENT TO PCN</t>
  </si>
  <si>
    <t>https://nafdacng.sharepoint.com/sites/PMSLAGOS/Shared Documents/GSDP (GOOD STORAGE AND DISTRIBUTION PRACTICE)/GSDP COMPANY FILES\OCICAN PHARMACY &amp; STORES</t>
  </si>
  <si>
    <t>ALL SAINTS PHARM &amp; ALLIED PROD. INT’L LTD.</t>
  </si>
  <si>
    <t>16, Kajola Str., Ilogbo, Ajangbadi, Lagos</t>
  </si>
  <si>
    <t>08131673896; 08118665610</t>
  </si>
  <si>
    <t>June 14th, 2022</t>
  </si>
  <si>
    <t>https://nafdacng.sharepoint.com/sites/PMSLAGOS/Shared Documents/GSDP (GOOD STORAGE AND DISTRIBUTION PRACTICE)/GSDP COMPANY FILES\ALL SAINTS PHARM</t>
  </si>
  <si>
    <t xml:space="preserve">ANGANS PHARMACY </t>
  </si>
  <si>
    <t>79, Oba Ogoriola Street, Iba New Site, Iba, Lagos</t>
  </si>
  <si>
    <t>08136648581; 08033728845</t>
  </si>
  <si>
    <t>June 15th, 2022</t>
  </si>
  <si>
    <t>https://nafdacng.sharepoint.com/sites/PMSLAGOS/Shared Documents/GSDP (GOOD STORAGE AND DISTRIBUTION PRACTICE)/GSDP COMPANY FILES\ANGANS PHARMACY</t>
  </si>
  <si>
    <t>CEEMMAX PHARMACEUTICALS LTD</t>
  </si>
  <si>
    <t xml:space="preserve">18, Liasu Street, Igbo-Elerin, Iba, Lagos </t>
  </si>
  <si>
    <t xml:space="preserve">08052058800; 08063883661 </t>
  </si>
  <si>
    <t>https://nafdacng.sharepoint.com/sites/PMSLAGOS/Shared Documents/GSDP (GOOD STORAGE AND DISTRIBUTION PRACTICE)/GSDP COMPANY FILES\CEEMMAX PHARMACEUTICALS LTD</t>
  </si>
  <si>
    <t>HEPHZEBAH PHARM &amp; ALLIED PRODUCTS LTD</t>
  </si>
  <si>
    <t>2, Iyana Isashi Road.Okokomaiko, Lagos</t>
  </si>
  <si>
    <t>07030567572; 08037182557</t>
  </si>
  <si>
    <t>https://nafdacng.sharepoint.com/sites/PMSLAGOS/Shared Documents/GSDP (GOOD STORAGE AND DISTRIBUTION PRACTICE)/GSDP COMPANY FILES\HEPHZEBAH PHARM &amp; ALLIED PRODUCTS LTD</t>
  </si>
  <si>
    <t>MEEK MEDICAL CO. NIG. LTD</t>
  </si>
  <si>
    <t>64a, Ojo Igede Rd., Ojo, Lagos</t>
  </si>
  <si>
    <t>08030541298; 08037251955</t>
  </si>
  <si>
    <t>June 16th, 2022</t>
  </si>
  <si>
    <t>https://nafdacng.sharepoint.com/sites/PMSLAGOS/Shared Documents/GSDP (GOOD STORAGE AND DISTRIBUTION PRACTICE)/GSDP COMPANY FILES\MEEK MEDICAL CO. NIG LTD</t>
  </si>
  <si>
    <t>B-EMMANUEL PHARMACY</t>
  </si>
  <si>
    <t>13, Akinwunmi Str., Mushin, Lagos</t>
  </si>
  <si>
    <t>07069227731;   08037215675</t>
  </si>
  <si>
    <t>June 20th, 2022</t>
  </si>
  <si>
    <t>https://nafdacng.sharepoint.com/sites/PMSLAGOS/Shared Documents/GSDP (GOOD STORAGE AND DISTRIBUTION PRACTICE)/GSDP COMPANY FILES\B-EMMANUEL</t>
  </si>
  <si>
    <t>KRISPHINA PHARMACEUTICAL LTD</t>
  </si>
  <si>
    <t>44, Abiodun Str.,      Mushin, Lagos</t>
  </si>
  <si>
    <t>08064065588; 08179314379; 08179401376</t>
  </si>
  <si>
    <t>https://nafdacng.sharepoint.com/sites/PMSLAGOS/Shared Documents/GSDP (GOOD STORAGE AND DISTRIBUTION PRACTICE)/GSDP COMPANY FILES/KRISPHINA</t>
  </si>
  <si>
    <t>C.U. PEDRO PHARM. NIG. LTD</t>
  </si>
  <si>
    <t>11, Kelani Str., 
Off LUTH Rd, 
Mushin, Lagos</t>
  </si>
  <si>
    <t xml:space="preserve">07033269426; 09064888330 </t>
  </si>
  <si>
    <t>https://nafdacng.sharepoint.com/sites/PMSLAGOS/Shared Documents/GSDP (GOOD STORAGE AND DISTRIBUTION PRACTICE)/GSDP COMPANY FILES\CU PEDRO</t>
  </si>
  <si>
    <t>JUDE THADDY PHARMACY</t>
  </si>
  <si>
    <t>31, Oloje Street, Papa Ajao, Mushin, Lagos</t>
  </si>
  <si>
    <t>08039361119; 08038368689;</t>
  </si>
  <si>
    <t>https://nafdacng.sharepoint.com/sites/PMSLAGOS/Shared Documents/GSDP (GOOD STORAGE AND DISTRIBUTION PRACTICE)/GSDP COMPANY FILES\JUDE THADDY PHARMACY</t>
  </si>
  <si>
    <t>FRANPHINO PHARMACEUTICAL NIG. LTD</t>
  </si>
  <si>
    <t>44, Mosalashi Str., 
Mushin, Lagos</t>
  </si>
  <si>
    <t>08037560698; 08033020738; 08103503805</t>
  </si>
  <si>
    <t>June 21st, 2022</t>
  </si>
  <si>
    <t>https://nafdacng.sharepoint.com/sites/PMSLAGOS/Shared Documents/GSDP (GOOD STORAGE AND DISTRIBUTION PRACTICE)/GSDP COMPANY FILES\FRANPHINO PHARMACEUTICAL NIG LTD</t>
  </si>
  <si>
    <t>CHIDO PHARMACY</t>
  </si>
  <si>
    <t>37, Isolo Road,     Mushin, Lagos</t>
  </si>
  <si>
    <t>09079645535; 08039204656</t>
  </si>
  <si>
    <t>CAPA submitted on 10th February, 2023</t>
  </si>
  <si>
    <t>https://nafdacng.sharepoint.com/sites/PMSLAGOS/Shared Documents/GSDP (GOOD STORAGE AND DISTRIBUTION PRACTICE)/GSDP COMPANY FILES\CHARITY NWAIZU PHARM. CO. NIG. LTD</t>
  </si>
  <si>
    <t>DARUCHI PRODUCTS LTD</t>
  </si>
  <si>
    <t>81, Agege Motor Rd., Idi-Oro, Mushin, Lagos</t>
  </si>
  <si>
    <t>08033151343</t>
  </si>
  <si>
    <t>https://nafdacng.sharepoint.com/sites/PMSLAGOS/Shared Documents/GSDP (GOOD STORAGE AND DISTRIBUTION PRACTICE)/GSDP COMPANY FILES\DARUCH PHARMACY</t>
  </si>
  <si>
    <t>SABIZ NIG. LTD</t>
  </si>
  <si>
    <t>23, Adeyemi Street, Oshodi, Lagos</t>
  </si>
  <si>
    <t xml:space="preserve">07031840002; 08033022906 </t>
  </si>
  <si>
    <t>Sept 5th, 2022</t>
  </si>
  <si>
    <t>27/10/22</t>
  </si>
  <si>
    <t>CAPA submitted on 12th January, 2023</t>
  </si>
  <si>
    <t>https://nafdacng.sharepoint.com/sites/PMSLAGOS/Shared Documents/GSDP (GOOD STORAGE AND DISTRIBUTION PRACTICE)/GSDP COMPANY FILES\SABIZ PHARMACEUTICAL NIG LTD</t>
  </si>
  <si>
    <t>FENOMAS PHARM. NIG. LTD</t>
  </si>
  <si>
    <t>41, Daodu Street, Oshodi, Lagos</t>
  </si>
  <si>
    <t>08029943111; 09030503955</t>
  </si>
  <si>
    <t>https://nafdacng.sharepoint.com/sites/PMSLAGOS/Shared Documents/GSDP (GOOD STORAGE AND DISTRIBUTION PRACTICE)/GSDP COMPANY FILES\FENOMAS PHARMCEUTICAL NIG LTD</t>
  </si>
  <si>
    <t>U-N PHARMA SOLUTION LTD</t>
  </si>
  <si>
    <t>16 Church Street, Jakande Estate, Oke-Afa, Isolo, Lagos</t>
  </si>
  <si>
    <t>07066634629; 08106744910</t>
  </si>
  <si>
    <t>CAPA submitted on 25th November, 2022</t>
  </si>
  <si>
    <t>https://nafdacng.sharepoint.com/sites/PMSLAGOS/Shared Documents/GSDP (GOOD STORAGE AND DISTRIBUTION PRACTICE)/GSDP COMPANY FILES\U-N PHARMA SOLUTION LTD</t>
  </si>
  <si>
    <t>MULTICHARIS PHARM. &amp; CHEM. CO. LTD</t>
  </si>
  <si>
    <t>13, Qudus Folawiyo Str., Off Asiriabo Str., Isolo, Lagos</t>
  </si>
  <si>
    <t xml:space="preserve">08034316978; 08033072447 </t>
  </si>
  <si>
    <t>https://nafdacng.sharepoint.com/sites/PMSLAGOS/Shared Documents/GSDP (GOOD STORAGE AND DISTRIBUTION PRACTICE)/GSDP COMPANY FILES\MULTICHARIS PHARMACY &amp; CHEM</t>
  </si>
  <si>
    <t>ANTHILL INVESTMENTS LTD.</t>
  </si>
  <si>
    <t>3, Adekunle Akala Str., Ajao Est., Lagos</t>
  </si>
  <si>
    <t>NA</t>
  </si>
  <si>
    <t>FACILITY NOT FOUND</t>
  </si>
  <si>
    <t>A.F. UCHENNA PHARMACY LIMITED</t>
  </si>
  <si>
    <t>6, Aderinto Street, Isolo, Lagos</t>
  </si>
  <si>
    <t>07063838092; 08033057113</t>
  </si>
  <si>
    <t>CAPA submitted on January 12th, 2023</t>
  </si>
  <si>
    <t>https://nafdacng.sharepoint.com/sites/PMSLAGOS/Shared Documents/GSDP (GOOD STORAGE AND DISTRIBUTION PRACTICE)/GSDP COMPANY FILES/AF-UCHENNA PHARM</t>
  </si>
  <si>
    <t>MEEKY MOORE PHARM. LTD</t>
  </si>
  <si>
    <t>33, Akanni Showunmi Street, Mafoluku, Lagos.</t>
  </si>
  <si>
    <t>08034154424</t>
  </si>
  <si>
    <t>https://nafdacng.sharepoint.com/sites/PMSLAGOS/Shared Documents/GSDP (GOOD STORAGE AND DISTRIBUTION PRACTICE)/GSDP COMPANY FILES\MEEKY MORE PHARM LTD</t>
  </si>
  <si>
    <t>BRIGHT MEX PHARM. LTD</t>
  </si>
  <si>
    <t>47, Makinde Str., Mafoluku, Lagos</t>
  </si>
  <si>
    <t>08138540522; 08026186745</t>
  </si>
  <si>
    <t>CAPA submitted on December 12th, 2022</t>
  </si>
  <si>
    <t>https://nafdacng.sharepoint.com/sites/PMSLAGOS/Shared Documents/GSDP (GOOD STORAGE AND DISTRIBUTION PRACTICE)/GSDP COMPANY FILES\BRIGHT MEX</t>
  </si>
  <si>
    <t>JTL PHARMACEUTICAL CO. LTD</t>
  </si>
  <si>
    <t xml:space="preserve">8, Okuneye Street, off Pedro, 
Palmgrove, Lagos
</t>
  </si>
  <si>
    <t>08060201188</t>
  </si>
  <si>
    <t>Sept 6th, 2022</t>
  </si>
  <si>
    <t>https://nafdacng.sharepoint.com/sites/PMSLAGOS/Shared Documents/GSDP (GOOD STORAGE AND DISTRIBUTION PRACTICE)/GSDP COMPANY FILES\JTL PHARMACEUTICAL AND CO LTD</t>
  </si>
  <si>
    <t>MDS PHARMA LOGISTICS</t>
  </si>
  <si>
    <t>2, Ajao Rd., Off Adeniyi Jones, Ikeja, Lagos</t>
  </si>
  <si>
    <t>08069755150</t>
  </si>
  <si>
    <t>CAPA submitted on December 5th, 2022</t>
  </si>
  <si>
    <t>https://nafdacng.sharepoint.com/sites/PMSLAGOS/Shared Documents/GSDP (GOOD STORAGE AND DISTRIBUTION PRACTICE)/GSDP COMPANY FILES\MDS PHARMA LOGISTICS</t>
  </si>
  <si>
    <t>KEDOL HEALTH LTD</t>
  </si>
  <si>
    <t xml:space="preserve"> 94, Obafemi Awolowo Way, Ikeja, Lagos</t>
  </si>
  <si>
    <t>08033295298</t>
  </si>
  <si>
    <t>CAPA submitted on February 6th, 2023</t>
  </si>
  <si>
    <t>https://nafdacng.sharepoint.com/sites/PMSLAGOS/Shared Documents/GSDP (GOOD STORAGE AND DISTRIBUTION PRACTICE)/GSDP COMPANY FILES\KEDOL HEALTH PHARMACY</t>
  </si>
  <si>
    <t>ALLWAYS PHARMACY &amp; STORES LTD</t>
  </si>
  <si>
    <t>17, Ikosi Road, Oregun Industrial Est., Ikeja</t>
  </si>
  <si>
    <t>08060543578</t>
  </si>
  <si>
    <t>https://nafdacng.sharepoint.com/sites/PMSLAGOS/Shared Documents/GSDP (GOOD STORAGE AND DISTRIBUTION PRACTICE)/GSDP COMPANY FILES\ALLWAYS PHARMACY</t>
  </si>
  <si>
    <t>ABIROT PHARMA LTD.</t>
  </si>
  <si>
    <t>10, Mojidi Str., Off Unity Rd., Ikeja, Lagos</t>
  </si>
  <si>
    <t>08085599555</t>
  </si>
  <si>
    <t>Sept 7th, 2022</t>
  </si>
  <si>
    <t>Business is no longer in operations.</t>
  </si>
  <si>
    <t>https://nafdacng.sharepoint.com/sites/PMSLAGOS/Shared Documents/GSDP (GOOD STORAGE AND DISTRIBUTION PRACTICE)/GSDP COMPANY FILES\ABIROT</t>
  </si>
  <si>
    <t>AKU-UDO PHARMACY</t>
  </si>
  <si>
    <t>2, Segilola Street, Agege, Lagos</t>
  </si>
  <si>
    <t>08033279522;</t>
  </si>
  <si>
    <t>https://nafdacng.sharepoint.com/sites/PMSLAGOS/Shared Documents/GSDP (GOOD STORAGE AND DISTRIBUTION PRACTICE)/GSDP COMPANY FILES\AKU-UDO PHARMACY</t>
  </si>
  <si>
    <t>CA &amp; JO COMPANY LTD</t>
  </si>
  <si>
    <t>1, Alfa Nla Capitol Road, Agege, Lagos</t>
  </si>
  <si>
    <t>08139106555</t>
  </si>
  <si>
    <t>CAPA submitted on December 13th, 2022</t>
  </si>
  <si>
    <t>https://nafdacng.sharepoint.com/sites/PMSLAGOS/Shared Documents/GSDP (GOOD STORAGE AND DISTRIBUTION PRACTICE)/GSDP COMPANY FILES\CA AND JO PHARMACY</t>
  </si>
  <si>
    <t>JUDEX CHAMP PHARMACY &amp; STORES</t>
  </si>
  <si>
    <t xml:space="preserve">25, Adeyemi Street, 
Agege, Lagos
</t>
  </si>
  <si>
    <t>08033032468</t>
  </si>
  <si>
    <t>https://nafdacng.sharepoint.com/sites/PMSLAGOS/Shared Documents/GSDP (GOOD STORAGE AND DISTRIBUTION PRACTICE)/GSDP COMPANY FILES\JUDEX CHAMP PHARMACY</t>
  </si>
  <si>
    <t>CHARITY NWAIZU PHARM. CO. LTD</t>
  </si>
  <si>
    <t xml:space="preserve">71, Capitol Road, 
Agege, Lagos 
</t>
  </si>
  <si>
    <t>08134337863</t>
  </si>
  <si>
    <t>O.T.S. UNITED NIG. LTD</t>
  </si>
  <si>
    <t xml:space="preserve">2, Ayige Street, 
Orile-Agege, Lagos 
</t>
  </si>
  <si>
    <t>07065201033; 08180985654</t>
  </si>
  <si>
    <t>https://nafdacng.sharepoint.com/sites/PMSLAGOS/Shared Documents/GSDP (GOOD STORAGE AND DISTRIBUTION PRACTICE)/GSDP COMPANY FILES\OTS UNITED NIG LTD</t>
  </si>
  <si>
    <t>AZU PHARMACY LTD</t>
  </si>
  <si>
    <t xml:space="preserve">112, Ipaja Road, 
Alimosho, Lagos 
</t>
  </si>
  <si>
    <t>07033310202</t>
  </si>
  <si>
    <t>Sept 8th, 2022</t>
  </si>
  <si>
    <t>https://nafdacng.sharepoint.com/sites/PMSLAGOS/Shared Documents/GSDP (GOOD STORAGE AND DISTRIBUTION PRACTICE)/GSDP COMPANY FILES\AZU PHARMACY LTD</t>
  </si>
  <si>
    <t>ATIDAM PHARM. LTD</t>
  </si>
  <si>
    <t xml:space="preserve">1, Olayiwola Street, 
Off Charity Bus Stop, 
New Oko-Oba, Lagos
</t>
  </si>
  <si>
    <t>08039510463; 08033378445</t>
  </si>
  <si>
    <t>https://nafdacng.sharepoint.com/sites/PMSLAGOS/Shared Documents/GSDP (GOOD STORAGE AND DISTRIBUTION PRACTICE)/GSDP COMPANY FILES\ATIDAM</t>
  </si>
  <si>
    <t>BOLUKE PHARMACY</t>
  </si>
  <si>
    <t xml:space="preserve">60, Old Abeokuta Motor Road,
Agege, Lagos.
</t>
  </si>
  <si>
    <t>07061902283; 08051312824</t>
  </si>
  <si>
    <t>https://nafdacng.sharepoint.com/sites/PMSLAGOS/Shared Documents/GSDP (GOOD STORAGE AND DISTRIBUTION PRACTICE)/GSDP COMPANY FILES\BOLUKE PHARMACY</t>
  </si>
  <si>
    <t>ONEC PHARM. &amp; CHEM. CO. LTD</t>
  </si>
  <si>
    <t xml:space="preserve">6, Agbado Road,
Iju Ishaga, Agege,
Lagos.
</t>
  </si>
  <si>
    <t>08083886817</t>
  </si>
  <si>
    <t>CAPA submitted on December 6th, 2022</t>
  </si>
  <si>
    <t>https://nafdacng.sharepoint.com/sites/PMSLAGOS/Shared Documents/GSDP (GOOD STORAGE AND DISTRIBUTION PRACTICE)/GSDP COMPANY FILES\ONEC PHARM AND CHEM CO. LTD</t>
  </si>
  <si>
    <t>VICTORIOUS PHARMACY</t>
  </si>
  <si>
    <t xml:space="preserve">21 Old Oko Oba Road,
Orile-Agege, Lagos 
</t>
  </si>
  <si>
    <t>08138045214</t>
  </si>
  <si>
    <t>https://nafdacng.sharepoint.com/sites/PMSLAGOS/Shared Documents/GSDP (GOOD STORAGE AND DISTRIBUTION PRACTICE)/GSDP COMPANY FILES\VICTORIOUS PHARMACY LTD</t>
  </si>
  <si>
    <t>EZEUDO PHARMACY LTD</t>
  </si>
  <si>
    <t xml:space="preserve">54, Ogba Road,
Agege, Lagos
</t>
  </si>
  <si>
    <t>07038043035; 08023069540</t>
  </si>
  <si>
    <t>https://nafdacng.sharepoint.com/sites/PMSLAGOS/Shared Documents/GSDP (GOOD STORAGE AND DISTRIBUTION PRACTICE)/GSDP COMPANY FILES\EZEUDO PHARM LTD</t>
  </si>
  <si>
    <t>MEDITRADE NIG. LTD</t>
  </si>
  <si>
    <t xml:space="preserve">3 Salawu Street,
Olodi Apapa,
Apapa, Lagos.
</t>
  </si>
  <si>
    <t>07069634359</t>
  </si>
  <si>
    <t>Sept 9th, 2022</t>
  </si>
  <si>
    <t>https://nafdacng.sharepoint.com/sites/PMSLAGOS/Shared Documents/GSDP (GOOD STORAGE AND DISTRIBUTION PRACTICE)/GSDP COMPANY FILES\MEDITRADE NIG LTD</t>
  </si>
  <si>
    <t>MERCED PHARM. &amp; STORES</t>
  </si>
  <si>
    <t>36/60 OSHO DRIVE, OLODI APAPA, APAPA, LAGOS</t>
  </si>
  <si>
    <t>07062171433</t>
  </si>
  <si>
    <t>Facility should submit letter that formally informs PCN about their decision to change to a retail facility and notify the Agency officially.</t>
  </si>
  <si>
    <t>NIGERIAN AIRFORCE DRUG MANUFACTURING UNIT</t>
  </si>
  <si>
    <t xml:space="preserve">Airforce Base, Ikeja, Lagos State </t>
  </si>
  <si>
    <t>08035249622</t>
  </si>
  <si>
    <t>Oct 6th, 2022</t>
  </si>
  <si>
    <t>CAPA submitted on 30th January, 2023</t>
  </si>
  <si>
    <t>https://nafdacng.sharepoint.com/sites/PMSLAGOS/Shared Documents/GSDP (GOOD STORAGE AND DISTRIBUTION PRACTICE)/GSDP COMPANY FILES\NIGERIA AIRFORCE DRUG MANUFACTURING UNIT</t>
  </si>
  <si>
    <t>TOTAL = 54</t>
  </si>
  <si>
    <t xml:space="preserve"> </t>
  </si>
  <si>
    <t>COMPANY FFILE</t>
  </si>
  <si>
    <t>Count of CAPA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</si>
</sst>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mmmm\ d\,\ yyyy;@"/>
  </numFmts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rgb="FF00000A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Aptos Narrow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42424"/>
      <name val="Aptos Narrow"/>
      <family val="2"/>
    </font>
    <font>
      <b/>
      <sz val="16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17" fontId="0" fillId="0" borderId="0" xfId="0" applyNumberFormat="1" applyAlignment="1">
      <alignment vertical="center"/>
    </xf>
    <xf numFmtId="0" fontId="1" fillId="0" borderId="0" xfId="1" applyFill="1" applyAlignment="1"/>
    <xf numFmtId="0" fontId="1" fillId="0" borderId="0" xfId="1" applyBorder="1" applyAlignment="1">
      <alignment wrapText="1"/>
    </xf>
    <xf numFmtId="0" fontId="1" fillId="0" borderId="0" xfId="1" applyAlignment="1">
      <alignment vertical="center"/>
    </xf>
    <xf numFmtId="0" fontId="5" fillId="0" borderId="6" xfId="0" applyFont="1" applyBorder="1" applyAlignment="1">
      <alignment horizontal="left" wrapText="1"/>
    </xf>
    <xf numFmtId="0" fontId="6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1" fillId="0" borderId="0" xfId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left" wrapText="1"/>
    </xf>
    <xf numFmtId="0" fontId="8" fillId="0" borderId="6" xfId="0" applyFont="1" applyBorder="1" applyAlignment="1">
      <alignment horizontal="left"/>
    </xf>
    <xf numFmtId="0" fontId="1" fillId="0" borderId="0" xfId="1" applyNumberFormat="1" applyBorder="1" applyAlignment="1">
      <alignment wrapText="1"/>
    </xf>
    <xf numFmtId="0" fontId="8" fillId="0" borderId="6" xfId="0" applyFont="1" applyBorder="1" applyAlignment="1">
      <alignment wrapText="1"/>
    </xf>
    <xf numFmtId="49" fontId="8" fillId="0" borderId="6" xfId="0" applyNumberFormat="1" applyFont="1" applyBorder="1" applyAlignment="1">
      <alignment horizontal="left" wrapText="1"/>
    </xf>
    <xf numFmtId="0" fontId="9" fillId="0" borderId="6" xfId="0" applyFont="1" applyBorder="1" applyAlignment="1">
      <alignment wrapText="1"/>
    </xf>
    <xf numFmtId="0" fontId="6" fillId="0" borderId="6" xfId="0" applyFont="1" applyBorder="1" applyAlignment="1">
      <alignment horizontal="left" vertical="center"/>
    </xf>
    <xf numFmtId="49" fontId="6" fillId="0" borderId="6" xfId="0" applyNumberFormat="1" applyFont="1" applyBorder="1" applyAlignment="1">
      <alignment wrapText="1"/>
    </xf>
    <xf numFmtId="49" fontId="6" fillId="0" borderId="7" xfId="0" applyNumberFormat="1" applyFont="1" applyBorder="1" applyAlignment="1">
      <alignment wrapText="1"/>
    </xf>
    <xf numFmtId="0" fontId="1" fillId="0" borderId="0" xfId="1" applyAlignment="1"/>
    <xf numFmtId="0" fontId="8" fillId="0" borderId="6" xfId="0" applyFont="1" applyBorder="1" applyAlignment="1">
      <alignment vertical="center" wrapText="1"/>
    </xf>
    <xf numFmtId="14" fontId="10" fillId="0" borderId="6" xfId="0" applyNumberFormat="1" applyFont="1" applyBorder="1" applyAlignment="1">
      <alignment vertical="center"/>
    </xf>
    <xf numFmtId="14" fontId="10" fillId="0" borderId="0" xfId="0" applyNumberFormat="1" applyFont="1" applyAlignment="1">
      <alignment vertical="center"/>
    </xf>
    <xf numFmtId="0" fontId="11" fillId="0" borderId="6" xfId="0" applyFont="1" applyBorder="1"/>
    <xf numFmtId="0" fontId="0" fillId="0" borderId="0" xfId="0" applyAlignment="1">
      <alignment vertical="center" wrapText="1"/>
    </xf>
    <xf numFmtId="0" fontId="0" fillId="0" borderId="0" xfId="0" pivotButton="1"/>
    <xf numFmtId="0" fontId="1" fillId="0" borderId="0" xfId="1"/>
    <xf numFmtId="14" fontId="0" fillId="0" borderId="0" xfId="0" applyNumberFormat="1" applyAlignment="1">
      <alignment vertical="center"/>
    </xf>
    <xf numFmtId="0" fontId="0" fillId="0" borderId="6" xfId="0" applyBorder="1"/>
    <xf numFmtId="0" fontId="1" fillId="0" borderId="6" xfId="1" applyBorder="1" applyAlignment="1">
      <alignment wrapText="1"/>
    </xf>
    <xf numFmtId="17" fontId="0" fillId="0" borderId="6" xfId="0" applyNumberFormat="1" applyBorder="1" applyAlignment="1">
      <alignment vertical="center"/>
    </xf>
    <xf numFmtId="0" fontId="1" fillId="0" borderId="6" xfId="1" applyBorder="1"/>
    <xf numFmtId="0" fontId="1" fillId="0" borderId="6" xfId="1" applyFill="1" applyBorder="1" applyAlignment="1"/>
    <xf numFmtId="0" fontId="1" fillId="0" borderId="6" xfId="1" applyBorder="1" applyAlignment="1">
      <alignment vertical="center"/>
    </xf>
    <xf numFmtId="0" fontId="1" fillId="0" borderId="7" xfId="1" applyBorder="1" applyAlignment="1">
      <alignment wrapText="1"/>
    </xf>
    <xf numFmtId="0" fontId="0" fillId="0" borderId="3" xfId="0" applyBorder="1" applyAlignment="1">
      <alignment vertical="center"/>
    </xf>
    <xf numFmtId="0" fontId="0" fillId="0" borderId="9" xfId="0" applyBorder="1"/>
    <xf numFmtId="0" fontId="1" fillId="0" borderId="10" xfId="1" applyBorder="1" applyAlignment="1">
      <alignment wrapText="1"/>
    </xf>
    <xf numFmtId="0" fontId="1" fillId="0" borderId="7" xfId="1" applyFill="1" applyBorder="1" applyAlignment="1"/>
    <xf numFmtId="0" fontId="1" fillId="0" borderId="9" xfId="1" applyBorder="1" applyAlignment="1">
      <alignment wrapText="1"/>
    </xf>
    <xf numFmtId="0" fontId="1" fillId="0" borderId="6" xfId="1" applyBorder="1" applyAlignment="1"/>
    <xf numFmtId="0" fontId="1" fillId="0" borderId="7" xfId="1" applyNumberFormat="1" applyBorder="1" applyAlignment="1">
      <alignment wrapText="1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left" wrapText="1"/>
    </xf>
    <xf numFmtId="0" fontId="8" fillId="0" borderId="9" xfId="0" applyFont="1" applyBorder="1" applyAlignment="1">
      <alignment horizontal="left"/>
    </xf>
    <xf numFmtId="0" fontId="6" fillId="0" borderId="9" xfId="0" applyFont="1" applyBorder="1" applyAlignment="1">
      <alignment horizontal="left" vertical="center"/>
    </xf>
    <xf numFmtId="14" fontId="10" fillId="0" borderId="9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wrapText="1"/>
    </xf>
    <xf numFmtId="0" fontId="1" fillId="0" borderId="9" xfId="1" applyBorder="1" applyAlignment="1">
      <alignment vertical="center"/>
    </xf>
    <xf numFmtId="0" fontId="1" fillId="0" borderId="10" xfId="1" applyNumberFormat="1" applyBorder="1" applyAlignment="1">
      <alignment wrapText="1"/>
    </xf>
    <xf numFmtId="14" fontId="10" fillId="0" borderId="9" xfId="0" applyNumberFormat="1" applyFont="1" applyBorder="1"/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 wrapText="1"/>
    </xf>
    <xf numFmtId="49" fontId="4" fillId="0" borderId="6" xfId="0" applyNumberFormat="1" applyFont="1" applyBorder="1" applyAlignment="1">
      <alignment wrapText="1"/>
    </xf>
    <xf numFmtId="164" fontId="4" fillId="0" borderId="6" xfId="0" applyNumberFormat="1" applyFont="1" applyBorder="1"/>
    <xf numFmtId="14" fontId="4" fillId="0" borderId="6" xfId="0" applyNumberFormat="1" applyFont="1" applyBorder="1"/>
    <xf numFmtId="0" fontId="4" fillId="0" borderId="6" xfId="0" applyFont="1" applyBorder="1" applyAlignment="1">
      <alignment horizontal="left" vertical="center" wrapText="1"/>
    </xf>
    <xf numFmtId="165" fontId="4" fillId="0" borderId="6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wrapText="1"/>
    </xf>
    <xf numFmtId="0" fontId="4" fillId="0" borderId="5" xfId="0" applyFont="1" applyBorder="1" applyAlignment="1">
      <alignment vertical="center"/>
    </xf>
    <xf numFmtId="49" fontId="4" fillId="0" borderId="6" xfId="0" applyNumberFormat="1" applyFont="1" applyBorder="1"/>
    <xf numFmtId="0" fontId="4" fillId="0" borderId="6" xfId="0" applyFont="1" applyBorder="1"/>
    <xf numFmtId="17" fontId="4" fillId="0" borderId="7" xfId="0" applyNumberFormat="1" applyFont="1" applyBorder="1" applyAlignment="1">
      <alignment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/>
    </xf>
    <xf numFmtId="16" fontId="4" fillId="0" borderId="7" xfId="0" applyNumberFormat="1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4" fillId="0" borderId="6" xfId="0" applyNumberFormat="1" applyFont="1" applyBorder="1" applyAlignment="1">
      <alignment wrapText="1"/>
    </xf>
    <xf numFmtId="14" fontId="4" fillId="0" borderId="6" xfId="0" applyNumberFormat="1" applyFont="1" applyBorder="1" applyAlignment="1">
      <alignment horizontal="left" vertical="center" wrapText="1"/>
    </xf>
    <xf numFmtId="14" fontId="4" fillId="0" borderId="6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left" wrapText="1"/>
    </xf>
    <xf numFmtId="49" fontId="4" fillId="0" borderId="9" xfId="0" applyNumberFormat="1" applyFont="1" applyBorder="1"/>
    <xf numFmtId="0" fontId="4" fillId="0" borderId="9" xfId="0" applyFont="1" applyBorder="1"/>
    <xf numFmtId="14" fontId="4" fillId="0" borderId="9" xfId="0" applyNumberFormat="1" applyFont="1" applyBorder="1"/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17" fontId="4" fillId="0" borderId="6" xfId="0" applyNumberFormat="1" applyFont="1" applyBorder="1" applyAlignment="1">
      <alignment wrapText="1"/>
    </xf>
    <xf numFmtId="0" fontId="4" fillId="0" borderId="9" xfId="0" applyFont="1" applyBorder="1" applyAlignment="1">
      <alignment vertical="center" wrapText="1"/>
    </xf>
    <xf numFmtId="165" fontId="4" fillId="0" borderId="9" xfId="0" applyNumberFormat="1" applyFont="1" applyBorder="1" applyAlignment="1">
      <alignment horizontal="left" vertical="center" wrapText="1"/>
    </xf>
    <xf numFmtId="17" fontId="4" fillId="0" borderId="9" xfId="0" applyNumberFormat="1" applyFont="1" applyBorder="1" applyAlignment="1">
      <alignment wrapText="1"/>
    </xf>
    <xf numFmtId="16" fontId="4" fillId="0" borderId="6" xfId="0" applyNumberFormat="1" applyFont="1" applyBorder="1" applyAlignment="1">
      <alignment wrapText="1"/>
    </xf>
    <xf numFmtId="0" fontId="4" fillId="0" borderId="8" xfId="0" applyFont="1" applyBorder="1"/>
    <xf numFmtId="164" fontId="8" fillId="0" borderId="6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4"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22" formatCode="mmm\-yy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numFmt numFmtId="19" formatCode="m/d/yyyy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22" formatCode="mmm\-yy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22" formatCode="mmm\-yy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22" formatCode="mmm\-yy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22" formatCode="mmm\-yy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5" formatCode="[$-409]mmmm\ d\,\ yyyy;@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alignment horizontal="general" vertical="bottom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RISK CATEGORIZATION OF INSPECTED FACILITIES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'[1]VISUAL DATA'!$D$3</c:f>
              <c:strCache>
                <c:ptCount val="1"/>
                <c:pt idx="0">
                  <c:v>Count of FINDINGS</c:v>
                </c:pt>
              </c:strCache>
            </c:strRef>
          </c:tx>
          <c:spPr>
            <a:solidFill>
              <a:srgbClr val="145F8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CC0-45D1-ADD4-46F197E96E2E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CC0-45D1-ADD4-46F197E96E2E}"/>
              </c:ext>
            </c:extLst>
          </c:dPt>
          <c:dPt>
            <c:idx val="2"/>
            <c:invertIfNegative val="1"/>
            <c:bubble3D val="0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BCC0-45D1-ADD4-46F197E96E2E}"/>
              </c:ext>
            </c:extLst>
          </c:dPt>
          <c:dPt>
            <c:idx val="3"/>
            <c:invertIfNegative val="1"/>
            <c:bubble3D val="0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BCC0-45D1-ADD4-46F197E96E2E}"/>
              </c:ext>
            </c:extLst>
          </c:dPt>
          <c:cat>
            <c:strRef>
              <c:f>'[1]VISUAL DATA'!$C$4:$C$7</c:f>
              <c:strCache>
                <c:ptCount val="4"/>
                <c:pt idx="0">
                  <c:v>High-Risk (C)</c:v>
                </c:pt>
                <c:pt idx="1">
                  <c:v>Low-Risk (A)</c:v>
                </c:pt>
                <c:pt idx="2">
                  <c:v>Medium-Risk (B)</c:v>
                </c:pt>
                <c:pt idx="3">
                  <c:v>N/A</c:v>
                </c:pt>
              </c:strCache>
            </c:strRef>
          </c:cat>
          <c:val>
            <c:numRef>
              <c:f>'[1]VISUAL DATA'!$D$4:$D$7</c:f>
              <c:numCache>
                <c:formatCode>General</c:formatCode>
                <c:ptCount val="4"/>
                <c:pt idx="0">
                  <c:v>23</c:v>
                </c:pt>
                <c:pt idx="1">
                  <c:v>8</c:v>
                </c:pt>
                <c:pt idx="2">
                  <c:v>19</c:v>
                </c:pt>
                <c:pt idx="3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BCC0-45D1-ADD4-46F197E96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6422940"/>
        <c:axId val="1169676274"/>
      </c:barChart>
      <c:catAx>
        <c:axId val="1376422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RISK CATEGORIZATION</a:t>
                </a:r>
              </a:p>
            </c:rich>
          </c:tx>
          <c:layout>
            <c:manualLayout>
              <c:xMode val="edge"/>
              <c:yMode val="edge"/>
              <c:x val="0.11591666666666667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9676274"/>
        <c:crosses val="autoZero"/>
        <c:auto val="1"/>
        <c:lblAlgn val="ctr"/>
        <c:lblOffset val="100"/>
        <c:noMultiLvlLbl val="1"/>
      </c:catAx>
      <c:valAx>
        <c:axId val="1169676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 of FINDINGS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64229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24</xdr:row>
      <xdr:rowOff>133350</xdr:rowOff>
    </xdr:to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A48F18E4-7B0A-4160-B324-2EC6EE269A8D}"/>
            </a:ext>
            <a:ext uri="{147F2762-F138-4A5C-976F-8EAC2B608ADB}">
              <a16:predDERef xmlns:a16="http://schemas.microsoft.com/office/drawing/2014/main" pred="{18130584-FEA8-2938-C263-F81636D10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257175</xdr:colOff>
      <xdr:row>0</xdr:row>
      <xdr:rowOff>123825</xdr:rowOff>
    </xdr:from>
    <xdr:to>
      <xdr:col>22</xdr:col>
      <xdr:colOff>238125</xdr:colOff>
      <xdr:row>25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F90206-85CC-4DEB-87C8-F5E0AD648502}"/>
            </a:ext>
            <a:ext uri="{147F2762-F138-4A5C-976F-8EAC2B608ADB}">
              <a16:predDERef xmlns:a16="http://schemas.microsoft.com/office/drawing/2014/main" pred="{A48F18E4-7B0A-4160-B324-2EC6EE269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5275" y="123825"/>
          <a:ext cx="8515350" cy="472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SDP%20INSPECTED%20FACILITIES%20202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 DATA"/>
      <sheetName val="Sheet2 (2)"/>
      <sheetName val="INSPECTED FACILITIES 2022"/>
    </sheetNames>
    <sheetDataSet>
      <sheetData sheetId="0">
        <row r="3">
          <cell r="D3" t="str">
            <v>Count of FINDINGS</v>
          </cell>
        </row>
        <row r="4">
          <cell r="C4" t="str">
            <v>High-Risk (C)</v>
          </cell>
          <cell r="D4">
            <v>23</v>
          </cell>
        </row>
        <row r="5">
          <cell r="C5" t="str">
            <v>Low-Risk (A)</v>
          </cell>
          <cell r="D5">
            <v>8</v>
          </cell>
        </row>
        <row r="6">
          <cell r="C6" t="str">
            <v>Medium-Risk (B)</v>
          </cell>
          <cell r="D6">
            <v>19</v>
          </cell>
        </row>
        <row r="7">
          <cell r="C7" t="str">
            <v>N/A</v>
          </cell>
          <cell r="D7">
            <v>4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8.01484340278" createdVersion="8" refreshedVersion="8" minRefreshableVersion="3" recordCount="58" xr:uid="{8227A816-CD4F-4449-956B-25E4202BF563}">
  <cacheSource type="worksheet">
    <worksheetSource name="Table33"/>
  </cacheSource>
  <cacheFields count="14">
    <cacheField name="S/N" numFmtId="0">
      <sharedItems containsString="0" containsBlank="1" containsNumber="1" containsInteger="1" minValue="1" maxValue="54"/>
    </cacheField>
    <cacheField name="NAME OF MANUFACTURER" numFmtId="0">
      <sharedItems containsBlank="1"/>
    </cacheField>
    <cacheField name="LOCATION ADDRESS" numFmtId="0">
      <sharedItems containsBlank="1"/>
    </cacheField>
    <cacheField name="CONTACT" numFmtId="0">
      <sharedItems containsBlank="1"/>
    </cacheField>
    <cacheField name="TYPE OF LAST INSPECTION" numFmtId="0">
      <sharedItems containsBlank="1"/>
    </cacheField>
    <cacheField name="DATE OF LAST INSPECTION" numFmtId="0">
      <sharedItems containsBlank="1"/>
    </cacheField>
    <cacheField name="FINDINGS" numFmtId="0">
      <sharedItems containsBlank="1" count="5">
        <s v="Medium-Risk (B)"/>
        <s v="High-Risk (C)"/>
        <s v="Low-Risk (A)"/>
        <s v="N/A"/>
        <m/>
      </sharedItems>
    </cacheField>
    <cacheField name="CAPA ISSUED DATE" numFmtId="0">
      <sharedItems containsDate="1" containsBlank="1" containsMixedTypes="1" minDate="2022-04-05T00:00:00" maxDate="2022-12-05T00:00:00"/>
    </cacheField>
    <cacheField name="CAPA SUBMITTED" numFmtId="0">
      <sharedItems containsBlank="1" count="4">
        <s v="NO"/>
        <s v="YES"/>
        <s v="N/A"/>
        <m/>
      </sharedItems>
    </cacheField>
    <cacheField name="CONCLUSION" numFmtId="0">
      <sharedItems containsBlank="1"/>
    </cacheField>
    <cacheField name="REMARKS" numFmtId="0">
      <sharedItems containsBlank="1"/>
    </cacheField>
    <cacheField name="EXPECTED DATE OF INSPECTION" numFmtId="0">
      <sharedItems containsNonDate="0" containsDate="1" containsString="0" containsBlank="1" minDate="2022-06-01T00:00:00" maxDate="2024-09-02T00:00:00"/>
    </cacheField>
    <cacheField name="COMPANY FILE" numFmtId="0">
      <sharedItems containsBlank="1"/>
    </cacheField>
    <cacheField name="OMPANY FFI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1"/>
    <s v="IKON PHARM NIG LTD"/>
    <s v="No. 2, Market Road, Ijanikin, Lagos"/>
    <s v="08033195876; 08037663759"/>
    <s v="GDP"/>
    <s v="22nd March, 2022"/>
    <x v="0"/>
    <d v="2022-04-05T00:00:00"/>
    <x v="0"/>
    <s v="CAPA to be submitted"/>
    <s v="REMINDER LETTER SHOULD BE SENT"/>
    <d v="2023-04-01T00:00:00"/>
    <s v="https://nafdacng.sharepoint.com/sites/PMSLAGOS/Shared Documents/GDP (GOOD DISTRIBUTION PRATICE)/GSDP COMPANY FILES\IKON PHARM NIG LTD"/>
    <s v="IKON PHARM NIG LTD"/>
  </r>
  <r>
    <n v="2"/>
    <s v="IKON PHARM NIG LTD (BRANCH)"/>
    <s v="Along Igando/Okoafa, Opp C&amp;S Church, Okoafa, Badagry, Lagos"/>
    <s v="08035740038"/>
    <s v="GDP"/>
    <s v="22nd March, 2022"/>
    <x v="0"/>
    <d v="2022-04-05T00:00:00"/>
    <x v="0"/>
    <s v="CAPA to be submitted"/>
    <s v="REMINDER LETTER SHOULD BE SENT"/>
    <d v="2023-04-01T00:00:00"/>
    <s v="https://nafdacng.sharepoint.com/sites/PMSLAGOS/Shared Documents/GDP (GOOD DISTRIBUTION PRATICE)/GSDP COMPANY FILES\IKON PHARM NIG LTD"/>
    <s v="IKON PHARM NIG LTD (BRANCH)"/>
  </r>
  <r>
    <n v="3"/>
    <s v="YANKEE PHARM CO.NIG LTD"/>
    <s v="69, Zoglo Road, Badagry, Lagos"/>
    <s v="08145129325"/>
    <s v="GDP"/>
    <s v="22nd March, 2022"/>
    <x v="0"/>
    <d v="2022-04-05T00:00:00"/>
    <x v="1"/>
    <s v="CAPA submitted on February 22nd, 2023"/>
    <s v="CAPA VERIFICATIO SHOULD BE SCHEDULED"/>
    <d v="2023-04-01T00:00:00"/>
    <s v="https://nafdacng.sharepoint.com/sites/PMSLAGOS/Shared Documents/GDP (GOOD DISTRIBUTION PRATICE)/GSDP COMPANY FILES\YENKEE PHARM"/>
    <s v="YANKEE PHARM CO.NIG LTD"/>
  </r>
  <r>
    <n v="4"/>
    <s v="ESTYBEE PHARM LTD"/>
    <s v="Ajara Vetho Chief Port Junction, Badagry, Lagos"/>
    <s v="08130918949"/>
    <s v="GDP"/>
    <s v="22nd March, 2022"/>
    <x v="0"/>
    <d v="2022-04-05T00:00:00"/>
    <x v="1"/>
    <s v="CAPA  submitted"/>
    <s v="CAPA VERIFICATIO SHOULD BE SCHEDULED"/>
    <d v="2023-04-01T00:00:00"/>
    <s v="https://nafdacng.sharepoint.com/sites/PMSLAGOS/Shared Documents/GDP (GOOD DISTRIBUTION PRATICE)/GSDP COMPANY FILES\ESTYBEE PHARM LTD"/>
    <s v="ESTYBEE PHARM LTD"/>
  </r>
  <r>
    <n v="5"/>
    <s v="BENATO PHARM LTD"/>
    <s v="No. 31, Turner Street, Mosafejo Bus-Stop, Amukoko, Lagos"/>
    <s v="08029475250"/>
    <s v="GDP"/>
    <s v="23rd March, 2022"/>
    <x v="0"/>
    <d v="2022-04-05T00:00:00"/>
    <x v="1"/>
    <s v="CAPA  submitted"/>
    <s v="CAPA VERIFICATIO SHOULD BE SCHEDULED"/>
    <d v="2023-04-01T00:00:00"/>
    <s v="https://nafdacng.sharepoint.com/sites/PMSLAGOS/Shared Documents/GDP (GOOD DISTRIBUTION PRATICE)/GSDP COMPANY FILES\BARNAETO PHARM"/>
    <s v="BENATO PHARM LTD"/>
  </r>
  <r>
    <n v="6"/>
    <s v="TIBRO PHARM CO. LTD"/>
    <s v="35, Olumokun Street, Amukoko, Lagos"/>
    <s v="09023901746"/>
    <s v="GDP"/>
    <s v="23rd March, 2022"/>
    <x v="1"/>
    <d v="2022-04-05T00:00:00"/>
    <x v="0"/>
    <s v="CAPA to be submitted"/>
    <s v="REMINDER LETTER SHOULD BE SENT"/>
    <d v="2022-10-01T00:00:00"/>
    <s v="https://nafdacng.sharepoint.com/sites/PMSLAGOS/Shared Documents/GDP (GOOD DISTRIBUTION PRATICE)/GSDP COMPANY FILES\TIBROS PHARM"/>
    <s v="TIBRO PHARM CO. LTD"/>
  </r>
  <r>
    <n v="7"/>
    <s v="LIFE POINT PHARM LTD"/>
    <s v="20/21, Alaba, Oro Road, Amukoko, Lagos"/>
    <s v="07033573790"/>
    <s v="GDP"/>
    <s v="23rd March, 2022"/>
    <x v="0"/>
    <d v="2022-04-05T00:00:00"/>
    <x v="0"/>
    <s v="CAPA to be submitted"/>
    <s v="REMINDER LETTER SHOULD BE SENT"/>
    <d v="2023-04-01T00:00:00"/>
    <s v="https://nafdacng.sharepoint.com/sites/PMSLAGOS/Shared Documents/GDP (GOOD DISTRIBUTION PRATICE)/GSDP COMPANY FILES\LIFE POINT PHARM LTD"/>
    <s v="LIFE POINT PHARM LTD"/>
  </r>
  <r>
    <n v="8"/>
    <s v="E.CLEMS PHARMACY"/>
    <s v="34, Shibiri Road, Ilemba, Awori Ojo, Lagos"/>
    <s v="08030635990"/>
    <s v="GDP"/>
    <s v="24th March, 2022"/>
    <x v="1"/>
    <d v="2022-04-05T00:00:00"/>
    <x v="0"/>
    <s v="CAPA to be submitted"/>
    <s v="REMINDER LETTER SHOULD BE SENT"/>
    <d v="2022-10-01T00:00:00"/>
    <m/>
    <s v=""/>
  </r>
  <r>
    <n v="9"/>
    <s v="GEMINI PHARMACEUTICALS NIGERIA LTD"/>
    <s v="Plot 13, Block A, Industrial Estate Amuwo Odofin, Apapa Oshodi Expressway, Lagos"/>
    <s v="08023535173"/>
    <s v="GDP"/>
    <s v="24th March, 2022"/>
    <x v="0"/>
    <d v="2022-04-05T00:00:00"/>
    <x v="1"/>
    <s v="CAPA submitted on June 15th, 2022"/>
    <s v="CAPA VERIFICATIO SHOULD BE SCHEDULED"/>
    <d v="2023-04-01T00:00:00"/>
    <s v="https://nafdacng.sharepoint.com/sites/PMSLAGOS/Shared Documents/GDP (GOOD DISTRIBUTION PRATICE)/GSDP COMPANY FILES\GEMININI PHARMACEUTICALS NIG LTD"/>
    <s v="GEMINI PHARMACEUTICALS NIGERIA LTD"/>
  </r>
  <r>
    <n v="10"/>
    <s v="EMZOR PHARMACEUTICAL INDUSTRIES LTD"/>
    <s v="Km 42, Lekki-Epe Expressway, Oribanwa Bus-Stop, Lakowe, Ibeju Lekki, Lagos"/>
    <s v="08034749100"/>
    <s v="GDP"/>
    <s v="26th April, 2022"/>
    <x v="2"/>
    <s v="15th may 2022"/>
    <x v="1"/>
    <s v="CAPA submitted on February 15th, 2023"/>
    <s v="CAPA VERIFICATIO SHOULD BE SCHEDULED"/>
    <d v="2024-05-01T00:00:00"/>
    <s v="https://nafdacng.sharepoint.com/sites/PMSLAGOS/Shared Documents/GDP (GOOD DISTRIBUTION PRATICE)/GSDP COMPANY FILES\EMZOR PHARMACEUTICALS"/>
    <s v="EMZOR PHARMACEUTICAL INDUSTRIES LTD"/>
  </r>
  <r>
    <n v="11"/>
    <s v="SAFCO MEGA SOLUTION LTD"/>
    <s v="Plot 6A, Ogombe Road, Off Lekki Expressway, Lagos"/>
    <s v="08034243222"/>
    <s v="GDP"/>
    <s v="26th April, 2022"/>
    <x v="2"/>
    <s v="15th may 2022"/>
    <x v="1"/>
    <s v="CAPA submitted June 21st, 2022"/>
    <s v="CAPA VERIFICATIO SHOULD BE SCHEDULED"/>
    <d v="2024-05-01T00:00:00"/>
    <s v="https://nafdacng.sharepoint.com/sites/PMSLAGOS/Shared Documents/GDP (GOOD DISTRIBUTION PRATICE)/GSDP COMPANY FILES\SAFCO MEGA SOLUTION LTD"/>
    <s v="SAFCO MEGA SOLUTION LTD"/>
  </r>
  <r>
    <n v="12"/>
    <s v="ELFIMO PHARMACY LTD"/>
    <s v="Shop H94, Ikota Shopping Complex, Lekki, Lagos."/>
    <s v="08022904546"/>
    <s v="GDP"/>
    <s v="26th April, 2022"/>
    <x v="1"/>
    <s v="18th January 2022"/>
    <x v="1"/>
    <s v="CAPA submitted June 10th, 2022"/>
    <m/>
    <d v="2022-06-01T00:00:00"/>
    <s v="https://nafdacng.sharepoint.com/sites/PMSLAGOS/Shared Documents/GDP (GOOD DISTRIBUTION PRATICE)/GSDP COMPANY FILES\ELFIMO PHARMACY LTD"/>
    <s v="ELFIMO PHARMACY LTD"/>
  </r>
  <r>
    <n v="13"/>
    <s v="ANOBS PHARMACY &amp; STORES LTD"/>
    <s v="1, Karim Str., Shibiri, Ojo, Lagos"/>
    <s v="08032614939;  08033799283"/>
    <s v="GDP"/>
    <s v="June 9th, 2022"/>
    <x v="0"/>
    <s v="24/06/22"/>
    <x v="0"/>
    <s v="CAPA to be submitted"/>
    <s v="REMINDER LETTER SHOULD BE SENT"/>
    <d v="2023-06-01T00:00:00"/>
    <s v="https://nafdacng.sharepoint.com/sites/PMSLAGOS/Shared Documents/GDP (GOOD DISTRIBUTION PRATICE)/GSDP COMPANY FILES\ANOBS PHARMACY AND STORES LIMITED"/>
    <s v="ANOBS PHARMACY &amp; STORES LTD"/>
  </r>
  <r>
    <n v="14"/>
    <s v="ALL ROUND HEALTH LTD"/>
    <s v="96, Isashi Road, Oluwaseyi B/Stop, Iyana Isashi, Lagos"/>
    <s v="07036371437; 08037162967"/>
    <s v="GDP"/>
    <s v="June 10th, 2022"/>
    <x v="0"/>
    <s v="21/09/22"/>
    <x v="1"/>
    <s v="CAPA submitted 14th, March, 2023"/>
    <s v="CAPA VERIFICATIO SHOULD BE SCHEDULED"/>
    <d v="2023-06-01T00:00:00"/>
    <s v="https://nafdacng.sharepoint.com/sites/PMSLAGOS/Shared Documents/GDP (GOOD DISTRIBUTION PRATICE)/GSDP COMPANY FILES\ALL ROUND PHARMACY"/>
    <s v="ALL ROUND HEALTH LTD"/>
  </r>
  <r>
    <n v="15"/>
    <s v="OCICAN PHARMACY &amp; STORES LTD."/>
    <s v="38, Kembiri Str.,Okokomaiko, Lagos"/>
    <s v="08060298310; 08166520280"/>
    <s v="GDP"/>
    <s v="June 10th, 2022"/>
    <x v="3"/>
    <s v="N/A"/>
    <x v="0"/>
    <s v="The company should formally inform PCN and NAFDAC about the decision to shut down the facility."/>
    <s v="MEMO SHOULD BE SENT TO PCN"/>
    <m/>
    <s v="https://nafdacng.sharepoint.com/sites/PMSLAGOS/Shared Documents/GDP (GOOD DISTRIBUTION PRATICE)/GSDP COMPANY FILES\OCICAN PHARMACY &amp; STORES"/>
    <s v="OCICAN PHARMACY &amp; STORES LTD."/>
  </r>
  <r>
    <n v="16"/>
    <s v="ALL SAINTS PHARM &amp; ALLIED PROD. INT’L LTD."/>
    <s v="16, Kajola Str., Ilogbo, Ajangbadi, Lagos"/>
    <s v="08131673896; 08118665610"/>
    <s v="GDP"/>
    <s v="June 14th, 2022"/>
    <x v="0"/>
    <s v="21/09/22"/>
    <x v="1"/>
    <s v="CAPA to be submitted"/>
    <s v="CAPA VERIFICATION SHOULD BE SCHEDULED"/>
    <d v="2023-06-01T00:00:00"/>
    <s v="https://nafdacng.sharepoint.com/sites/PMSLAGOS/Shared Documents/GDP (GOOD DISTRIBUTION PRATICE)/GSDP COMPANY FILES\ALL SAINTS PHARM"/>
    <s v="ALL SAINTS PHARM &amp; ALLIED PROD. INT’L LTD."/>
  </r>
  <r>
    <n v="17"/>
    <s v="ANGANS PHARMACY "/>
    <s v="79, Oba Ogoriola Street, Iba New Site, Iba, Lagos"/>
    <s v="08136648581; 08033728845"/>
    <s v="GDP"/>
    <s v="June 15th, 2022"/>
    <x v="0"/>
    <s v="24/06/22"/>
    <x v="0"/>
    <s v="CAPA to be submitted"/>
    <s v="REMINDER LETTER SHOULD BE SENT"/>
    <d v="2023-06-01T00:00:00"/>
    <s v="https://nafdacng.sharepoint.com/sites/PMSLAGOS/Shared Documents/GDP (GOOD DISTRIBUTION PRATICE)/GSDP COMPANY FILES\ANGANS PHARMACY"/>
    <s v="ANGANS PHARMACY "/>
  </r>
  <r>
    <n v="18"/>
    <s v="CEEMMAX PHARMACEUTICALS LTD"/>
    <s v="18, Liasu Street, Igbo-Elerin, Iba, Lagos "/>
    <s v="08052058800; 08063883661 "/>
    <s v="GDP"/>
    <s v="June 15th, 2022"/>
    <x v="0"/>
    <s v="24/06/22"/>
    <x v="0"/>
    <s v="CAPA to be submitted"/>
    <s v="REMINDER LETTER SHOULD BE SENT"/>
    <d v="2023-06-01T00:00:00"/>
    <s v="https://nafdacng.sharepoint.com/sites/PMSLAGOS/Shared Documents/GDP (GOOD DISTRIBUTION PRATICE)/GSDP COMPANY FILES\CEEMMAX PHARMACEUTICALS LTD"/>
    <s v="CEEMMAX PHARMACEUTICALS LTD"/>
  </r>
  <r>
    <n v="19"/>
    <s v="HEPHZEBAH PHARM &amp; ALLIED PRODUCTS LTD"/>
    <s v="2, Iyana Isashi Road.Okokomaiko, Lagos"/>
    <s v="07030567572; 08037182557"/>
    <s v="GDP"/>
    <s v="June 15th, 2022"/>
    <x v="0"/>
    <m/>
    <x v="0"/>
    <s v="CAPA to be submitted"/>
    <s v="REMINDER LETTER SHOULD BE SENT"/>
    <d v="2023-06-01T00:00:00"/>
    <s v="https://nafdacng.sharepoint.com/sites/PMSLAGOS/Shared Documents/GDP (GOOD DISTRIBUTION PRATICE)/GSDP COMPANY FILES\HEPHZEBAH PHARM &amp; ALLIED PRODUCTS LTD"/>
    <s v="HEPHZEBAH PHARM &amp; ALLIED PRODUCTS LTD"/>
  </r>
  <r>
    <n v="20"/>
    <s v="MEEK MEDICAL CO. NIG. LTD"/>
    <s v="64a, Ojo Igede Rd., Ojo, Lagos"/>
    <s v="08030541298; 08037251955"/>
    <s v="GDP"/>
    <s v="June 16th, 2022"/>
    <x v="0"/>
    <m/>
    <x v="2"/>
    <s v="CAPA to be submitted"/>
    <s v=""/>
    <d v="2023-06-01T00:00:00"/>
    <s v="https://nafdacng.sharepoint.com/sites/PMSLAGOS/Shared Documents/GDP (GOOD DISTRIBUTION PRATICE)/GSDP COMPANY FILES\MEEK MEDICAL CO. NIG LTD"/>
    <s v="MEEK MEDICAL CO. NIG. LTD"/>
  </r>
  <r>
    <n v="21"/>
    <s v="B-EMMANUEL PHARMACY"/>
    <s v="13, Akinwunmi Str., Mushin, Lagos"/>
    <s v="07069227731;   08037215675"/>
    <s v="GDP"/>
    <s v="June 20th, 2022"/>
    <x v="1"/>
    <s v="24/06/22"/>
    <x v="1"/>
    <s v="CAPA to be submitted"/>
    <s v="CAPA VERIFICATION SHOULD BE SCHEDULED"/>
    <d v="2022-12-01T00:00:00"/>
    <s v="https://nafdacng.sharepoint.com/sites/PMSLAGOS/Shared Documents/GDP (GOOD DISTRIBUTION PRATICE)/GSDP COMPANY FILES\B-EMMANUEL"/>
    <s v="B-EMMANUEL PHARMACY"/>
  </r>
  <r>
    <n v="22"/>
    <s v="KRISPHINA PHARMACEUTICAL LTD"/>
    <s v="44, Abiodun Str.,      Mushin, Lagos"/>
    <s v="08064065588; 08179314379; 08179401376"/>
    <s v="GDP"/>
    <s v="June 20th, 2022"/>
    <x v="1"/>
    <s v="24/06/22"/>
    <x v="0"/>
    <s v="CAPA to be submitted"/>
    <s v="REMINDER LETTER SHOULD BE SENT"/>
    <m/>
    <s v="https://nafdacng.sharepoint.com/sites/PMSLAGOS/Shared Documents/GDP (GOOD DISTRIBUTION PRATICE)/GSDP COMPANY FILES/KRISPHINA"/>
    <s v="KRISPHINA PHARMACEUTICAL LTD"/>
  </r>
  <r>
    <n v="23"/>
    <s v="C.U. PEDRO PHARM. NIG. LTD"/>
    <s v="11, Kelani Str., _x000a_Off LUTH Rd, _x000a_Mushin, Lagos"/>
    <s v="07033269426; 09064888330 "/>
    <s v="GDP"/>
    <s v="June 20th, 2022"/>
    <x v="0"/>
    <s v="21/09/22"/>
    <x v="0"/>
    <s v="CAPA to be submitted"/>
    <s v="REMINDER LETTER SHOULD BE SENT"/>
    <d v="2023-06-01T00:00:00"/>
    <s v="https://nafdacng.sharepoint.com/sites/PMSLAGOS/Shared Documents/GDP (GOOD DISTRIBUTION PRATICE)/GSDP COMPANY FILES\CU PEDRO"/>
    <s v="C.U. PEDRO PHARM. NIG. LTD"/>
  </r>
  <r>
    <n v="24"/>
    <s v="JUDE THADDY PHARMACY"/>
    <s v="31, Oloje Street, Papa Ajao, Mushin, Lagos"/>
    <s v="08039361119; 08038368689;"/>
    <s v="GDP"/>
    <s v="June 20th, 2022"/>
    <x v="0"/>
    <s v="21/09/22"/>
    <x v="0"/>
    <s v="CAPA to be submitted"/>
    <s v="REMINDER LETTER SHOULD BE SENT"/>
    <d v="2023-06-01T00:00:00"/>
    <s v="https://nafdacng.sharepoint.com/sites/PMSLAGOS/Shared Documents/GDP (GOOD DISTRIBUTION PRATICE)/GSDP COMPANY FILES\JUDE THADDY PHARMACY"/>
    <s v="JUDE THADDY PHARMACY"/>
  </r>
  <r>
    <n v="25"/>
    <s v="FRANPHINO PHARMACEUTICAL NIG. LTD"/>
    <s v="44, Mosalashi Str., _x000a_Mushin, Lagos"/>
    <s v="08037560698; 08033020738; 08103503805"/>
    <s v="GDP"/>
    <s v="June 21st, 2022"/>
    <x v="1"/>
    <s v="24/06/22"/>
    <x v="0"/>
    <s v="CAPA to be submitted"/>
    <s v="REMINDER LETTER SHOULD BE SENT"/>
    <d v="2022-12-01T00:00:00"/>
    <s v="https://nafdacng.sharepoint.com/sites/PMSLAGOS/Shared Documents/GDP (GOOD DISTRIBUTION PRATICE)/GSDP COMPANY FILES\FRANPHINO PHARMACEUTICAL NIG LTD"/>
    <s v="FRANPHINO PHARMACEUTICAL NIG. LTD"/>
  </r>
  <r>
    <n v="26"/>
    <s v="CHIDO PHARMACY"/>
    <s v="37, Isolo Road,     Mushin, Lagos"/>
    <s v="09079645535; 08039204656"/>
    <s v="GDP"/>
    <s v="June 21st, 2022"/>
    <x v="1"/>
    <s v="21/09/22"/>
    <x v="1"/>
    <s v="CAPA submitted on 10th February, 2023"/>
    <s v="CAPA VERIFICATION SHOULD BE SCHEDULED"/>
    <d v="2022-12-01T00:00:00"/>
    <s v="https://nafdacng.sharepoint.com/sites/PMSLAGOS/Shared Documents/GDP (GOOD DISTRIBUTION PRATICE)/GSDP COMPANY FILES\CHARITY NWAIZU PHARM. CO. NIG. LTD"/>
    <s v="CHIDO PHARMACY"/>
  </r>
  <r>
    <n v="27"/>
    <s v="DARUCHI PRODUCTS LTD"/>
    <s v="81, Agege Motor Rd., Idi-Oro, Mushin, Lagos"/>
    <s v="08033151343"/>
    <s v="GDP"/>
    <s v="June 21st, 2022"/>
    <x v="1"/>
    <s v="21/09/22"/>
    <x v="0"/>
    <s v="CAPA to be submitted"/>
    <s v="REMINDER LETTER SHOULD BE SENT"/>
    <d v="2022-12-01T00:00:00"/>
    <s v="https://nafdacng.sharepoint.com/sites/PMSLAGOS/Shared Documents/GDP (GOOD DISTRIBUTION PRATICE)/GSDP COMPANY FILES\DARUCH PHARMACY"/>
    <s v="DARUCHI PRODUCTS LTD"/>
  </r>
  <r>
    <n v="28"/>
    <s v="SABIZ NIG. LTD"/>
    <s v="23, Adeyemi Street, Oshodi, Lagos"/>
    <s v="07031840002; 08033022906 "/>
    <s v="GDP"/>
    <s v="Sept 5th, 2022"/>
    <x v="0"/>
    <s v="27/10/22"/>
    <x v="1"/>
    <s v="CAPA submitted on 12th January, 2023"/>
    <s v="CAPA VERIFICATION SHOULD BE SCHEDULED"/>
    <d v="2023-09-01T00:00:00"/>
    <s v="https://nafdacng.sharepoint.com/sites/PMSLAGOS/Shared Documents/GDP (GOOD DISTRIBUTION PRATICE)/GSDP COMPANY FILES\SABIZ PHARMACEUTICAL NIG LTD"/>
    <s v="SABIZ NIG. LTD"/>
  </r>
  <r>
    <n v="29"/>
    <s v="FENOMAS PHARM. NIG. LTD"/>
    <s v="41, Daodu Street, Oshodi, Lagos"/>
    <s v="08029943111; 09030503955"/>
    <s v="GDP"/>
    <s v="Sept 5th, 2022"/>
    <x v="1"/>
    <s v="27/10/22"/>
    <x v="0"/>
    <s v="CAPA to be submitted"/>
    <s v="REMINDER LETTER SHOULD BE SENT"/>
    <d v="2023-03-01T00:00:00"/>
    <s v="https://nafdacng.sharepoint.com/sites/PMSLAGOS/Shared Documents/GDP (GOOD DISTRIBUTION PRATICE)/GSDP COMPANY FILES\FENOMAS PHARMCEUTICAL NIG LTD"/>
    <s v="FENOMAS PHARM. NIG. LTD"/>
  </r>
  <r>
    <n v="30"/>
    <s v="U-N PHARMA SOLUTION LTD"/>
    <s v="16 Church Street, Jakande Estate, Oke-Afa, Isolo, Lagos"/>
    <s v="07066634629; 08106744910"/>
    <s v="GDP"/>
    <s v="Sept 5th, 2022"/>
    <x v="1"/>
    <s v="27/10/22"/>
    <x v="1"/>
    <s v="CAPA submitted on 25th November, 2022"/>
    <s v="CAPA VERIFICATION SHOULD BE SCHEDULED"/>
    <d v="2023-03-01T00:00:00"/>
    <s v="https://nafdacng.sharepoint.com/sites/PMSLAGOS/Shared Documents/GDP (GOOD DISTRIBUTION PRATICE)/GSDP COMPANY FILES\U-N PHARMA SOLUTION LTD"/>
    <s v="U-N PHARMA SOLUTION LTD"/>
  </r>
  <r>
    <n v="31"/>
    <s v="MULTICHARIS PHARM. &amp; CHEM. CO. LTD"/>
    <s v="13, Qudus Folawiyo Str., Off Asiriabo Str., Isolo, Lagos"/>
    <s v="08034316978; 08033072447 "/>
    <s v="GDP"/>
    <s v="Sept 5th, 2022"/>
    <x v="1"/>
    <s v="27/10/22"/>
    <x v="0"/>
    <s v="CAPA to be submitted"/>
    <s v="REMINDER LETTER SHOULD BE SENT"/>
    <d v="2023-03-01T00:00:00"/>
    <s v="https://nafdacng.sharepoint.com/sites/PMSLAGOS/Shared Documents/GDP (GOOD DISTRIBUTION PRATICE)/GSDP COMPANY FILES\MULTICHARIS PHARMACY &amp; CHEM"/>
    <s v="MULTICHARIS PHARM. &amp; CHEM. CO. LTD"/>
  </r>
  <r>
    <n v="32"/>
    <s v="ANTHILL INVESTMENTS LTD."/>
    <s v="3, Adekunle Akala Str., Ajao Est., Lagos"/>
    <s v="NA"/>
    <s v="GDP"/>
    <s v="Sept 5th, 2022"/>
    <x v="3"/>
    <m/>
    <x v="2"/>
    <m/>
    <s v="FACILITY NOT FOUND"/>
    <m/>
    <m/>
    <m/>
  </r>
  <r>
    <n v="33"/>
    <s v="A.F. UCHENNA PHARMACY LIMITED"/>
    <s v="6, Aderinto Street, Isolo, Lagos"/>
    <s v="07063838092; 08033057113"/>
    <s v="GDP"/>
    <s v="Sept 5th, 2022"/>
    <x v="1"/>
    <s v="27/10/22"/>
    <x v="1"/>
    <s v="CAPA submitted on January 12th, 2023"/>
    <s v="CAPA VERIFICATION SHOULD BE SCHEDULED"/>
    <d v="2023-03-01T00:00:00"/>
    <s v="https://nafdacng.sharepoint.com/sites/PMSLAGOS/Shared Documents/GDP (GOOD DISTRIBUTION PRATICE)/GSDP COMPANY FILES/AF-UCHENNA PHARM"/>
    <s v="A.F. UCHENNA PHARMACY LIMITED"/>
  </r>
  <r>
    <n v="34"/>
    <s v="MEEKY MOORE PHARM. LTD"/>
    <s v="33, Akanni Showunmi Street, Mafoluku, Lagos."/>
    <s v="08034154424"/>
    <s v="GDP"/>
    <s v="Sept 5th, 2022"/>
    <x v="2"/>
    <s v="27/10/22"/>
    <x v="0"/>
    <s v="CAPA to be submitted"/>
    <s v="REMINDER LETTER SHOULD BE SENT"/>
    <d v="2024-09-01T00:00:00"/>
    <s v="https://nafdacng.sharepoint.com/sites/PMSLAGOS/Shared Documents/GDP (GOOD DISTRIBUTION PRATICE)/GSDP COMPANY FILES\MEEKY MORE PHARM LTD"/>
    <s v="MEEKY MOORE PHARM. LTD"/>
  </r>
  <r>
    <n v="35"/>
    <s v="BRIGHT MEX PHARM. LTD"/>
    <s v="47, Makinde Str., Mafoluku, Lagos"/>
    <s v="08138540522; 08026186745"/>
    <s v="GDP"/>
    <s v="Sept 5th, 2022"/>
    <x v="1"/>
    <s v="27/10/22"/>
    <x v="1"/>
    <s v="CAPA submitted on December 12th, 2022"/>
    <s v="CAPA VERIFICATION SHOULD BE SCHEDULED"/>
    <d v="2023-03-01T00:00:00"/>
    <s v="https://nafdacng.sharepoint.com/sites/PMSLAGOS/Shared Documents/GDP (GOOD DISTRIBUTION PRATICE)/GSDP COMPANY FILES\BRIGHT MEX"/>
    <s v="BRIGHT MEX PHARM. LTD"/>
  </r>
  <r>
    <n v="36"/>
    <s v="JTL PHARMACEUTICAL CO. LTD"/>
    <s v="8, Okuneye Street, off Pedro, _x000a_Palmgrove, Lagos_x000a_"/>
    <s v="08060201188"/>
    <s v="GDP"/>
    <s v="Sept 6th, 2022"/>
    <x v="1"/>
    <s v="27/10/22"/>
    <x v="0"/>
    <s v="CAPA to be submitted"/>
    <s v="REMINDER LETTER SHOULD BE SENT"/>
    <d v="2023-03-01T00:00:00"/>
    <s v="https://nafdacng.sharepoint.com/sites/PMSLAGOS/Shared Documents/GDP (GOOD DISTRIBUTION PRATICE)/GSDP COMPANY FILES\JTL PHARMACEUTICAL AND CO LTD"/>
    <s v="JTL PHARMACEUTICAL CO. LTD"/>
  </r>
  <r>
    <n v="37"/>
    <s v="MDS PHARMA LOGISTICS"/>
    <s v="2, Ajao Rd., Off Adeniyi Jones, Ikeja, Lagos"/>
    <s v="08069755150"/>
    <s v="GDP"/>
    <s v="Sept 6th, 2022"/>
    <x v="2"/>
    <s v="27/10/22"/>
    <x v="1"/>
    <s v="CAPA submitted on December 5th, 2022"/>
    <s v="CAPA VERIFICATION SHOULD BE SCHEDULED"/>
    <d v="2024-09-01T00:00:00"/>
    <s v="https://nafdacng.sharepoint.com/sites/PMSLAGOS/Shared Documents/GDP (GOOD DISTRIBUTION PRATICE)/GSDP COMPANY FILES\MDS PHARMA LOGISTICS"/>
    <s v="MDS PHARMA LOGISTICS"/>
  </r>
  <r>
    <n v="38"/>
    <s v="KEDOL HEALTH LTD"/>
    <s v=" 94, Obafemi Awolowo Way, Ikeja, Lagos"/>
    <s v="08033295298"/>
    <s v="GDP"/>
    <s v="Sept 6th, 2022"/>
    <x v="2"/>
    <s v="27/10/22"/>
    <x v="1"/>
    <s v="CAPA submitted on February 6th, 2023"/>
    <s v="CAPA VERIFICATION SHOULD BE SCHEDULED"/>
    <d v="2024-09-01T00:00:00"/>
    <s v="https://nafdacng.sharepoint.com/sites/PMSLAGOS/Shared Documents/GDP (GOOD DISTRIBUTION PRATICE)/GSDP COMPANY FILES\KEDOL HEALTH PHARMACY"/>
    <s v="KEDOL HEALTH LTD"/>
  </r>
  <r>
    <n v="39"/>
    <s v="ALLWAYS PHARMACY &amp; STORES LTD"/>
    <s v="17, Ikosi Road, Oregun Industrial Est., Ikeja"/>
    <s v="08060543578"/>
    <s v="GDP"/>
    <s v="Sept 6th, 2022"/>
    <x v="0"/>
    <s v="27/10/22"/>
    <x v="0"/>
    <s v="CAPA to be submitted"/>
    <s v="REMINDER LETTER SHOULD BE SENT"/>
    <d v="2023-09-01T00:00:00"/>
    <s v="https://nafdacng.sharepoint.com/sites/PMSLAGOS/Shared Documents/GDP (GOOD DISTRIBUTION PRATICE)/GSDP COMPANY FILES\ALLWAYS PHARMACY"/>
    <s v="ALLWAYS PHARMACY &amp; STORES LTD"/>
  </r>
  <r>
    <n v="40"/>
    <s v="ABIROT PHARMA LTD."/>
    <s v="10, Mojidi Str., Off Unity Rd., Ikeja, Lagos"/>
    <s v="08085599555"/>
    <s v="GDP"/>
    <s v="Sept 7th, 2022"/>
    <x v="3"/>
    <m/>
    <x v="2"/>
    <s v="Business is no longer in operations."/>
    <s v=""/>
    <m/>
    <s v="https://nafdacng.sharepoint.com/sites/PMSLAGOS/Shared Documents/GDP (GOOD DISTRIBUTION PRATICE)/GSDP COMPANY FILES\ABIROT"/>
    <s v="ABIROT PHARMA LTD."/>
  </r>
  <r>
    <n v="41"/>
    <s v="AKU-UDO PHARMACY"/>
    <s v="2, Segilola Street, Agege, Lagos"/>
    <s v="08033279522;"/>
    <s v="GDP"/>
    <s v="Sept 7th, 2022"/>
    <x v="1"/>
    <d v="2022-12-04T00:00:00"/>
    <x v="1"/>
    <s v="CAPA to be submitted"/>
    <s v="CAPA VERIFICATION SHOULD BE SCHEDULED"/>
    <d v="2023-03-01T00:00:00"/>
    <s v="https://nafdacng.sharepoint.com/sites/PMSLAGOS/Shared Documents/GDP (GOOD DISTRIBUTION PRATICE)/GSDP COMPANY FILES\AKU-UDO PHARMACY"/>
    <s v="AKU-UDO PHARMACY"/>
  </r>
  <r>
    <n v="42"/>
    <s v="CA &amp; JO COMPANY LTD"/>
    <s v="1, Alfa Nla Capitol Road, Agege, Lagos"/>
    <s v="08139106555"/>
    <s v="GDP"/>
    <s v="Sept 7th, 2022"/>
    <x v="1"/>
    <d v="2022-12-04T00:00:00"/>
    <x v="1"/>
    <s v="CAPA submitted on December 13th, 2022"/>
    <s v="CAPA VERIFICATION SHOULD BE SCHEDULED"/>
    <d v="2023-03-01T00:00:00"/>
    <s v="https://nafdacng.sharepoint.com/sites/PMSLAGOS/Shared Documents/GDP (GOOD DISTRIBUTION PRATICE)/GSDP COMPANY FILES\CA AND JO PHARMACY"/>
    <s v="CA &amp; JO COMPANY LTD"/>
  </r>
  <r>
    <n v="43"/>
    <s v="JUDEX CHAMP PHARMACY &amp; STORES"/>
    <s v="25, Adeyemi Street, _x000a_Agege, Lagos_x000a_"/>
    <s v="08033032468"/>
    <s v="GDP"/>
    <s v="Sept 7th, 2022"/>
    <x v="1"/>
    <d v="2022-10-27T00:00:00"/>
    <x v="1"/>
    <s v="CAPA to be submitted"/>
    <s v="CAPA VERIFICATION SHOULD BE SCHEDULED"/>
    <d v="2023-03-01T00:00:00"/>
    <s v="https://nafdacng.sharepoint.com/sites/PMSLAGOS/Shared Documents/GDP (GOOD DISTRIBUTION PRATICE)/GSDP COMPANY FILES\JUDEX CHAMP PHARMACY"/>
    <s v="JUDEX CHAMP PHARMACY &amp; STORES"/>
  </r>
  <r>
    <n v="44"/>
    <s v="CHARITY NWAIZU PHARM. CO. LTD"/>
    <s v="71, Capitol Road, _x000a_Agege, Lagos _x000a_"/>
    <s v="08134337863"/>
    <s v="GDP"/>
    <s v="Sept 7th, 2022"/>
    <x v="1"/>
    <d v="2022-10-27T00:00:00"/>
    <x v="1"/>
    <s v="CAPA submitted on February 22nd, 2023"/>
    <s v="CAPA VERIFICATION SHOULD BE SCHEDULED"/>
    <d v="2023-03-01T00:00:00"/>
    <s v="https://nafdacng.sharepoint.com/sites/PMSLAGOS/Shared Documents/GDP (GOOD DISTRIBUTION PRATICE)/GSDP COMPANY FILES\CHARITY NWAIZU PHARM. CO. NIG. LTD"/>
    <s v="CHARITY NWAIZU PHARM. CO. LTD"/>
  </r>
  <r>
    <n v="45"/>
    <s v="O.T.S. UNITED NIG. LTD"/>
    <s v="2, Ayige Street, _x000a_Orile-Agege, Lagos _x000a_"/>
    <s v="07065201033; 08180985654"/>
    <s v="GDP"/>
    <s v="Sept 7th, 2022"/>
    <x v="1"/>
    <d v="2022-10-27T00:00:00"/>
    <x v="0"/>
    <s v="CAPA to be submitted"/>
    <s v="REMINDER LETTER SHOULD BE SENT"/>
    <d v="2023-03-01T00:00:00"/>
    <s v="https://nafdacng.sharepoint.com/sites/PMSLAGOS/Shared Documents/GDP (GOOD DISTRIBUTION PRATICE)/GSDP COMPANY FILES\OTS UNITED NIG LTD"/>
    <s v="O.T.S. UNITED NIG. LTD"/>
  </r>
  <r>
    <n v="46"/>
    <s v="AZU PHARMACY LTD"/>
    <s v="112, Ipaja Road, _x000a_Alimosho, Lagos _x000a_"/>
    <s v="07033310202"/>
    <s v="GDP"/>
    <s v="Sept 8th, 2022"/>
    <x v="1"/>
    <d v="2022-10-27T00:00:00"/>
    <x v="0"/>
    <s v="CAPA to be submitted"/>
    <s v="REMINDER LETTER SHOULD BE SENT"/>
    <d v="2023-03-01T00:00:00"/>
    <s v="https://nafdacng.sharepoint.com/sites/PMSLAGOS/Shared Documents/GDP (GOOD DISTRIBUTION PRATICE)/GSDP COMPANY FILES\AZU PHARMACY LTD"/>
    <s v="AZU PHARMACY LTD"/>
  </r>
  <r>
    <n v="47"/>
    <s v="ATIDAM PHARM. LTD"/>
    <s v="1, Olayiwola Street, _x000a_Off Charity Bus Stop, _x000a_New Oko-Oba, Lagos_x000a_"/>
    <s v="08039510463; 08033378445"/>
    <s v="GDP"/>
    <s v="Sept 8th, 2022"/>
    <x v="1"/>
    <d v="2022-10-27T00:00:00"/>
    <x v="0"/>
    <s v="CAPA to be submitted"/>
    <s v="REMINDER LETTER SHOULD BE SENT"/>
    <d v="2023-03-01T00:00:00"/>
    <s v="https://nafdacng.sharepoint.com/sites/PMSLAGOS/Shared Documents/GDP (GOOD DISTRIBUTION PRATICE)/GSDP COMPANY FILES\ATIDAM"/>
    <s v="ATIDAM PHARM. LTD"/>
  </r>
  <r>
    <n v="48"/>
    <s v="BOLUKE PHARMACY"/>
    <s v="60, Old Abeokuta Motor Road,_x000a_Agege, Lagos._x000a_"/>
    <s v="07061902283; 08051312824"/>
    <s v="GDP"/>
    <s v="Sept 8th, 2022"/>
    <x v="2"/>
    <d v="2022-10-27T00:00:00"/>
    <x v="0"/>
    <s v="CAPA to be submitted"/>
    <s v="REMINDER LETTER SHOULD BE SENT"/>
    <d v="2024-09-01T00:00:00"/>
    <s v="https://nafdacng.sharepoint.com/sites/PMSLAGOS/Shared Documents/GDP (GOOD DISTRIBUTION PRATICE)/GSDP COMPANY FILES\BOLUKE PHARMACY"/>
    <s v="BOLUKE PHARMACY"/>
  </r>
  <r>
    <n v="49"/>
    <s v="ONEC PHARM. &amp; CHEM. CO. LTD"/>
    <s v="6, Agbado Road,_x000a_Iju Ishaga, Agege,_x000a_Lagos._x000a_"/>
    <s v="08083886817"/>
    <s v="GDP"/>
    <s v="Sept 8th, 2022"/>
    <x v="2"/>
    <d v="2022-10-27T00:00:00"/>
    <x v="0"/>
    <s v="CAPA submitted on December 6th, 2022"/>
    <s v="REMINDER LETTER SHOULD BE SENT"/>
    <d v="2024-09-01T00:00:00"/>
    <s v="https://nafdacng.sharepoint.com/sites/PMSLAGOS/Shared Documents/GDP (GOOD DISTRIBUTION PRATICE)/GSDP COMPANY FILES\ONEC PHARM AND CHEM CO. LTD"/>
    <s v="ONEC PHARM. &amp; CHEM. CO. LTD"/>
  </r>
  <r>
    <n v="50"/>
    <s v="VICTORIOUS PHARMACY"/>
    <s v="21 Old Oko Oba Road,_x000a_Orile-Agege, Lagos _x000a_"/>
    <s v="08138045214"/>
    <s v="GDP"/>
    <s v="Sept 8th, 2022"/>
    <x v="1"/>
    <m/>
    <x v="2"/>
    <s v="CAPA to be submitted"/>
    <s v=""/>
    <d v="2023-03-01T00:00:00"/>
    <s v="https://nafdacng.sharepoint.com/sites/PMSLAGOS/Shared Documents/GDP (GOOD DISTRIBUTION PRATICE)/GSDP COMPANY FILES\VICTORIOUS PHARMACY LTD"/>
    <s v="VICTORIOUS PHARMACY"/>
  </r>
  <r>
    <n v="51"/>
    <s v="EZEUDO PHARMACY LTD"/>
    <s v="54, Ogba Road,_x000a_Agege, Lagos_x000a_"/>
    <s v="07038043035; 08023069540"/>
    <s v="GDP"/>
    <s v="Sept 8th, 2022"/>
    <x v="1"/>
    <d v="2022-10-27T00:00:00"/>
    <x v="0"/>
    <s v="CAPA to be submitted"/>
    <s v="REMINDER LETTER SHOULD BE SENT"/>
    <d v="2023-03-01T00:00:00"/>
    <s v="https://nafdacng.sharepoint.com/sites/PMSLAGOS/Shared Documents/GDP (GOOD DISTRIBUTION PRATICE)/GSDP COMPANY FILES\EZEUDO PHARM LTD"/>
    <s v="EZEUDO PHARMACY LTD"/>
  </r>
  <r>
    <n v="52"/>
    <s v="MEDITRADE NIG. LTD"/>
    <s v="3 Salawu Street,_x000a_Olodi Apapa,_x000a_Apapa, Lagos._x000a_"/>
    <s v="07069634359"/>
    <s v="GDP"/>
    <s v="Sept 9th, 2022"/>
    <x v="0"/>
    <m/>
    <x v="2"/>
    <s v="CAPA to be submitted"/>
    <s v=""/>
    <m/>
    <s v="https://nafdacng.sharepoint.com/sites/PMSLAGOS/Shared Documents/GDP (GOOD DISTRIBUTION PRATICE)/GSDP COMPANY FILES\MEDITRADE NIG LTD"/>
    <s v="MEDITRADE NIG. LTD"/>
  </r>
  <r>
    <n v="53"/>
    <s v="MERCED PHARM. &amp; STORES"/>
    <s v="36/60 OSHO DRIVE, OLODI APAPA, APAPA, LAGOS"/>
    <s v="07062171433"/>
    <s v="GDP"/>
    <s v="Sept 9th, 2022"/>
    <x v="3"/>
    <m/>
    <x v="2"/>
    <s v="Facility should submit letter that formally informs PCN about their decision to change to a retail facility and notify the Agency officially."/>
    <s v=""/>
    <m/>
    <s v="https://nafdacng.sharepoint.com/sites/PMSLAGOS/Shared Documents/GDP (GOOD DISTRIBUTION PRATICE)/GSDP COMPANY FILES/KRISPHINA"/>
    <s v="MERCED PHARM. &amp; STORES"/>
  </r>
  <r>
    <n v="54"/>
    <s v="NIGERIAN AIRFORCE DRUG MANUFACTURING UNIT"/>
    <s v="Airforce Base, Ikeja, Lagos State "/>
    <s v="08035249622"/>
    <s v="GDP"/>
    <s v="Oct 6th, 2022"/>
    <x v="2"/>
    <d v="2022-10-27T00:00:00"/>
    <x v="1"/>
    <s v="CAPA submitted on 30th January, 2023"/>
    <s v="CAPA VERIFICATION SHOULD BE SCHEDULED"/>
    <d v="2024-09-01T00:00:00"/>
    <s v="https://nafdacng.sharepoint.com/sites/PMSLAGOS/Shared Documents/GDP (GOOD DISTRIBUTION PRATICE)/GSDP COMPANY FILES\NIGERIA AIRFORCE DRUG MANUFACTURING UNIT"/>
    <s v="NIGERIAN AIRFORCE DRUG MANUFACTURING UNIT"/>
  </r>
  <r>
    <m/>
    <s v="TOTAL = 54"/>
    <m/>
    <m/>
    <m/>
    <m/>
    <x v="4"/>
    <m/>
    <x v="3"/>
    <m/>
    <s v=""/>
    <m/>
    <m/>
    <s v=""/>
  </r>
  <r>
    <m/>
    <m/>
    <m/>
    <m/>
    <m/>
    <m/>
    <x v="4"/>
    <m/>
    <x v="3"/>
    <m/>
    <m/>
    <m/>
    <m/>
    <s v=""/>
  </r>
  <r>
    <m/>
    <m/>
    <m/>
    <m/>
    <m/>
    <m/>
    <x v="4"/>
    <m/>
    <x v="3"/>
    <m/>
    <m/>
    <m/>
    <m/>
    <s v=""/>
  </r>
  <r>
    <m/>
    <m/>
    <m/>
    <m/>
    <m/>
    <m/>
    <x v="4"/>
    <m/>
    <x v="3"/>
    <m/>
    <s v=""/>
    <m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6ACAA-B795-46F2-BD61-E7F52CF5217F}" name="PivotTable3" cacheId="3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1"/>
        <item x="2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INDINGS" fld="6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7E2C9-5EB0-4009-99BE-2CE7931023C2}" name="PivotTable4" cacheId="3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C3:D9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ascending">
      <items count="6">
        <item x="1"/>
        <item x="2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INDINGS" fld="6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D2CE2-DA0B-44D3-A242-5B9D0C2C3122}" name="PivotTable3" cacheId="3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a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Count of CAPA SUBMITTED" fld="8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075A41-B53F-45A5-8BE0-0674CEAA90E8}" name="Table33" displayName="Table33" ref="A2:O60" totalsRowShown="0" headerRowDxfId="121" headerRowBorderDxfId="119" tableBorderDxfId="120" totalsRowBorderDxfId="118">
  <autoFilter ref="A2:O60" xr:uid="{C3075A41-B53F-45A5-8BE0-0674CEAA90E8}"/>
  <sortState xmlns:xlrd2="http://schemas.microsoft.com/office/spreadsheetml/2017/richdata2" ref="A3:O60">
    <sortCondition ref="A2:A60"/>
  </sortState>
  <tableColumns count="15">
    <tableColumn id="1" xr3:uid="{662B9708-9249-4876-8166-69972F5036A4}" name="S/N" dataDxfId="117"/>
    <tableColumn id="2" xr3:uid="{A127769B-D12A-4F9C-A428-44685D195898}" name="NAME OF MANUFACTURER" dataDxfId="116"/>
    <tableColumn id="3" xr3:uid="{7320A079-DA18-40F6-88CC-E28305735384}" name="LOCATION ADDRESS" dataDxfId="115"/>
    <tableColumn id="4" xr3:uid="{D60077A1-FC43-42B8-A515-30095C536848}" name="CONTACT" dataDxfId="114"/>
    <tableColumn id="5" xr3:uid="{3CDE8551-6017-4C66-B19E-E2F13B9A9C57}" name="TYPE OF LAST INSPECTION" dataDxfId="113"/>
    <tableColumn id="6" xr3:uid="{3A6E5A4E-1FE9-4126-9CE6-7B85B320A3F1}" name="DATE OF LAST INSPECTION" dataDxfId="112"/>
    <tableColumn id="15" xr3:uid="{759E4594-8A25-4563-9FDD-9679899048EC}" name="DATE OF LAST INSPECTION 2" dataDxfId="111"/>
    <tableColumn id="7" xr3:uid="{0CBD74F7-2FF6-477E-8A7B-88DF5AC8080F}" name="FINDINGS" dataDxfId="110"/>
    <tableColumn id="8" xr3:uid="{E983E759-13E5-4BCA-984A-9135508CB639}" name="CAPA ISSUED DATE" dataDxfId="109"/>
    <tableColumn id="9" xr3:uid="{286FF3CA-3D4F-47D4-8C24-25CC51FA7262}" name="CAPA SUBMITTED" dataDxfId="108"/>
    <tableColumn id="10" xr3:uid="{B1A9884F-C8EE-47AB-BB3A-48B5CF6A2B8F}" name="CONCLUSION" dataDxfId="107"/>
    <tableColumn id="11" xr3:uid="{4C8660E4-64C0-4548-8B2C-7D33B74265E4}" name="REMARKS" dataDxfId="106">
      <calculatedColumnFormula>IF(J3="YES","CAPA VERIFICATION SHOULD BE SCHEDULED",IF(J3="NO","REMINDER LETTER SHOULD BE SENT",""))</calculatedColumnFormula>
    </tableColumn>
    <tableColumn id="13" xr3:uid="{D78691E8-3AAD-4B7E-9115-F24220BEF039}" name="EXPECTED DATE OF INSPECTION" dataDxfId="105"/>
    <tableColumn id="12" xr3:uid="{60835C9F-5C7E-4B1F-A666-0DBE7721880A}" name="COMPANY FILE" dataDxfId="104"/>
    <tableColumn id="14" xr3:uid="{9A4B5645-0F58-462E-AEBF-2CDB7E5AE209}" name="OMPANY FFILE" dataDxfId="103">
      <calculatedColumnFormula>IF(N3="","",HYPERLINK(N3,B3))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B64518-8042-4FA6-B142-27B4B50C968C}" name="Table5" displayName="Table5" ref="A2:N11" totalsRowShown="0" headerRowDxfId="100" headerRowBorderDxfId="98" tableBorderDxfId="99" totalsRowBorderDxfId="97">
  <autoFilter ref="A2:N11" xr:uid="{62B64518-8042-4FA6-B142-27B4B50C968C}"/>
  <tableColumns count="14">
    <tableColumn id="1" xr3:uid="{3B9E1797-DC6C-47AC-860D-80C69B3322D6}" name="S/N" dataDxfId="96"/>
    <tableColumn id="2" xr3:uid="{8C69D80C-E103-4A59-9E53-929330D9C6CD}" name="NAME OF MANUFACTURER" dataDxfId="95"/>
    <tableColumn id="3" xr3:uid="{5AE25E1F-646E-416D-96DE-1C7222FD0187}" name="LOCATION ADDRESS" dataDxfId="94"/>
    <tableColumn id="4" xr3:uid="{0824F4BC-571E-499A-AB30-0FA59F4E983B}" name="CONTACT" dataDxfId="93"/>
    <tableColumn id="5" xr3:uid="{574A9296-B81F-41AA-9B70-9C312CBD487F}" name="TYPE OF LAST INSPECTION" dataDxfId="92"/>
    <tableColumn id="6" xr3:uid="{DD8DDC61-60E8-4799-8CC3-A05749C934AA}" name="DATE OF LAST INSPECTION" dataDxfId="91"/>
    <tableColumn id="7" xr3:uid="{09920D95-67D2-48A2-8DDB-ABB9FB946930}" name="FINDINGS" dataDxfId="90"/>
    <tableColumn id="8" xr3:uid="{DAD3D7A8-2D01-4599-9FC1-1477C112829E}" name="CAPA ISSUED DATE" dataDxfId="89"/>
    <tableColumn id="9" xr3:uid="{8D301AA0-BA5B-440F-A275-4D65A293F27E}" name="CAPA SUBMITTED" dataDxfId="88"/>
    <tableColumn id="10" xr3:uid="{64ED1375-E7F5-480A-A918-4FB67540F491}" name="CONCLUSION" dataDxfId="87"/>
    <tableColumn id="11" xr3:uid="{56AF6661-3934-4B24-A0A0-1187A09E2A53}" name="REMARKS" dataDxfId="86"/>
    <tableColumn id="12" xr3:uid="{3C5FCE64-C4AC-4B54-B71E-F30854AAC6B9}" name="EXPECTED DATE OF INSPECTION" dataDxfId="85"/>
    <tableColumn id="13" xr3:uid="{36278401-0EA3-439D-A245-0A0E6303DCAE}" name="COMPANY FILE" dataDxfId="84"/>
    <tableColumn id="14" xr3:uid="{1B91A27D-43BE-4D7D-B7BF-48B2336540FE}" name="OMPANY FFILE" dataDxfId="83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F6A5AF-2EA2-4614-AFD3-64256BA78FD0}" name="Table4" displayName="Table4" ref="A2:N5" totalsRowShown="0" headerRowDxfId="80" headerRowBorderDxfId="78" tableBorderDxfId="79" totalsRowBorderDxfId="77">
  <autoFilter ref="A2:N5" xr:uid="{34F6A5AF-2EA2-4614-AFD3-64256BA78FD0}"/>
  <tableColumns count="14">
    <tableColumn id="1" xr3:uid="{7BEE8794-6ACF-4E37-8A6E-9782A77E70E8}" name="S/N" dataDxfId="76"/>
    <tableColumn id="2" xr3:uid="{BD30EF3B-C298-4846-B2C4-66AF87716955}" name="NAME OF MANUFACTURER"/>
    <tableColumn id="3" xr3:uid="{11EF1620-F418-40B4-A15D-2D25E5299FBD}" name="LOCATION ADDRESS" dataDxfId="75"/>
    <tableColumn id="4" xr3:uid="{6BEC4B40-B64E-4C20-977A-5B0EF00D024C}" name="CONTACT" dataDxfId="74"/>
    <tableColumn id="5" xr3:uid="{177249AF-A28F-4003-82C0-0AE3DD5179EB}" name="TYPE OF LAST INSPECTION" dataDxfId="73"/>
    <tableColumn id="6" xr3:uid="{96BE67C8-2045-42B9-9D44-C41AC972300F}" name="DATE OF LAST INSPECTION" dataDxfId="72"/>
    <tableColumn id="7" xr3:uid="{8FA0E0DD-FD3D-40CA-81D8-F92DC679CDEB}" name="FINDINGS" dataDxfId="71"/>
    <tableColumn id="8" xr3:uid="{3AA8B001-78EC-41FC-B8FB-6FF701D35BD8}" name="CAPA ISSUED DATE" dataDxfId="70"/>
    <tableColumn id="9" xr3:uid="{3E926E1B-7C5A-45B7-BB9E-58B557600B08}" name="CAPA SUBMITTED" dataDxfId="69"/>
    <tableColumn id="10" xr3:uid="{5C5D514F-8CF2-4466-B66D-AB9BA164AC8C}" name="CONCLUSION" dataDxfId="68"/>
    <tableColumn id="11" xr3:uid="{7C28630D-7B53-467B-9F0B-7FCF70E265EF}" name="REMARKS" dataDxfId="67"/>
    <tableColumn id="12" xr3:uid="{B38B7FED-E0AC-49B4-B60A-85692361C892}" name="EXPECTED DATE OF INSPECTION" dataDxfId="66"/>
    <tableColumn id="13" xr3:uid="{769E8F5A-D338-4FD6-8668-93D9AFF1B9BC}" name="COMPANY FILE" dataDxfId="65"/>
    <tableColumn id="14" xr3:uid="{48A53641-E49D-4208-B888-58D7018C4C72}" name="OMPANY FFILE" dataDxfId="64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2AF1A6-F6F8-43F7-A7CD-84FDA43756AB}" name="Table6" displayName="Table6" ref="A2:N17" totalsRowShown="0" headerRowDxfId="59" headerRowBorderDxfId="57" tableBorderDxfId="58" totalsRowBorderDxfId="56">
  <autoFilter ref="A2:N17" xr:uid="{2E2AF1A6-F6F8-43F7-A7CD-84FDA43756AB}"/>
  <tableColumns count="14">
    <tableColumn id="1" xr3:uid="{960CDB43-7199-4ACB-AC85-B2D4FC323142}" name="S/N" dataDxfId="55"/>
    <tableColumn id="2" xr3:uid="{2BD64C81-3B19-4D41-AF9E-171CCFF5549C}" name="NAME OF MANUFACTURER" dataDxfId="54"/>
    <tableColumn id="3" xr3:uid="{47338A7D-5D27-41C5-8870-0F3A11DAD304}" name="LOCATION ADDRESS" dataDxfId="53"/>
    <tableColumn id="4" xr3:uid="{87420CB1-2411-4B72-A053-81D840069060}" name="CONTACT" dataDxfId="52"/>
    <tableColumn id="5" xr3:uid="{C6DF4F91-26D6-4763-A581-782DE3D5FFB4}" name="TYPE OF LAST INSPECTION" dataDxfId="51"/>
    <tableColumn id="6" xr3:uid="{AD49318A-4D23-43CC-B6A7-052B74028A3E}" name="DATE OF LAST INSPECTION" dataDxfId="50"/>
    <tableColumn id="7" xr3:uid="{9F3D4182-3166-4728-8F7A-F0CB12FB7360}" name="FINDINGS" dataDxfId="49"/>
    <tableColumn id="8" xr3:uid="{7E1A7A18-45D0-43CA-98BE-E3B74089F369}" name="CAPA ISSUED DATE" dataDxfId="48"/>
    <tableColumn id="9" xr3:uid="{33BBE149-7A24-428A-9D72-C60536554614}" name="CAPA SUBMITTED" dataDxfId="47"/>
    <tableColumn id="10" xr3:uid="{5BC34D17-56E3-4DD9-BEA8-338ABDC7C21D}" name="CONCLUSION" dataDxfId="46"/>
    <tableColumn id="11" xr3:uid="{673893EB-49E6-4296-830A-D263535A224B}" name="REMARKS" dataDxfId="45">
      <calculatedColumnFormula>IF(I3="YES","CAPA VERIFICATION SHOULD BE SCHEDULED",IF(I3="NO","REMINDER LETTER SHOULD BE SENT",""))</calculatedColumnFormula>
    </tableColumn>
    <tableColumn id="12" xr3:uid="{FC3D3D30-8179-46DA-819A-B4F338BCB44A}" name="EXPECTED DATE OF INSPECTION" dataDxfId="44"/>
    <tableColumn id="13" xr3:uid="{9E54EAF0-D5EF-455D-9E1C-8DCFF6415510}" name="COMPANY FILE" dataDxfId="43"/>
    <tableColumn id="14" xr3:uid="{22068BCD-D10F-4B56-91F3-FDDCF3FFEF01}" name="OMPANY FFILE" dataDxfId="42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13E1FD-DC12-426E-924E-54B2C2B01EA7}" name="Table7" displayName="Table7" ref="A2:N28" totalsRowShown="0" headerRowDxfId="37" headerRowBorderDxfId="35" tableBorderDxfId="36" totalsRowBorderDxfId="34">
  <autoFilter ref="A2:N28" xr:uid="{3613E1FD-DC12-426E-924E-54B2C2B01EA7}"/>
  <tableColumns count="14">
    <tableColumn id="1" xr3:uid="{15160EB4-0547-4169-AF03-99DAF472391A}" name="S/N" dataDxfId="33"/>
    <tableColumn id="2" xr3:uid="{979AEFED-D9B7-4DBB-BB45-6383630CDBE1}" name="NAME OF MANUFACTURER" dataDxfId="32"/>
    <tableColumn id="3" xr3:uid="{CE5D5A42-1D2F-4AB6-9570-C53F9E203AA8}" name="LOCATION ADDRESS" dataDxfId="31"/>
    <tableColumn id="4" xr3:uid="{693E5E75-7AC4-4869-A565-949FC0E9D5AD}" name="CONTACT" dataDxfId="30"/>
    <tableColumn id="5" xr3:uid="{47BC4AB1-15FF-42A8-886B-3EDD386A2E41}" name="TYPE OF LAST INSPECTION" dataDxfId="29"/>
    <tableColumn id="6" xr3:uid="{A3497C0A-C59D-4A20-B6AC-9A2702A3BAFE}" name="DATE OF LAST INSPECTION" dataDxfId="28"/>
    <tableColumn id="7" xr3:uid="{D20BFDC0-A039-4B62-AE74-78040187B779}" name="FINDINGS" dataDxfId="27"/>
    <tableColumn id="8" xr3:uid="{D8C78D1E-0865-4AEF-A3E6-C8D198DB8623}" name="CAPA ISSUED DATE" dataDxfId="26"/>
    <tableColumn id="9" xr3:uid="{1A4EB88E-40BC-4137-A476-73E72A99A2AF}" name="CAPA SUBMITTED" dataDxfId="25"/>
    <tableColumn id="10" xr3:uid="{1B4A94DD-4453-40D5-9047-490F41901E70}" name="CONCLUSION" dataDxfId="24"/>
    <tableColumn id="11" xr3:uid="{686842EC-6518-4FAD-830D-96C3D5C3BFDD}" name="REMARKS" dataDxfId="23">
      <calculatedColumnFormula>IF(I3="YES","CAPA VERIFICATION SHOULD BE SCHEDULED",IF(I3="NO","REMINDER LETTER SHOULD BE SENT",""))</calculatedColumnFormula>
    </tableColumn>
    <tableColumn id="12" xr3:uid="{54D0DB59-F5D7-4DD1-A780-AC472BCF772D}" name="EXPECTED DATE OF INSPECTION" dataDxfId="22"/>
    <tableColumn id="13" xr3:uid="{76CF3633-B0AB-4CEB-BDD5-98293E1F2882}" name="COMPANY FILE" dataDxfId="21"/>
    <tableColumn id="14" xr3:uid="{EC715019-6A9C-428D-B837-769A19FCCFE4}" name="COMPANY FFILE" dataDxfId="20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E74DCB-BB7B-4735-AB5A-0F46B34AAA05}" name="Table8" displayName="Table8" ref="A2:N4" totalsRowShown="0" headerRowDxfId="17" headerRowBorderDxfId="15" tableBorderDxfId="16" totalsRowBorderDxfId="14">
  <autoFilter ref="A2:N4" xr:uid="{29E74DCB-BB7B-4735-AB5A-0F46B34AAA05}"/>
  <tableColumns count="14">
    <tableColumn id="1" xr3:uid="{32AE128E-898E-4A08-891A-60F10D2A1623}" name="S/N" dataDxfId="13"/>
    <tableColumn id="2" xr3:uid="{10D3345B-CEF2-447D-93A6-F50BF3C201D7}" name="NAME OF MANUFACTURER" dataDxfId="12"/>
    <tableColumn id="3" xr3:uid="{3C6F86CB-09DE-4C22-909E-BAAE2E59A5B2}" name="LOCATION ADDRESS" dataDxfId="11"/>
    <tableColumn id="4" xr3:uid="{88A3A15A-175C-4257-986E-ECFA43799843}" name="CONTACT" dataDxfId="10"/>
    <tableColumn id="5" xr3:uid="{D250D77A-E8F7-4B66-BCCA-864DF5CF08E3}" name="TYPE OF LAST INSPECTION" dataDxfId="9"/>
    <tableColumn id="6" xr3:uid="{F125B4D0-9FF4-473A-BC33-8E96EDE9EFAF}" name="DATE OF LAST INSPECTION" dataDxfId="8"/>
    <tableColumn id="7" xr3:uid="{86B09CEE-D813-4557-BAA2-1A6EE6C72056}" name="FINDINGS" dataDxfId="7"/>
    <tableColumn id="8" xr3:uid="{3FC31CD7-E60C-478E-A550-055B0ADD0B3E}" name="CAPA ISSUED DATE" dataDxfId="6"/>
    <tableColumn id="9" xr3:uid="{E2053DA7-900D-4833-9D23-BC03AA47151C}" name="CAPA SUBMITTED" dataDxfId="5"/>
    <tableColumn id="10" xr3:uid="{B5DD1FB0-47E4-41B9-AAAC-BAD3C9C822A8}" name="CONCLUSION" dataDxfId="4"/>
    <tableColumn id="11" xr3:uid="{BA9060A1-113D-4C3E-B6E7-B4EE66A0380F}" name="REMARKS" dataDxfId="3">
      <calculatedColumnFormula>IF(I3="YES","CAPA VERIFICATION SHOULD BE SCHEDULED",IF(I3="NO","REMINDER LETTER SHOULD BE SENT",""))</calculatedColumnFormula>
    </tableColumn>
    <tableColumn id="12" xr3:uid="{E1359B2B-DC0F-418D-AB0C-A8F7E90BC89F}" name="EXPECTED DATE OF INSPECTION" dataDxfId="2"/>
    <tableColumn id="13" xr3:uid="{044F09AA-98D6-4A65-ADD6-8D3E9A916802}" name="COMPANY FILE" dataDxfId="1"/>
    <tableColumn id="14" xr3:uid="{8B4A73BB-B2AF-4245-8870-F9B6D9536989}" name="OMPANY FFILE" dataDxfId="0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GSDP%20COMPANY%20FILES/YENKEE%20PHARM" TargetMode="External"/><Relationship Id="rId3" Type="http://schemas.openxmlformats.org/officeDocument/2006/relationships/hyperlink" Target="../../GDP%20(GOOD%20DISTRIBUTION%20PRATICE)/GSDP%20COMPANY%20FILES/KRISPHINA" TargetMode="External"/><Relationship Id="rId7" Type="http://schemas.openxmlformats.org/officeDocument/2006/relationships/hyperlink" Target="../GSDP%20COMPANY%20FILES/IKON%20PHARM%20NIG%20LTD" TargetMode="External"/><Relationship Id="rId2" Type="http://schemas.openxmlformats.org/officeDocument/2006/relationships/hyperlink" Target="../GSDP%20COMPANY%20FILES/AKU-UDO%20PHARMACY" TargetMode="External"/><Relationship Id="rId1" Type="http://schemas.openxmlformats.org/officeDocument/2006/relationships/hyperlink" Target="../GSDP%20COMPANY%20FILES/ABIROT" TargetMode="External"/><Relationship Id="rId6" Type="http://schemas.openxmlformats.org/officeDocument/2006/relationships/hyperlink" Target="../GSDP%20COMPANY%20FILES/IKON%20PHARM%20NIG%20LTD" TargetMode="External"/><Relationship Id="rId5" Type="http://schemas.openxmlformats.org/officeDocument/2006/relationships/hyperlink" Target="../../GDP%20(GOOD%20DISTRIBUTION%20PRATICE)/GSDP%20COMPANY%20FILES/AF-UCHENNA%20PHARM" TargetMode="External"/><Relationship Id="rId4" Type="http://schemas.openxmlformats.org/officeDocument/2006/relationships/hyperlink" Target="../../GDP%20(GOOD%20DISTRIBUTION%20PRATICE)/GSDP%20COMPANY%20FILES/KRISPHINA" TargetMode="External"/><Relationship Id="rId9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/GSDP%20COMPANY%20FILES/YENKEE%20PHARM" TargetMode="External"/><Relationship Id="rId2" Type="http://schemas.openxmlformats.org/officeDocument/2006/relationships/hyperlink" Target="../GSDP%20COMPANY%20FILES/IKON%20PHARM%20NIG%20LTD" TargetMode="External"/><Relationship Id="rId1" Type="http://schemas.openxmlformats.org/officeDocument/2006/relationships/hyperlink" Target="../GSDP%20COMPANY%20FILES/IKON%20PHARM%20NIG%20LTD" TargetMode="Externa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../../GDP%20(GOOD%20DISTRIBUTION%20PRATICE)/GSDP%20COMPANY%20FILES/KRISPHINA" TargetMode="External"/><Relationship Id="rId2" Type="http://schemas.openxmlformats.org/officeDocument/2006/relationships/hyperlink" Target="../GSDP%20COMPANY%20FILES/AKU-UDO%20PHARMACY" TargetMode="External"/><Relationship Id="rId1" Type="http://schemas.openxmlformats.org/officeDocument/2006/relationships/hyperlink" Target="../GSDP%20COMPANY%20FILES/ABIROT" TargetMode="External"/><Relationship Id="rId5" Type="http://schemas.openxmlformats.org/officeDocument/2006/relationships/table" Target="../tables/table5.xml"/><Relationship Id="rId4" Type="http://schemas.openxmlformats.org/officeDocument/2006/relationships/hyperlink" Target="../../GDP%20(GOOD%20DISTRIBUTION%20PRATICE)/GSDP%20COMPANY%20FILES/AF-UCHENNA%20PHAR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56E2-C7BC-40A0-9981-F947EE6A8F2A}">
  <dimension ref="A3:B9"/>
  <sheetViews>
    <sheetView workbookViewId="0">
      <selection activeCell="B9" sqref="A3:B9"/>
    </sheetView>
  </sheetViews>
  <sheetFormatPr defaultRowHeight="14.45"/>
  <cols>
    <col min="1" max="1" width="15.28515625" bestFit="1" customWidth="1"/>
    <col min="2" max="2" width="18.140625" bestFit="1" customWidth="1"/>
  </cols>
  <sheetData>
    <row r="3" spans="1:2">
      <c r="A3" s="35" t="s">
        <v>0</v>
      </c>
      <c r="B3" t="s">
        <v>1</v>
      </c>
    </row>
    <row r="4" spans="1:2">
      <c r="A4" t="s">
        <v>2</v>
      </c>
      <c r="B4">
        <v>23</v>
      </c>
    </row>
    <row r="5" spans="1:2">
      <c r="A5" t="s">
        <v>3</v>
      </c>
      <c r="B5">
        <v>8</v>
      </c>
    </row>
    <row r="6" spans="1:2">
      <c r="A6" t="s">
        <v>4</v>
      </c>
      <c r="B6">
        <v>19</v>
      </c>
    </row>
    <row r="7" spans="1:2">
      <c r="A7" t="s">
        <v>5</v>
      </c>
      <c r="B7">
        <v>4</v>
      </c>
    </row>
    <row r="8" spans="1:2">
      <c r="A8" t="s">
        <v>6</v>
      </c>
    </row>
    <row r="9" spans="1:2">
      <c r="A9" t="s">
        <v>7</v>
      </c>
      <c r="B9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F0BD-27D5-495E-A3AB-E13E1F8474AA}">
  <dimension ref="A1:R67"/>
  <sheetViews>
    <sheetView tabSelected="1" zoomScale="55" zoomScaleNormal="55" workbookViewId="0">
      <selection activeCell="F56" sqref="F56"/>
    </sheetView>
  </sheetViews>
  <sheetFormatPr defaultColWidth="8.85546875" defaultRowHeight="14.45"/>
  <cols>
    <col min="1" max="1" width="7" style="3" customWidth="1"/>
    <col min="2" max="2" width="43.85546875" style="3" customWidth="1"/>
    <col min="3" max="3" width="27.5703125" style="3" customWidth="1"/>
    <col min="4" max="4" width="28.7109375" style="3" customWidth="1"/>
    <col min="5" max="5" width="27.140625" style="3" customWidth="1"/>
    <col min="6" max="6" width="25.5703125" style="3" customWidth="1"/>
    <col min="7" max="7" width="34.7109375" style="37" customWidth="1"/>
    <col min="8" max="8" width="18.5703125" style="3" customWidth="1"/>
    <col min="9" max="9" width="21.42578125" style="3" customWidth="1"/>
    <col min="10" max="10" width="24.28515625" style="3" customWidth="1"/>
    <col min="11" max="11" width="22.85546875" style="3" customWidth="1"/>
    <col min="12" max="12" width="22.85546875" style="34" customWidth="1"/>
    <col min="13" max="13" width="8.85546875" style="34" customWidth="1"/>
    <col min="14" max="14" width="26.140625" style="3" hidden="1" customWidth="1"/>
    <col min="15" max="15" width="19.28515625" style="3" customWidth="1"/>
    <col min="16" max="16384" width="8.85546875" style="3"/>
  </cols>
  <sheetData>
    <row r="1" spans="1:18" ht="17.45">
      <c r="A1" s="103" t="s">
        <v>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"/>
      <c r="M1" s="2"/>
      <c r="O1" s="2"/>
    </row>
    <row r="2" spans="1:18" ht="93.6">
      <c r="A2" s="4" t="s">
        <v>9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0</v>
      </c>
      <c r="I2" s="5" t="s">
        <v>16</v>
      </c>
      <c r="J2" s="5" t="s">
        <v>17</v>
      </c>
      <c r="K2" s="5" t="s">
        <v>18</v>
      </c>
      <c r="L2" s="5" t="s">
        <v>19</v>
      </c>
      <c r="M2" s="7" t="s">
        <v>20</v>
      </c>
      <c r="N2" s="3" t="s">
        <v>21</v>
      </c>
      <c r="O2" s="5" t="s">
        <v>22</v>
      </c>
      <c r="Q2" s="8"/>
      <c r="R2" s="8"/>
    </row>
    <row r="3" spans="1:18" ht="28.15">
      <c r="A3" s="61">
        <v>1</v>
      </c>
      <c r="B3" s="62" t="s">
        <v>23</v>
      </c>
      <c r="C3" s="63" t="s">
        <v>24</v>
      </c>
      <c r="D3" s="64" t="s">
        <v>25</v>
      </c>
      <c r="E3" s="62" t="s">
        <v>26</v>
      </c>
      <c r="F3" s="65" t="s">
        <v>27</v>
      </c>
      <c r="G3" s="65">
        <v>44642</v>
      </c>
      <c r="H3" s="67" t="s">
        <v>4</v>
      </c>
      <c r="I3" s="68">
        <v>44656</v>
      </c>
      <c r="J3" s="67" t="s">
        <v>28</v>
      </c>
      <c r="K3" s="69" t="s">
        <v>29</v>
      </c>
      <c r="L3" s="69" t="s">
        <v>30</v>
      </c>
      <c r="M3" s="9">
        <v>45017</v>
      </c>
      <c r="N3" s="36" t="s">
        <v>31</v>
      </c>
      <c r="O3" s="10" t="str">
        <f t="shared" ref="O3:O33" si="0">IF(N3="","",HYPERLINK(N3,B3))</f>
        <v>IKON PHARM NIG LTD</v>
      </c>
    </row>
    <row r="4" spans="1:18" ht="42">
      <c r="A4" s="70">
        <v>2</v>
      </c>
      <c r="B4" s="62" t="s">
        <v>32</v>
      </c>
      <c r="C4" s="63" t="s">
        <v>33</v>
      </c>
      <c r="D4" s="71" t="s">
        <v>34</v>
      </c>
      <c r="E4" s="62" t="s">
        <v>26</v>
      </c>
      <c r="F4" s="72" t="s">
        <v>27</v>
      </c>
      <c r="G4" s="65">
        <v>44642</v>
      </c>
      <c r="H4" s="67" t="s">
        <v>4</v>
      </c>
      <c r="I4" s="68">
        <v>44656</v>
      </c>
      <c r="J4" s="67" t="s">
        <v>28</v>
      </c>
      <c r="K4" s="69" t="s">
        <v>29</v>
      </c>
      <c r="L4" s="69" t="s">
        <v>30</v>
      </c>
      <c r="M4" s="9">
        <v>45017</v>
      </c>
      <c r="N4" s="36" t="s">
        <v>31</v>
      </c>
      <c r="O4" s="11" t="str">
        <f t="shared" si="0"/>
        <v>IKON PHARM NIG LTD (BRANCH)</v>
      </c>
    </row>
    <row r="5" spans="1:18" ht="42">
      <c r="A5" s="70">
        <v>3</v>
      </c>
      <c r="B5" s="62" t="s">
        <v>35</v>
      </c>
      <c r="C5" s="63" t="s">
        <v>36</v>
      </c>
      <c r="D5" s="71" t="s">
        <v>37</v>
      </c>
      <c r="E5" s="62" t="s">
        <v>26</v>
      </c>
      <c r="F5" s="69" t="s">
        <v>27</v>
      </c>
      <c r="G5" s="65">
        <v>44642</v>
      </c>
      <c r="H5" s="67" t="s">
        <v>4</v>
      </c>
      <c r="I5" s="68">
        <v>44656</v>
      </c>
      <c r="J5" s="67" t="s">
        <v>38</v>
      </c>
      <c r="K5" s="69" t="s">
        <v>39</v>
      </c>
      <c r="L5" s="69" t="s">
        <v>40</v>
      </c>
      <c r="M5" s="9">
        <v>45017</v>
      </c>
      <c r="N5" s="36" t="s">
        <v>41</v>
      </c>
      <c r="O5" s="11" t="str">
        <f t="shared" si="0"/>
        <v>YANKEE PHARM CO.NIG LTD</v>
      </c>
    </row>
    <row r="6" spans="1:18" ht="42">
      <c r="A6" s="70">
        <v>4</v>
      </c>
      <c r="B6" s="62" t="s">
        <v>42</v>
      </c>
      <c r="C6" s="63" t="s">
        <v>43</v>
      </c>
      <c r="D6" s="71" t="s">
        <v>44</v>
      </c>
      <c r="E6" s="62" t="s">
        <v>26</v>
      </c>
      <c r="F6" s="72" t="s">
        <v>27</v>
      </c>
      <c r="G6" s="65">
        <v>44642</v>
      </c>
      <c r="H6" s="67" t="s">
        <v>4</v>
      </c>
      <c r="I6" s="68">
        <v>44656</v>
      </c>
      <c r="J6" s="67" t="s">
        <v>38</v>
      </c>
      <c r="K6" s="69" t="s">
        <v>45</v>
      </c>
      <c r="L6" s="69" t="s">
        <v>40</v>
      </c>
      <c r="M6" s="9">
        <v>45017</v>
      </c>
      <c r="N6" t="s">
        <v>46</v>
      </c>
      <c r="O6" s="11" t="str">
        <f t="shared" si="0"/>
        <v>ESTYBEE PHARM LTD</v>
      </c>
    </row>
    <row r="7" spans="1:18" ht="42">
      <c r="A7" s="70">
        <v>5</v>
      </c>
      <c r="B7" s="62" t="s">
        <v>47</v>
      </c>
      <c r="C7" s="63" t="s">
        <v>48</v>
      </c>
      <c r="D7" s="71" t="s">
        <v>49</v>
      </c>
      <c r="E7" s="62" t="s">
        <v>26</v>
      </c>
      <c r="F7" s="72" t="s">
        <v>50</v>
      </c>
      <c r="G7" s="65">
        <v>44643</v>
      </c>
      <c r="H7" s="67" t="s">
        <v>4</v>
      </c>
      <c r="I7" s="68">
        <v>44656</v>
      </c>
      <c r="J7" s="67" t="s">
        <v>38</v>
      </c>
      <c r="K7" s="69" t="s">
        <v>45</v>
      </c>
      <c r="L7" s="69" t="s">
        <v>40</v>
      </c>
      <c r="M7" s="9">
        <v>45017</v>
      </c>
      <c r="N7" t="s">
        <v>51</v>
      </c>
      <c r="O7" s="11" t="str">
        <f t="shared" si="0"/>
        <v>BENATO PHARM LTD</v>
      </c>
    </row>
    <row r="8" spans="1:18" ht="28.15">
      <c r="A8" s="70">
        <v>6</v>
      </c>
      <c r="B8" s="62" t="s">
        <v>52</v>
      </c>
      <c r="C8" s="63" t="s">
        <v>53</v>
      </c>
      <c r="D8" s="71" t="s">
        <v>54</v>
      </c>
      <c r="E8" s="62" t="s">
        <v>26</v>
      </c>
      <c r="F8" s="72" t="s">
        <v>50</v>
      </c>
      <c r="G8" s="65">
        <v>44643</v>
      </c>
      <c r="H8" s="67" t="s">
        <v>2</v>
      </c>
      <c r="I8" s="68">
        <v>44656</v>
      </c>
      <c r="J8" s="67" t="s">
        <v>28</v>
      </c>
      <c r="K8" s="69" t="s">
        <v>29</v>
      </c>
      <c r="L8" s="69" t="s">
        <v>30</v>
      </c>
      <c r="M8" s="73">
        <v>44835</v>
      </c>
      <c r="N8" t="s">
        <v>55</v>
      </c>
      <c r="O8" s="11" t="str">
        <f t="shared" si="0"/>
        <v>TIBRO PHARM CO. LTD</v>
      </c>
    </row>
    <row r="9" spans="1:18" ht="28.9">
      <c r="A9" s="70">
        <v>7</v>
      </c>
      <c r="B9" s="62" t="s">
        <v>56</v>
      </c>
      <c r="C9" s="63" t="s">
        <v>57</v>
      </c>
      <c r="D9" s="71" t="s">
        <v>58</v>
      </c>
      <c r="E9" s="62" t="s">
        <v>26</v>
      </c>
      <c r="F9" s="72" t="s">
        <v>50</v>
      </c>
      <c r="G9" s="65">
        <v>44643</v>
      </c>
      <c r="H9" s="67" t="s">
        <v>4</v>
      </c>
      <c r="I9" s="68">
        <v>44656</v>
      </c>
      <c r="J9" s="67" t="s">
        <v>28</v>
      </c>
      <c r="K9" s="69" t="s">
        <v>29</v>
      </c>
      <c r="L9" s="69" t="s">
        <v>30</v>
      </c>
      <c r="M9" s="73">
        <v>45017</v>
      </c>
      <c r="N9" t="s">
        <v>59</v>
      </c>
      <c r="O9" s="11" t="str">
        <f t="shared" si="0"/>
        <v>LIFE POINT PHARM LTD</v>
      </c>
    </row>
    <row r="10" spans="1:18" ht="28.15">
      <c r="A10" s="70">
        <v>8</v>
      </c>
      <c r="B10" s="62" t="s">
        <v>60</v>
      </c>
      <c r="C10" s="63" t="s">
        <v>61</v>
      </c>
      <c r="D10" s="71" t="s">
        <v>62</v>
      </c>
      <c r="E10" s="62" t="s">
        <v>26</v>
      </c>
      <c r="F10" s="72" t="s">
        <v>63</v>
      </c>
      <c r="G10" s="65">
        <v>44644</v>
      </c>
      <c r="H10" s="67" t="s">
        <v>2</v>
      </c>
      <c r="I10" s="68">
        <v>44656</v>
      </c>
      <c r="J10" s="67" t="s">
        <v>28</v>
      </c>
      <c r="K10" s="69" t="s">
        <v>29</v>
      </c>
      <c r="L10" s="69" t="s">
        <v>30</v>
      </c>
      <c r="M10" s="73">
        <v>44835</v>
      </c>
      <c r="N10" s="12"/>
      <c r="O10" s="11" t="str">
        <f t="shared" si="0"/>
        <v/>
      </c>
    </row>
    <row r="11" spans="1:18" ht="43.15">
      <c r="A11" s="70">
        <v>9</v>
      </c>
      <c r="B11" s="74" t="s">
        <v>64</v>
      </c>
      <c r="C11" s="63" t="s">
        <v>65</v>
      </c>
      <c r="D11" s="71" t="s">
        <v>66</v>
      </c>
      <c r="E11" s="62" t="s">
        <v>26</v>
      </c>
      <c r="F11" s="72" t="s">
        <v>63</v>
      </c>
      <c r="G11" s="65">
        <v>44644</v>
      </c>
      <c r="H11" s="67" t="s">
        <v>4</v>
      </c>
      <c r="I11" s="68">
        <v>44656</v>
      </c>
      <c r="J11" s="67" t="s">
        <v>38</v>
      </c>
      <c r="K11" s="69" t="s">
        <v>67</v>
      </c>
      <c r="L11" s="69" t="s">
        <v>40</v>
      </c>
      <c r="M11" s="73">
        <v>45017</v>
      </c>
      <c r="N11" t="s">
        <v>68</v>
      </c>
      <c r="O11" s="11" t="str">
        <f t="shared" si="0"/>
        <v>GEMINI PHARMACEUTICALS NIGERIA LTD</v>
      </c>
    </row>
    <row r="12" spans="1:18" ht="43.15">
      <c r="A12" s="70">
        <v>10</v>
      </c>
      <c r="B12" s="74" t="s">
        <v>69</v>
      </c>
      <c r="C12" s="63" t="s">
        <v>70</v>
      </c>
      <c r="D12" s="71" t="s">
        <v>71</v>
      </c>
      <c r="E12" s="62" t="s">
        <v>26</v>
      </c>
      <c r="F12" s="72" t="s">
        <v>72</v>
      </c>
      <c r="G12" s="65">
        <v>44677</v>
      </c>
      <c r="H12" s="67" t="s">
        <v>3</v>
      </c>
      <c r="I12" s="67" t="s">
        <v>73</v>
      </c>
      <c r="J12" s="67" t="s">
        <v>38</v>
      </c>
      <c r="K12" s="69" t="s">
        <v>74</v>
      </c>
      <c r="L12" s="69" t="s">
        <v>40</v>
      </c>
      <c r="M12" s="73">
        <v>45413</v>
      </c>
      <c r="N12" t="s">
        <v>75</v>
      </c>
      <c r="O12" s="11" t="str">
        <f t="shared" si="0"/>
        <v>EMZOR PHARMACEUTICAL INDUSTRIES LTD</v>
      </c>
    </row>
    <row r="13" spans="1:18" ht="42">
      <c r="A13" s="70">
        <v>11</v>
      </c>
      <c r="B13" s="62" t="s">
        <v>76</v>
      </c>
      <c r="C13" s="63" t="s">
        <v>77</v>
      </c>
      <c r="D13" s="71" t="s">
        <v>78</v>
      </c>
      <c r="E13" s="62" t="s">
        <v>26</v>
      </c>
      <c r="F13" s="72" t="s">
        <v>72</v>
      </c>
      <c r="G13" s="65">
        <v>44677</v>
      </c>
      <c r="H13" s="67" t="s">
        <v>3</v>
      </c>
      <c r="I13" s="67" t="s">
        <v>73</v>
      </c>
      <c r="J13" s="67" t="s">
        <v>38</v>
      </c>
      <c r="K13" s="69" t="s">
        <v>79</v>
      </c>
      <c r="L13" s="69" t="s">
        <v>40</v>
      </c>
      <c r="M13" s="73">
        <v>45413</v>
      </c>
      <c r="N13" t="s">
        <v>80</v>
      </c>
      <c r="O13" s="11" t="str">
        <f t="shared" si="0"/>
        <v>SAFCO MEGA SOLUTION LTD</v>
      </c>
    </row>
    <row r="14" spans="1:18" ht="28.9">
      <c r="A14" s="70">
        <v>12</v>
      </c>
      <c r="B14" s="62" t="s">
        <v>81</v>
      </c>
      <c r="C14" s="63" t="s">
        <v>82</v>
      </c>
      <c r="D14" s="71" t="s">
        <v>83</v>
      </c>
      <c r="E14" s="62" t="s">
        <v>26</v>
      </c>
      <c r="F14" s="72" t="s">
        <v>72</v>
      </c>
      <c r="G14" s="65">
        <v>44677</v>
      </c>
      <c r="H14" s="67" t="s">
        <v>2</v>
      </c>
      <c r="I14" s="67" t="s">
        <v>84</v>
      </c>
      <c r="J14" s="67" t="s">
        <v>38</v>
      </c>
      <c r="K14" s="69" t="s">
        <v>85</v>
      </c>
      <c r="L14" s="69"/>
      <c r="M14" s="73">
        <v>44713</v>
      </c>
      <c r="N14" t="s">
        <v>86</v>
      </c>
      <c r="O14" s="11" t="str">
        <f t="shared" si="0"/>
        <v>ELFIMO PHARMACY LTD</v>
      </c>
    </row>
    <row r="15" spans="1:18" ht="28.9">
      <c r="A15" s="70">
        <v>13</v>
      </c>
      <c r="B15" s="62" t="s">
        <v>87</v>
      </c>
      <c r="C15" s="63" t="s">
        <v>88</v>
      </c>
      <c r="D15" s="64" t="s">
        <v>89</v>
      </c>
      <c r="E15" s="62" t="s">
        <v>26</v>
      </c>
      <c r="F15" s="72" t="s">
        <v>90</v>
      </c>
      <c r="G15" s="65">
        <v>44721</v>
      </c>
      <c r="H15" s="67" t="s">
        <v>4</v>
      </c>
      <c r="I15" s="67" t="s">
        <v>91</v>
      </c>
      <c r="J15" s="67" t="s">
        <v>28</v>
      </c>
      <c r="K15" s="69" t="s">
        <v>29</v>
      </c>
      <c r="L15" s="69" t="s">
        <v>30</v>
      </c>
      <c r="M15" s="73">
        <v>45078</v>
      </c>
      <c r="N15" t="s">
        <v>92</v>
      </c>
      <c r="O15" s="11" t="str">
        <f t="shared" si="0"/>
        <v>ANOBS PHARMACY &amp; STORES LTD</v>
      </c>
    </row>
    <row r="16" spans="1:18" ht="42">
      <c r="A16" s="70">
        <v>14</v>
      </c>
      <c r="B16" s="62" t="s">
        <v>93</v>
      </c>
      <c r="C16" s="13" t="s">
        <v>94</v>
      </c>
      <c r="D16" s="64" t="s">
        <v>95</v>
      </c>
      <c r="E16" s="62" t="s">
        <v>26</v>
      </c>
      <c r="F16" s="72" t="s">
        <v>96</v>
      </c>
      <c r="G16" s="65">
        <v>44722</v>
      </c>
      <c r="H16" s="67" t="s">
        <v>4</v>
      </c>
      <c r="I16" s="67" t="s">
        <v>97</v>
      </c>
      <c r="J16" s="67" t="s">
        <v>38</v>
      </c>
      <c r="K16" s="69" t="s">
        <v>98</v>
      </c>
      <c r="L16" s="69" t="s">
        <v>40</v>
      </c>
      <c r="M16" s="73">
        <v>45078</v>
      </c>
      <c r="N16" t="s">
        <v>99</v>
      </c>
      <c r="O16" s="11" t="str">
        <f t="shared" si="0"/>
        <v>ALL ROUND HEALTH LTD</v>
      </c>
    </row>
    <row r="17" spans="1:15" ht="69.599999999999994">
      <c r="A17" s="70">
        <v>15</v>
      </c>
      <c r="B17" s="62" t="s">
        <v>100</v>
      </c>
      <c r="C17" s="13" t="s">
        <v>101</v>
      </c>
      <c r="D17" s="64" t="s">
        <v>102</v>
      </c>
      <c r="E17" s="62" t="s">
        <v>26</v>
      </c>
      <c r="F17" s="72" t="s">
        <v>96</v>
      </c>
      <c r="G17" s="65">
        <v>44722</v>
      </c>
      <c r="H17" s="14" t="s">
        <v>5</v>
      </c>
      <c r="I17" s="14" t="s">
        <v>5</v>
      </c>
      <c r="J17" s="15" t="s">
        <v>28</v>
      </c>
      <c r="K17" s="16" t="s">
        <v>103</v>
      </c>
      <c r="L17" s="69" t="s">
        <v>104</v>
      </c>
      <c r="M17" s="17"/>
      <c r="N17" t="s">
        <v>105</v>
      </c>
      <c r="O17" s="11" t="str">
        <f t="shared" si="0"/>
        <v>OCICAN PHARMACY &amp; STORES LTD.</v>
      </c>
    </row>
    <row r="18" spans="1:15" ht="42">
      <c r="A18" s="70">
        <v>16</v>
      </c>
      <c r="B18" s="74" t="s">
        <v>106</v>
      </c>
      <c r="C18" s="13" t="s">
        <v>107</v>
      </c>
      <c r="D18" s="64" t="s">
        <v>108</v>
      </c>
      <c r="E18" s="62" t="s">
        <v>26</v>
      </c>
      <c r="F18" s="72" t="s">
        <v>109</v>
      </c>
      <c r="G18" s="65">
        <v>44726</v>
      </c>
      <c r="H18" s="75" t="s">
        <v>4</v>
      </c>
      <c r="I18" s="67" t="s">
        <v>97</v>
      </c>
      <c r="J18" s="67" t="s">
        <v>38</v>
      </c>
      <c r="K18" s="69" t="s">
        <v>29</v>
      </c>
      <c r="L18" s="69" t="str">
        <f t="shared" ref="L18:L33" si="1">IF(J18="YES","CAPA VERIFICATION SHOULD BE SCHEDULED",IF(J18="NO","REMINDER LETTER SHOULD BE SENT",""))</f>
        <v>CAPA VERIFICATION SHOULD BE SCHEDULED</v>
      </c>
      <c r="M18" s="73">
        <v>45078</v>
      </c>
      <c r="N18" t="s">
        <v>110</v>
      </c>
      <c r="O18" s="18" t="str">
        <f t="shared" si="0"/>
        <v>ALL SAINTS PHARM &amp; ALLIED PROD. INT’L LTD.</v>
      </c>
    </row>
    <row r="19" spans="1:15" ht="28.15">
      <c r="A19" s="70">
        <v>17</v>
      </c>
      <c r="B19" s="62" t="s">
        <v>111</v>
      </c>
      <c r="C19" s="13" t="s">
        <v>112</v>
      </c>
      <c r="D19" s="64" t="s">
        <v>113</v>
      </c>
      <c r="E19" s="62" t="s">
        <v>26</v>
      </c>
      <c r="F19" s="72" t="s">
        <v>114</v>
      </c>
      <c r="G19" s="65">
        <v>44727</v>
      </c>
      <c r="H19" s="75" t="s">
        <v>4</v>
      </c>
      <c r="I19" s="75" t="s">
        <v>91</v>
      </c>
      <c r="J19" s="67" t="s">
        <v>28</v>
      </c>
      <c r="K19" s="69" t="s">
        <v>29</v>
      </c>
      <c r="L19" s="69" t="str">
        <f t="shared" si="1"/>
        <v>REMINDER LETTER SHOULD BE SENT</v>
      </c>
      <c r="M19" s="73">
        <v>45078</v>
      </c>
      <c r="N19" t="s">
        <v>115</v>
      </c>
      <c r="O19" s="11" t="str">
        <f t="shared" si="0"/>
        <v xml:space="preserve">ANGANS PHARMACY </v>
      </c>
    </row>
    <row r="20" spans="1:15" ht="43.15">
      <c r="A20" s="70">
        <v>18</v>
      </c>
      <c r="B20" s="62" t="s">
        <v>116</v>
      </c>
      <c r="C20" s="63" t="s">
        <v>117</v>
      </c>
      <c r="D20" s="64" t="s">
        <v>118</v>
      </c>
      <c r="E20" s="62" t="s">
        <v>26</v>
      </c>
      <c r="F20" s="72" t="s">
        <v>114</v>
      </c>
      <c r="G20" s="65">
        <v>44727</v>
      </c>
      <c r="H20" s="75" t="s">
        <v>4</v>
      </c>
      <c r="I20" s="75" t="s">
        <v>91</v>
      </c>
      <c r="J20" s="67" t="s">
        <v>28</v>
      </c>
      <c r="K20" s="69" t="s">
        <v>29</v>
      </c>
      <c r="L20" s="69" t="str">
        <f t="shared" si="1"/>
        <v>REMINDER LETTER SHOULD BE SENT</v>
      </c>
      <c r="M20" s="73">
        <v>45078</v>
      </c>
      <c r="N20" t="s">
        <v>119</v>
      </c>
      <c r="O20" s="11" t="str">
        <f t="shared" si="0"/>
        <v>CEEMMAX PHARMACEUTICALS LTD</v>
      </c>
    </row>
    <row r="21" spans="1:15" ht="43.15">
      <c r="A21" s="70">
        <v>19</v>
      </c>
      <c r="B21" s="74" t="s">
        <v>120</v>
      </c>
      <c r="C21" s="63" t="s">
        <v>121</v>
      </c>
      <c r="D21" s="64" t="s">
        <v>122</v>
      </c>
      <c r="E21" s="62" t="s">
        <v>26</v>
      </c>
      <c r="F21" s="72" t="s">
        <v>114</v>
      </c>
      <c r="G21" s="65">
        <v>44727</v>
      </c>
      <c r="H21" s="75" t="s">
        <v>4</v>
      </c>
      <c r="I21" s="75"/>
      <c r="J21" s="67" t="s">
        <v>28</v>
      </c>
      <c r="K21" s="69" t="s">
        <v>29</v>
      </c>
      <c r="L21" s="69" t="str">
        <f t="shared" si="1"/>
        <v>REMINDER LETTER SHOULD BE SENT</v>
      </c>
      <c r="M21" s="73">
        <v>45078</v>
      </c>
      <c r="N21" t="s">
        <v>123</v>
      </c>
      <c r="O21" s="11" t="str">
        <f t="shared" si="0"/>
        <v>HEPHZEBAH PHARM &amp; ALLIED PRODUCTS LTD</v>
      </c>
    </row>
    <row r="22" spans="1:15" ht="28.9">
      <c r="A22" s="70">
        <v>20</v>
      </c>
      <c r="B22" s="62" t="s">
        <v>124</v>
      </c>
      <c r="C22" s="63" t="s">
        <v>125</v>
      </c>
      <c r="D22" s="64" t="s">
        <v>126</v>
      </c>
      <c r="E22" s="62" t="s">
        <v>26</v>
      </c>
      <c r="F22" s="72" t="s">
        <v>127</v>
      </c>
      <c r="G22" s="65">
        <v>44728</v>
      </c>
      <c r="H22" s="75" t="s">
        <v>4</v>
      </c>
      <c r="I22" s="75"/>
      <c r="J22" s="67" t="s">
        <v>5</v>
      </c>
      <c r="K22" s="69" t="s">
        <v>29</v>
      </c>
      <c r="L22" s="69" t="str">
        <f t="shared" si="1"/>
        <v/>
      </c>
      <c r="M22" s="73">
        <v>45078</v>
      </c>
      <c r="N22" t="s">
        <v>128</v>
      </c>
      <c r="O22" s="11" t="str">
        <f t="shared" si="0"/>
        <v>MEEK MEDICAL CO. NIG. LTD</v>
      </c>
    </row>
    <row r="23" spans="1:15" ht="42">
      <c r="A23" s="70">
        <v>21</v>
      </c>
      <c r="B23" s="62" t="s">
        <v>129</v>
      </c>
      <c r="C23" s="63" t="s">
        <v>130</v>
      </c>
      <c r="D23" s="64" t="s">
        <v>131</v>
      </c>
      <c r="E23" s="62" t="s">
        <v>26</v>
      </c>
      <c r="F23" s="72" t="s">
        <v>132</v>
      </c>
      <c r="G23" s="65">
        <v>44732</v>
      </c>
      <c r="H23" s="67" t="s">
        <v>2</v>
      </c>
      <c r="I23" s="75" t="s">
        <v>91</v>
      </c>
      <c r="J23" s="67" t="s">
        <v>38</v>
      </c>
      <c r="K23" s="69" t="s">
        <v>29</v>
      </c>
      <c r="L23" s="69" t="str">
        <f t="shared" si="1"/>
        <v>CAPA VERIFICATION SHOULD BE SCHEDULED</v>
      </c>
      <c r="M23" s="76">
        <v>44896</v>
      </c>
      <c r="N23" t="s">
        <v>133</v>
      </c>
      <c r="O23" s="11" t="str">
        <f t="shared" si="0"/>
        <v>B-EMMANUEL PHARMACY</v>
      </c>
    </row>
    <row r="24" spans="1:15" ht="43.15">
      <c r="A24" s="70">
        <v>22</v>
      </c>
      <c r="B24" s="62" t="s">
        <v>134</v>
      </c>
      <c r="C24" s="63" t="s">
        <v>135</v>
      </c>
      <c r="D24" s="64" t="s">
        <v>136</v>
      </c>
      <c r="E24" s="62" t="s">
        <v>26</v>
      </c>
      <c r="F24" s="72" t="s">
        <v>132</v>
      </c>
      <c r="G24" s="65">
        <v>44732</v>
      </c>
      <c r="H24" s="67" t="s">
        <v>2</v>
      </c>
      <c r="I24" s="75" t="s">
        <v>91</v>
      </c>
      <c r="J24" s="67" t="s">
        <v>28</v>
      </c>
      <c r="K24" s="69" t="s">
        <v>29</v>
      </c>
      <c r="L24" s="69" t="str">
        <f t="shared" si="1"/>
        <v>REMINDER LETTER SHOULD BE SENT</v>
      </c>
      <c r="M24" s="77"/>
      <c r="N24" s="12" t="s">
        <v>137</v>
      </c>
      <c r="O24" s="11" t="str">
        <f t="shared" si="0"/>
        <v>KRISPHINA PHARMACEUTICAL LTD</v>
      </c>
    </row>
    <row r="25" spans="1:15" ht="42">
      <c r="A25" s="70">
        <v>23</v>
      </c>
      <c r="B25" s="62" t="s">
        <v>138</v>
      </c>
      <c r="C25" s="63" t="s">
        <v>139</v>
      </c>
      <c r="D25" s="64" t="s">
        <v>140</v>
      </c>
      <c r="E25" s="62" t="s">
        <v>26</v>
      </c>
      <c r="F25" s="72" t="s">
        <v>132</v>
      </c>
      <c r="G25" s="65">
        <v>44732</v>
      </c>
      <c r="H25" s="67" t="s">
        <v>4</v>
      </c>
      <c r="I25" s="67" t="s">
        <v>97</v>
      </c>
      <c r="J25" s="67" t="s">
        <v>28</v>
      </c>
      <c r="K25" s="69" t="s">
        <v>29</v>
      </c>
      <c r="L25" s="69" t="str">
        <f t="shared" si="1"/>
        <v>REMINDER LETTER SHOULD BE SENT</v>
      </c>
      <c r="M25" s="73">
        <v>45078</v>
      </c>
      <c r="N25" t="s">
        <v>141</v>
      </c>
      <c r="O25" s="11" t="str">
        <f t="shared" si="0"/>
        <v>C.U. PEDRO PHARM. NIG. LTD</v>
      </c>
    </row>
    <row r="26" spans="1:15" ht="28.9">
      <c r="A26" s="70">
        <v>24</v>
      </c>
      <c r="B26" s="62" t="s">
        <v>142</v>
      </c>
      <c r="C26" s="63" t="s">
        <v>143</v>
      </c>
      <c r="D26" s="64" t="s">
        <v>144</v>
      </c>
      <c r="E26" s="62" t="s">
        <v>26</v>
      </c>
      <c r="F26" s="72" t="s">
        <v>132</v>
      </c>
      <c r="G26" s="65">
        <v>44732</v>
      </c>
      <c r="H26" s="75" t="s">
        <v>4</v>
      </c>
      <c r="I26" s="75" t="s">
        <v>97</v>
      </c>
      <c r="J26" s="67" t="s">
        <v>28</v>
      </c>
      <c r="K26" s="69" t="s">
        <v>29</v>
      </c>
      <c r="L26" s="69" t="str">
        <f t="shared" si="1"/>
        <v>REMINDER LETTER SHOULD BE SENT</v>
      </c>
      <c r="M26" s="73">
        <v>45078</v>
      </c>
      <c r="N26" t="s">
        <v>145</v>
      </c>
      <c r="O26" s="11" t="str">
        <f t="shared" si="0"/>
        <v>JUDE THADDY PHARMACY</v>
      </c>
    </row>
    <row r="27" spans="1:15" ht="43.15">
      <c r="A27" s="70">
        <v>25</v>
      </c>
      <c r="B27" s="74" t="s">
        <v>146</v>
      </c>
      <c r="C27" s="63" t="s">
        <v>147</v>
      </c>
      <c r="D27" s="64" t="s">
        <v>148</v>
      </c>
      <c r="E27" s="62" t="s">
        <v>26</v>
      </c>
      <c r="F27" s="72" t="s">
        <v>149</v>
      </c>
      <c r="G27" s="65">
        <v>44733</v>
      </c>
      <c r="H27" s="67" t="s">
        <v>2</v>
      </c>
      <c r="I27" s="75" t="s">
        <v>91</v>
      </c>
      <c r="J27" s="67" t="s">
        <v>28</v>
      </c>
      <c r="K27" s="69" t="s">
        <v>29</v>
      </c>
      <c r="L27" s="69" t="str">
        <f t="shared" si="1"/>
        <v>REMINDER LETTER SHOULD BE SENT</v>
      </c>
      <c r="M27" s="73">
        <v>44896</v>
      </c>
      <c r="N27" t="s">
        <v>150</v>
      </c>
      <c r="O27" s="11" t="str">
        <f t="shared" si="0"/>
        <v>FRANPHINO PHARMACEUTICAL NIG. LTD</v>
      </c>
    </row>
    <row r="28" spans="1:15" ht="42">
      <c r="A28" s="70">
        <v>26</v>
      </c>
      <c r="B28" s="62" t="s">
        <v>151</v>
      </c>
      <c r="C28" s="63" t="s">
        <v>152</v>
      </c>
      <c r="D28" s="64" t="s">
        <v>153</v>
      </c>
      <c r="E28" s="62" t="s">
        <v>26</v>
      </c>
      <c r="F28" s="72" t="s">
        <v>149</v>
      </c>
      <c r="G28" s="65">
        <v>44733</v>
      </c>
      <c r="H28" s="67" t="s">
        <v>2</v>
      </c>
      <c r="I28" s="67" t="s">
        <v>97</v>
      </c>
      <c r="J28" s="67" t="s">
        <v>38</v>
      </c>
      <c r="K28" s="69" t="s">
        <v>154</v>
      </c>
      <c r="L28" s="69" t="str">
        <f t="shared" si="1"/>
        <v>CAPA VERIFICATION SHOULD BE SCHEDULED</v>
      </c>
      <c r="M28" s="73">
        <v>44896</v>
      </c>
      <c r="N28" t="s">
        <v>155</v>
      </c>
      <c r="O28" s="11" t="str">
        <f t="shared" si="0"/>
        <v>CHIDO PHARMACY</v>
      </c>
    </row>
    <row r="29" spans="1:15" ht="28.9">
      <c r="A29" s="70">
        <v>27</v>
      </c>
      <c r="B29" s="62" t="s">
        <v>156</v>
      </c>
      <c r="C29" s="63" t="s">
        <v>157</v>
      </c>
      <c r="D29" s="71" t="s">
        <v>158</v>
      </c>
      <c r="E29" s="62" t="s">
        <v>26</v>
      </c>
      <c r="F29" s="72" t="s">
        <v>149</v>
      </c>
      <c r="G29" s="65">
        <v>44733</v>
      </c>
      <c r="H29" s="75" t="s">
        <v>2</v>
      </c>
      <c r="I29" s="75" t="s">
        <v>97</v>
      </c>
      <c r="J29" s="67" t="s">
        <v>28</v>
      </c>
      <c r="K29" s="69" t="s">
        <v>29</v>
      </c>
      <c r="L29" s="69" t="str">
        <f t="shared" si="1"/>
        <v>REMINDER LETTER SHOULD BE SENT</v>
      </c>
      <c r="M29" s="73">
        <v>44896</v>
      </c>
      <c r="N29" t="s">
        <v>159</v>
      </c>
      <c r="O29" s="11" t="str">
        <f t="shared" si="0"/>
        <v>DARUCHI PRODUCTS LTD</v>
      </c>
    </row>
    <row r="30" spans="1:15" ht="42">
      <c r="A30" s="70">
        <v>28</v>
      </c>
      <c r="B30" s="19" t="s">
        <v>160</v>
      </c>
      <c r="C30" s="20" t="s">
        <v>161</v>
      </c>
      <c r="D30" s="64" t="s">
        <v>162</v>
      </c>
      <c r="E30" s="62" t="s">
        <v>26</v>
      </c>
      <c r="F30" s="21" t="s">
        <v>163</v>
      </c>
      <c r="G30" s="102">
        <v>44809</v>
      </c>
      <c r="H30" s="67" t="s">
        <v>4</v>
      </c>
      <c r="I30" s="67" t="s">
        <v>164</v>
      </c>
      <c r="J30" s="67" t="s">
        <v>38</v>
      </c>
      <c r="K30" s="78" t="s">
        <v>165</v>
      </c>
      <c r="L30" s="69" t="str">
        <f t="shared" si="1"/>
        <v>CAPA VERIFICATION SHOULD BE SCHEDULED</v>
      </c>
      <c r="M30" s="73">
        <v>45170</v>
      </c>
      <c r="N30" t="s">
        <v>166</v>
      </c>
      <c r="O30" s="22" t="str">
        <f t="shared" si="0"/>
        <v>SABIZ NIG. LTD</v>
      </c>
    </row>
    <row r="31" spans="1:15" ht="28.9">
      <c r="A31" s="70">
        <v>29</v>
      </c>
      <c r="B31" s="19" t="s">
        <v>167</v>
      </c>
      <c r="C31" s="20" t="s">
        <v>168</v>
      </c>
      <c r="D31" s="64" t="s">
        <v>169</v>
      </c>
      <c r="E31" s="62" t="s">
        <v>26</v>
      </c>
      <c r="F31" s="21" t="s">
        <v>163</v>
      </c>
      <c r="G31" s="102">
        <v>44809</v>
      </c>
      <c r="H31" s="67" t="s">
        <v>2</v>
      </c>
      <c r="I31" s="67" t="s">
        <v>164</v>
      </c>
      <c r="J31" s="67" t="s">
        <v>28</v>
      </c>
      <c r="K31" s="69" t="s">
        <v>29</v>
      </c>
      <c r="L31" s="69" t="str">
        <f t="shared" si="1"/>
        <v>REMINDER LETTER SHOULD BE SENT</v>
      </c>
      <c r="M31" s="73">
        <v>44986</v>
      </c>
      <c r="N31" t="s">
        <v>170</v>
      </c>
      <c r="O31" s="11" t="str">
        <f t="shared" si="0"/>
        <v>FENOMAS PHARM. NIG. LTD</v>
      </c>
    </row>
    <row r="32" spans="1:15" ht="42">
      <c r="A32" s="70">
        <v>30</v>
      </c>
      <c r="B32" s="19" t="s">
        <v>171</v>
      </c>
      <c r="C32" s="69" t="s">
        <v>172</v>
      </c>
      <c r="D32" s="64" t="s">
        <v>173</v>
      </c>
      <c r="E32" s="62" t="s">
        <v>26</v>
      </c>
      <c r="F32" s="21" t="s">
        <v>163</v>
      </c>
      <c r="G32" s="102">
        <v>44809</v>
      </c>
      <c r="H32" s="67" t="s">
        <v>2</v>
      </c>
      <c r="I32" s="67" t="s">
        <v>164</v>
      </c>
      <c r="J32" s="67" t="s">
        <v>38</v>
      </c>
      <c r="K32" s="69" t="s">
        <v>174</v>
      </c>
      <c r="L32" s="69" t="str">
        <f t="shared" si="1"/>
        <v>CAPA VERIFICATION SHOULD BE SCHEDULED</v>
      </c>
      <c r="M32" s="73">
        <v>44986</v>
      </c>
      <c r="N32" t="s">
        <v>175</v>
      </c>
      <c r="O32" s="11" t="str">
        <f t="shared" si="0"/>
        <v>U-N PHARMA SOLUTION LTD</v>
      </c>
    </row>
    <row r="33" spans="1:15" ht="28.9">
      <c r="A33" s="70">
        <v>31</v>
      </c>
      <c r="B33" s="19" t="s">
        <v>176</v>
      </c>
      <c r="C33" s="20" t="s">
        <v>177</v>
      </c>
      <c r="D33" s="23" t="s">
        <v>178</v>
      </c>
      <c r="E33" s="62" t="s">
        <v>26</v>
      </c>
      <c r="F33" s="21" t="s">
        <v>163</v>
      </c>
      <c r="G33" s="102">
        <v>44809</v>
      </c>
      <c r="H33" s="67" t="s">
        <v>2</v>
      </c>
      <c r="I33" s="67" t="s">
        <v>164</v>
      </c>
      <c r="J33" s="67" t="s">
        <v>28</v>
      </c>
      <c r="K33" s="69" t="s">
        <v>29</v>
      </c>
      <c r="L33" s="69" t="str">
        <f t="shared" si="1"/>
        <v>REMINDER LETTER SHOULD BE SENT</v>
      </c>
      <c r="M33" s="73">
        <v>44986</v>
      </c>
      <c r="N33" t="s">
        <v>179</v>
      </c>
      <c r="O33" s="11" t="str">
        <f t="shared" si="0"/>
        <v>MULTICHARIS PHARM. &amp; CHEM. CO. LTD</v>
      </c>
    </row>
    <row r="34" spans="1:15" ht="28.15">
      <c r="A34" s="70">
        <v>32</v>
      </c>
      <c r="B34" s="19" t="s">
        <v>180</v>
      </c>
      <c r="C34" s="20" t="s">
        <v>181</v>
      </c>
      <c r="D34" s="72" t="s">
        <v>182</v>
      </c>
      <c r="E34" s="62" t="s">
        <v>26</v>
      </c>
      <c r="F34" s="21" t="s">
        <v>163</v>
      </c>
      <c r="G34" s="102">
        <v>44809</v>
      </c>
      <c r="H34" s="67" t="s">
        <v>5</v>
      </c>
      <c r="I34" s="67"/>
      <c r="J34" s="67" t="s">
        <v>5</v>
      </c>
      <c r="K34" s="69"/>
      <c r="L34" s="69" t="s">
        <v>183</v>
      </c>
      <c r="M34" s="77"/>
      <c r="N34" s="12"/>
      <c r="O34" s="11"/>
    </row>
    <row r="35" spans="1:15" ht="42">
      <c r="A35" s="70">
        <v>33</v>
      </c>
      <c r="B35" s="19" t="s">
        <v>184</v>
      </c>
      <c r="C35" s="20" t="s">
        <v>185</v>
      </c>
      <c r="D35" s="64" t="s">
        <v>186</v>
      </c>
      <c r="E35" s="62" t="s">
        <v>26</v>
      </c>
      <c r="F35" s="21" t="s">
        <v>163</v>
      </c>
      <c r="G35" s="102">
        <v>44809</v>
      </c>
      <c r="H35" s="67" t="s">
        <v>2</v>
      </c>
      <c r="I35" s="67" t="s">
        <v>164</v>
      </c>
      <c r="J35" s="67" t="s">
        <v>38</v>
      </c>
      <c r="K35" s="69" t="s">
        <v>187</v>
      </c>
      <c r="L35" s="69" t="str">
        <f t="shared" ref="L35:L57" si="2">IF(J35="YES","CAPA VERIFICATION SHOULD BE SCHEDULED",IF(J35="NO","REMINDER LETTER SHOULD BE SENT",""))</f>
        <v>CAPA VERIFICATION SHOULD BE SCHEDULED</v>
      </c>
      <c r="M35" s="73">
        <v>44986</v>
      </c>
      <c r="N35" s="12" t="s">
        <v>188</v>
      </c>
      <c r="O35" s="11" t="str">
        <f t="shared" ref="O35:O60" si="3">IF(N35="","",HYPERLINK(N35,B35))</f>
        <v>A.F. UCHENNA PHARMACY LIMITED</v>
      </c>
    </row>
    <row r="36" spans="1:15" ht="28.9">
      <c r="A36" s="70">
        <v>34</v>
      </c>
      <c r="B36" s="19" t="s">
        <v>189</v>
      </c>
      <c r="C36" s="20" t="s">
        <v>190</v>
      </c>
      <c r="D36" s="24" t="s">
        <v>191</v>
      </c>
      <c r="E36" s="62" t="s">
        <v>26</v>
      </c>
      <c r="F36" s="21" t="s">
        <v>163</v>
      </c>
      <c r="G36" s="102">
        <v>44809</v>
      </c>
      <c r="H36" s="67" t="s">
        <v>3</v>
      </c>
      <c r="I36" s="67" t="s">
        <v>164</v>
      </c>
      <c r="J36" s="67" t="s">
        <v>28</v>
      </c>
      <c r="K36" s="69" t="s">
        <v>29</v>
      </c>
      <c r="L36" s="69" t="str">
        <f t="shared" si="2"/>
        <v>REMINDER LETTER SHOULD BE SENT</v>
      </c>
      <c r="M36" s="73">
        <v>45536</v>
      </c>
      <c r="N36" t="s">
        <v>192</v>
      </c>
      <c r="O36" s="11" t="str">
        <f t="shared" si="3"/>
        <v>MEEKY MOORE PHARM. LTD</v>
      </c>
    </row>
    <row r="37" spans="1:15" ht="42">
      <c r="A37" s="70">
        <v>35</v>
      </c>
      <c r="B37" s="19" t="s">
        <v>193</v>
      </c>
      <c r="C37" s="20" t="s">
        <v>194</v>
      </c>
      <c r="D37" s="24" t="s">
        <v>195</v>
      </c>
      <c r="E37" s="62" t="s">
        <v>26</v>
      </c>
      <c r="F37" s="21" t="s">
        <v>163</v>
      </c>
      <c r="G37" s="102">
        <v>44809</v>
      </c>
      <c r="H37" s="67" t="s">
        <v>2</v>
      </c>
      <c r="I37" s="67" t="s">
        <v>164</v>
      </c>
      <c r="J37" s="67" t="s">
        <v>38</v>
      </c>
      <c r="K37" s="69" t="s">
        <v>196</v>
      </c>
      <c r="L37" s="69" t="str">
        <f t="shared" si="2"/>
        <v>CAPA VERIFICATION SHOULD BE SCHEDULED</v>
      </c>
      <c r="M37" s="73">
        <v>44986</v>
      </c>
      <c r="N37" t="s">
        <v>197</v>
      </c>
      <c r="O37" s="11" t="str">
        <f t="shared" si="3"/>
        <v>BRIGHT MEX PHARM. LTD</v>
      </c>
    </row>
    <row r="38" spans="1:15" ht="42">
      <c r="A38" s="70">
        <v>36</v>
      </c>
      <c r="B38" s="19" t="s">
        <v>198</v>
      </c>
      <c r="C38" s="20" t="s">
        <v>199</v>
      </c>
      <c r="D38" s="71" t="s">
        <v>200</v>
      </c>
      <c r="E38" s="62" t="s">
        <v>26</v>
      </c>
      <c r="F38" s="21" t="s">
        <v>201</v>
      </c>
      <c r="G38" s="102">
        <v>44810</v>
      </c>
      <c r="H38" s="67" t="s">
        <v>2</v>
      </c>
      <c r="I38" s="67" t="s">
        <v>164</v>
      </c>
      <c r="J38" s="67" t="s">
        <v>28</v>
      </c>
      <c r="K38" s="25" t="s">
        <v>29</v>
      </c>
      <c r="L38" s="69" t="str">
        <f t="shared" si="2"/>
        <v>REMINDER LETTER SHOULD BE SENT</v>
      </c>
      <c r="M38" s="73">
        <v>44986</v>
      </c>
      <c r="N38" t="s">
        <v>202</v>
      </c>
      <c r="O38" s="11" t="str">
        <f t="shared" si="3"/>
        <v>JTL PHARMACEUTICAL CO. LTD</v>
      </c>
    </row>
    <row r="39" spans="1:15" ht="42">
      <c r="A39" s="70">
        <v>37</v>
      </c>
      <c r="B39" s="19" t="s">
        <v>203</v>
      </c>
      <c r="C39" s="20" t="s">
        <v>204</v>
      </c>
      <c r="D39" s="71" t="s">
        <v>205</v>
      </c>
      <c r="E39" s="62" t="s">
        <v>26</v>
      </c>
      <c r="F39" s="21" t="s">
        <v>201</v>
      </c>
      <c r="G39" s="102">
        <v>44810</v>
      </c>
      <c r="H39" s="67" t="s">
        <v>3</v>
      </c>
      <c r="I39" s="67" t="s">
        <v>164</v>
      </c>
      <c r="J39" s="67" t="s">
        <v>38</v>
      </c>
      <c r="K39" s="69" t="s">
        <v>206</v>
      </c>
      <c r="L39" s="69" t="str">
        <f t="shared" si="2"/>
        <v>CAPA VERIFICATION SHOULD BE SCHEDULED</v>
      </c>
      <c r="M39" s="73">
        <v>45536</v>
      </c>
      <c r="N39" t="s">
        <v>207</v>
      </c>
      <c r="O39" s="11" t="str">
        <f t="shared" si="3"/>
        <v>MDS PHARMA LOGISTICS</v>
      </c>
    </row>
    <row r="40" spans="1:15" ht="42">
      <c r="A40" s="70">
        <v>38</v>
      </c>
      <c r="B40" s="19" t="s">
        <v>208</v>
      </c>
      <c r="C40" s="20" t="s">
        <v>209</v>
      </c>
      <c r="D40" s="71" t="s">
        <v>210</v>
      </c>
      <c r="E40" s="62" t="s">
        <v>26</v>
      </c>
      <c r="F40" s="21" t="s">
        <v>201</v>
      </c>
      <c r="G40" s="102">
        <v>44810</v>
      </c>
      <c r="H40" s="67" t="s">
        <v>3</v>
      </c>
      <c r="I40" s="67" t="s">
        <v>164</v>
      </c>
      <c r="J40" s="67" t="s">
        <v>38</v>
      </c>
      <c r="K40" s="25" t="s">
        <v>211</v>
      </c>
      <c r="L40" s="69" t="str">
        <f t="shared" si="2"/>
        <v>CAPA VERIFICATION SHOULD BE SCHEDULED</v>
      </c>
      <c r="M40" s="73">
        <v>45536</v>
      </c>
      <c r="N40" t="s">
        <v>212</v>
      </c>
      <c r="O40" s="11" t="str">
        <f t="shared" si="3"/>
        <v>KEDOL HEALTH LTD</v>
      </c>
    </row>
    <row r="41" spans="1:15" ht="28.9">
      <c r="A41" s="70">
        <v>39</v>
      </c>
      <c r="B41" s="19" t="s">
        <v>213</v>
      </c>
      <c r="C41" s="20" t="s">
        <v>214</v>
      </c>
      <c r="D41" s="71" t="s">
        <v>215</v>
      </c>
      <c r="E41" s="62" t="s">
        <v>26</v>
      </c>
      <c r="F41" s="21" t="s">
        <v>201</v>
      </c>
      <c r="G41" s="102">
        <v>44810</v>
      </c>
      <c r="H41" s="67" t="s">
        <v>4</v>
      </c>
      <c r="I41" s="67" t="s">
        <v>164</v>
      </c>
      <c r="J41" s="67" t="s">
        <v>28</v>
      </c>
      <c r="K41" s="69" t="s">
        <v>29</v>
      </c>
      <c r="L41" s="69" t="str">
        <f t="shared" si="2"/>
        <v>REMINDER LETTER SHOULD BE SENT</v>
      </c>
      <c r="M41" s="73">
        <v>45170</v>
      </c>
      <c r="N41" t="s">
        <v>216</v>
      </c>
      <c r="O41" s="11" t="str">
        <f t="shared" si="3"/>
        <v>ALLWAYS PHARMACY &amp; STORES LTD</v>
      </c>
    </row>
    <row r="42" spans="1:15" ht="28.15">
      <c r="A42" s="70">
        <v>40</v>
      </c>
      <c r="B42" s="19" t="s">
        <v>217</v>
      </c>
      <c r="C42" s="20" t="s">
        <v>218</v>
      </c>
      <c r="D42" s="71" t="s">
        <v>219</v>
      </c>
      <c r="E42" s="62" t="s">
        <v>26</v>
      </c>
      <c r="F42" s="21" t="s">
        <v>220</v>
      </c>
      <c r="G42" s="102">
        <v>44811</v>
      </c>
      <c r="H42" s="26" t="s">
        <v>5</v>
      </c>
      <c r="I42" s="26"/>
      <c r="J42" s="67" t="s">
        <v>5</v>
      </c>
      <c r="K42" s="27" t="s">
        <v>221</v>
      </c>
      <c r="L42" s="69" t="str">
        <f t="shared" si="2"/>
        <v/>
      </c>
      <c r="M42" s="28"/>
      <c r="N42" s="10" t="s">
        <v>222</v>
      </c>
      <c r="O42" s="22" t="str">
        <f t="shared" si="3"/>
        <v>ABIROT PHARMA LTD.</v>
      </c>
    </row>
    <row r="43" spans="1:15" ht="42">
      <c r="A43" s="70">
        <v>41</v>
      </c>
      <c r="B43" s="19" t="s">
        <v>223</v>
      </c>
      <c r="C43" s="63" t="s">
        <v>224</v>
      </c>
      <c r="D43" s="71" t="s">
        <v>225</v>
      </c>
      <c r="E43" s="62" t="s">
        <v>26</v>
      </c>
      <c r="F43" s="21" t="s">
        <v>220</v>
      </c>
      <c r="G43" s="102">
        <v>44811</v>
      </c>
      <c r="H43" s="67" t="s">
        <v>2</v>
      </c>
      <c r="I43" s="79">
        <v>44899</v>
      </c>
      <c r="J43" s="67" t="s">
        <v>38</v>
      </c>
      <c r="K43" s="69" t="s">
        <v>29</v>
      </c>
      <c r="L43" s="69" t="str">
        <f t="shared" si="2"/>
        <v>CAPA VERIFICATION SHOULD BE SCHEDULED</v>
      </c>
      <c r="M43" s="73">
        <v>44986</v>
      </c>
      <c r="N43" s="29" t="s">
        <v>226</v>
      </c>
      <c r="O43" s="11" t="str">
        <f t="shared" si="3"/>
        <v>AKU-UDO PHARMACY</v>
      </c>
    </row>
    <row r="44" spans="1:15" ht="42">
      <c r="A44" s="70">
        <v>42</v>
      </c>
      <c r="B44" s="30" t="s">
        <v>227</v>
      </c>
      <c r="C44" s="20" t="s">
        <v>228</v>
      </c>
      <c r="D44" s="71" t="s">
        <v>229</v>
      </c>
      <c r="E44" s="62" t="s">
        <v>26</v>
      </c>
      <c r="F44" s="21" t="s">
        <v>220</v>
      </c>
      <c r="G44" s="102">
        <v>44811</v>
      </c>
      <c r="H44" s="67" t="s">
        <v>2</v>
      </c>
      <c r="I44" s="31">
        <v>44899</v>
      </c>
      <c r="J44" s="67" t="s">
        <v>38</v>
      </c>
      <c r="K44" s="69" t="s">
        <v>230</v>
      </c>
      <c r="L44" s="69" t="str">
        <f t="shared" si="2"/>
        <v>CAPA VERIFICATION SHOULD BE SCHEDULED</v>
      </c>
      <c r="M44" s="73">
        <v>44986</v>
      </c>
      <c r="N44" t="s">
        <v>231</v>
      </c>
      <c r="O44" s="11" t="str">
        <f t="shared" si="3"/>
        <v>CA &amp; JO COMPANY LTD</v>
      </c>
    </row>
    <row r="45" spans="1:15" ht="42">
      <c r="A45" s="70">
        <v>43</v>
      </c>
      <c r="B45" s="30" t="s">
        <v>232</v>
      </c>
      <c r="C45" s="20" t="s">
        <v>233</v>
      </c>
      <c r="D45" s="71" t="s">
        <v>234</v>
      </c>
      <c r="E45" s="62" t="s">
        <v>26</v>
      </c>
      <c r="F45" s="21" t="s">
        <v>220</v>
      </c>
      <c r="G45" s="102">
        <v>44811</v>
      </c>
      <c r="H45" s="67" t="s">
        <v>2</v>
      </c>
      <c r="I45" s="31">
        <v>44861</v>
      </c>
      <c r="J45" s="67" t="s">
        <v>38</v>
      </c>
      <c r="K45" s="69" t="s">
        <v>29</v>
      </c>
      <c r="L45" s="69" t="str">
        <f t="shared" si="2"/>
        <v>CAPA VERIFICATION SHOULD BE SCHEDULED</v>
      </c>
      <c r="M45" s="73">
        <v>44986</v>
      </c>
      <c r="N45" t="s">
        <v>235</v>
      </c>
      <c r="O45" s="11" t="str">
        <f t="shared" si="3"/>
        <v>JUDEX CHAMP PHARMACY &amp; STORES</v>
      </c>
    </row>
    <row r="46" spans="1:15" ht="42">
      <c r="A46" s="70">
        <v>44</v>
      </c>
      <c r="B46" s="30" t="s">
        <v>236</v>
      </c>
      <c r="C46" s="20" t="s">
        <v>237</v>
      </c>
      <c r="D46" s="71" t="s">
        <v>238</v>
      </c>
      <c r="E46" s="62" t="s">
        <v>26</v>
      </c>
      <c r="F46" s="21" t="s">
        <v>220</v>
      </c>
      <c r="G46" s="102">
        <v>44811</v>
      </c>
      <c r="H46" s="67" t="s">
        <v>2</v>
      </c>
      <c r="I46" s="31">
        <v>44861</v>
      </c>
      <c r="J46" s="67" t="s">
        <v>38</v>
      </c>
      <c r="K46" s="69" t="s">
        <v>39</v>
      </c>
      <c r="L46" s="69" t="str">
        <f t="shared" si="2"/>
        <v>CAPA VERIFICATION SHOULD BE SCHEDULED</v>
      </c>
      <c r="M46" s="73">
        <v>44986</v>
      </c>
      <c r="N46" t="s">
        <v>155</v>
      </c>
      <c r="O46" s="11" t="str">
        <f t="shared" si="3"/>
        <v>CHARITY NWAIZU PHARM. CO. LTD</v>
      </c>
    </row>
    <row r="47" spans="1:15" ht="42">
      <c r="A47" s="70">
        <v>45</v>
      </c>
      <c r="B47" s="30" t="s">
        <v>239</v>
      </c>
      <c r="C47" s="20" t="s">
        <v>240</v>
      </c>
      <c r="D47" s="64" t="s">
        <v>241</v>
      </c>
      <c r="E47" s="62" t="s">
        <v>26</v>
      </c>
      <c r="F47" s="21" t="s">
        <v>220</v>
      </c>
      <c r="G47" s="102">
        <v>44811</v>
      </c>
      <c r="H47" s="67" t="s">
        <v>2</v>
      </c>
      <c r="I47" s="32">
        <v>44861</v>
      </c>
      <c r="J47" s="67" t="s">
        <v>28</v>
      </c>
      <c r="K47" s="69" t="s">
        <v>29</v>
      </c>
      <c r="L47" s="69" t="str">
        <f t="shared" si="2"/>
        <v>REMINDER LETTER SHOULD BE SENT</v>
      </c>
      <c r="M47" s="73">
        <v>44986</v>
      </c>
      <c r="N47" t="s">
        <v>242</v>
      </c>
      <c r="O47" s="11" t="str">
        <f t="shared" si="3"/>
        <v>O.T.S. UNITED NIG. LTD</v>
      </c>
    </row>
    <row r="48" spans="1:15" ht="42">
      <c r="A48" s="70">
        <v>46</v>
      </c>
      <c r="B48" s="30" t="s">
        <v>243</v>
      </c>
      <c r="C48" s="20" t="s">
        <v>244</v>
      </c>
      <c r="D48" s="64" t="s">
        <v>245</v>
      </c>
      <c r="E48" s="62" t="s">
        <v>26</v>
      </c>
      <c r="F48" s="21" t="s">
        <v>246</v>
      </c>
      <c r="G48" s="102">
        <v>44812</v>
      </c>
      <c r="H48" s="67" t="s">
        <v>2</v>
      </c>
      <c r="I48" s="32">
        <v>44861</v>
      </c>
      <c r="J48" s="67" t="s">
        <v>28</v>
      </c>
      <c r="K48" s="69" t="s">
        <v>29</v>
      </c>
      <c r="L48" s="69" t="str">
        <f t="shared" si="2"/>
        <v>REMINDER LETTER SHOULD BE SENT</v>
      </c>
      <c r="M48" s="73">
        <v>44986</v>
      </c>
      <c r="N48" t="s">
        <v>247</v>
      </c>
      <c r="O48" s="11" t="str">
        <f t="shared" si="3"/>
        <v>AZU PHARMACY LTD</v>
      </c>
    </row>
    <row r="49" spans="1:15" ht="55.9">
      <c r="A49" s="70">
        <v>47</v>
      </c>
      <c r="B49" s="30" t="s">
        <v>248</v>
      </c>
      <c r="C49" s="20" t="s">
        <v>249</v>
      </c>
      <c r="D49" s="64" t="s">
        <v>250</v>
      </c>
      <c r="E49" s="62" t="s">
        <v>26</v>
      </c>
      <c r="F49" s="21" t="s">
        <v>246</v>
      </c>
      <c r="G49" s="102">
        <v>44812</v>
      </c>
      <c r="H49" s="67" t="s">
        <v>2</v>
      </c>
      <c r="I49" s="32">
        <v>44861</v>
      </c>
      <c r="J49" s="67" t="s">
        <v>28</v>
      </c>
      <c r="K49" s="69" t="s">
        <v>29</v>
      </c>
      <c r="L49" s="69" t="str">
        <f t="shared" si="2"/>
        <v>REMINDER LETTER SHOULD BE SENT</v>
      </c>
      <c r="M49" s="73">
        <v>44986</v>
      </c>
      <c r="N49" t="s">
        <v>251</v>
      </c>
      <c r="O49" s="11" t="str">
        <f t="shared" si="3"/>
        <v>ATIDAM PHARM. LTD</v>
      </c>
    </row>
    <row r="50" spans="1:15" ht="42" customHeight="1">
      <c r="A50" s="70">
        <v>48</v>
      </c>
      <c r="B50" s="30" t="s">
        <v>252</v>
      </c>
      <c r="C50" s="20" t="s">
        <v>253</v>
      </c>
      <c r="D50" s="64" t="s">
        <v>254</v>
      </c>
      <c r="E50" s="62" t="s">
        <v>26</v>
      </c>
      <c r="F50" s="21" t="s">
        <v>246</v>
      </c>
      <c r="G50" s="102">
        <v>44812</v>
      </c>
      <c r="H50" s="67" t="s">
        <v>3</v>
      </c>
      <c r="I50" s="32">
        <v>44861</v>
      </c>
      <c r="J50" s="67" t="s">
        <v>28</v>
      </c>
      <c r="K50" s="69" t="s">
        <v>29</v>
      </c>
      <c r="L50" s="69" t="str">
        <f t="shared" si="2"/>
        <v>REMINDER LETTER SHOULD BE SENT</v>
      </c>
      <c r="M50" s="73">
        <v>45536</v>
      </c>
      <c r="N50" t="s">
        <v>255</v>
      </c>
      <c r="O50" s="11" t="str">
        <f t="shared" si="3"/>
        <v>BOLUKE PHARMACY</v>
      </c>
    </row>
    <row r="51" spans="1:15" ht="55.9">
      <c r="A51" s="70">
        <v>49</v>
      </c>
      <c r="B51" s="30" t="s">
        <v>256</v>
      </c>
      <c r="C51" s="20" t="s">
        <v>257</v>
      </c>
      <c r="D51" s="71" t="s">
        <v>258</v>
      </c>
      <c r="E51" s="62" t="s">
        <v>26</v>
      </c>
      <c r="F51" s="21" t="s">
        <v>246</v>
      </c>
      <c r="G51" s="102">
        <v>44812</v>
      </c>
      <c r="H51" s="67" t="s">
        <v>3</v>
      </c>
      <c r="I51" s="32">
        <v>44861</v>
      </c>
      <c r="J51" s="67" t="s">
        <v>28</v>
      </c>
      <c r="K51" s="69" t="s">
        <v>259</v>
      </c>
      <c r="L51" s="69" t="str">
        <f t="shared" si="2"/>
        <v>REMINDER LETTER SHOULD BE SENT</v>
      </c>
      <c r="M51" s="73">
        <v>45536</v>
      </c>
      <c r="N51" t="s">
        <v>260</v>
      </c>
      <c r="O51" s="11" t="str">
        <f t="shared" si="3"/>
        <v>ONEC PHARM. &amp; CHEM. CO. LTD</v>
      </c>
    </row>
    <row r="52" spans="1:15" ht="42">
      <c r="A52" s="70">
        <v>50</v>
      </c>
      <c r="B52" s="30" t="s">
        <v>261</v>
      </c>
      <c r="C52" s="20" t="s">
        <v>262</v>
      </c>
      <c r="D52" s="71" t="s">
        <v>263</v>
      </c>
      <c r="E52" s="62" t="s">
        <v>26</v>
      </c>
      <c r="F52" s="21" t="s">
        <v>246</v>
      </c>
      <c r="G52" s="102">
        <v>44812</v>
      </c>
      <c r="H52" s="67" t="s">
        <v>2</v>
      </c>
      <c r="I52" s="32"/>
      <c r="J52" s="67" t="s">
        <v>5</v>
      </c>
      <c r="K52" s="69" t="s">
        <v>29</v>
      </c>
      <c r="L52" s="69" t="str">
        <f t="shared" si="2"/>
        <v/>
      </c>
      <c r="M52" s="73">
        <v>44986</v>
      </c>
      <c r="N52" t="s">
        <v>264</v>
      </c>
      <c r="O52" s="11" t="str">
        <f t="shared" si="3"/>
        <v>VICTORIOUS PHARMACY</v>
      </c>
    </row>
    <row r="53" spans="1:15" ht="42">
      <c r="A53" s="70">
        <v>51</v>
      </c>
      <c r="B53" s="30" t="s">
        <v>265</v>
      </c>
      <c r="C53" s="20" t="s">
        <v>266</v>
      </c>
      <c r="D53" s="24" t="s">
        <v>267</v>
      </c>
      <c r="E53" s="62" t="s">
        <v>26</v>
      </c>
      <c r="F53" s="21" t="s">
        <v>246</v>
      </c>
      <c r="G53" s="102">
        <v>44812</v>
      </c>
      <c r="H53" s="67" t="s">
        <v>2</v>
      </c>
      <c r="I53" s="32">
        <v>44861</v>
      </c>
      <c r="J53" s="67" t="s">
        <v>28</v>
      </c>
      <c r="K53" s="69" t="s">
        <v>29</v>
      </c>
      <c r="L53" s="69" t="str">
        <f t="shared" si="2"/>
        <v>REMINDER LETTER SHOULD BE SENT</v>
      </c>
      <c r="M53" s="73">
        <v>44986</v>
      </c>
      <c r="N53" t="s">
        <v>268</v>
      </c>
      <c r="O53" s="11" t="str">
        <f t="shared" si="3"/>
        <v>EZEUDO PHARMACY LTD</v>
      </c>
    </row>
    <row r="54" spans="1:15" ht="55.9">
      <c r="A54" s="70">
        <v>52</v>
      </c>
      <c r="B54" s="30" t="s">
        <v>269</v>
      </c>
      <c r="C54" s="20" t="s">
        <v>270</v>
      </c>
      <c r="D54" s="71" t="s">
        <v>271</v>
      </c>
      <c r="E54" s="62" t="s">
        <v>26</v>
      </c>
      <c r="F54" s="21" t="s">
        <v>272</v>
      </c>
      <c r="G54" s="102">
        <v>44813</v>
      </c>
      <c r="H54" s="67" t="s">
        <v>4</v>
      </c>
      <c r="I54" s="32"/>
      <c r="J54" s="67" t="s">
        <v>5</v>
      </c>
      <c r="K54" s="69" t="s">
        <v>29</v>
      </c>
      <c r="L54" s="69" t="str">
        <f t="shared" si="2"/>
        <v/>
      </c>
      <c r="M54" s="77"/>
      <c r="N54" t="s">
        <v>273</v>
      </c>
      <c r="O54" s="11" t="str">
        <f t="shared" si="3"/>
        <v>MEDITRADE NIG. LTD</v>
      </c>
    </row>
    <row r="55" spans="1:15" ht="55.5" customHeight="1">
      <c r="A55" s="70">
        <v>53</v>
      </c>
      <c r="B55" s="30" t="s">
        <v>274</v>
      </c>
      <c r="C55" s="20" t="s">
        <v>275</v>
      </c>
      <c r="D55" s="71" t="s">
        <v>276</v>
      </c>
      <c r="E55" s="62" t="s">
        <v>26</v>
      </c>
      <c r="F55" s="21" t="s">
        <v>272</v>
      </c>
      <c r="G55" s="102">
        <v>44813</v>
      </c>
      <c r="H55" s="26" t="s">
        <v>5</v>
      </c>
      <c r="I55" s="32"/>
      <c r="J55" s="67" t="s">
        <v>5</v>
      </c>
      <c r="K55" s="27" t="s">
        <v>277</v>
      </c>
      <c r="L55" s="69" t="str">
        <f t="shared" si="2"/>
        <v/>
      </c>
      <c r="M55" s="28"/>
      <c r="N55" s="12" t="s">
        <v>137</v>
      </c>
      <c r="O55" s="22" t="str">
        <f t="shared" si="3"/>
        <v>MERCED PHARM. &amp; STORES</v>
      </c>
    </row>
    <row r="56" spans="1:15" ht="57.6">
      <c r="A56" s="70">
        <v>54</v>
      </c>
      <c r="B56" s="74" t="s">
        <v>278</v>
      </c>
      <c r="C56" s="20" t="s">
        <v>279</v>
      </c>
      <c r="D56" s="71" t="s">
        <v>280</v>
      </c>
      <c r="E56" s="62" t="s">
        <v>26</v>
      </c>
      <c r="F56" s="21" t="s">
        <v>281</v>
      </c>
      <c r="G56" s="102">
        <v>44840</v>
      </c>
      <c r="H56" s="67" t="s">
        <v>3</v>
      </c>
      <c r="I56" s="32">
        <v>44861</v>
      </c>
      <c r="J56" s="67" t="s">
        <v>38</v>
      </c>
      <c r="K56" s="69" t="s">
        <v>282</v>
      </c>
      <c r="L56" s="69" t="str">
        <f t="shared" si="2"/>
        <v>CAPA VERIFICATION SHOULD BE SCHEDULED</v>
      </c>
      <c r="M56" s="73">
        <v>45536</v>
      </c>
      <c r="N56" t="s">
        <v>283</v>
      </c>
      <c r="O56" s="11" t="str">
        <f t="shared" si="3"/>
        <v>NIGERIAN AIRFORCE DRUG MANUFACTURING UNIT</v>
      </c>
    </row>
    <row r="57" spans="1:15" ht="20.45">
      <c r="A57" s="70"/>
      <c r="B57" s="33" t="s">
        <v>284</v>
      </c>
      <c r="C57" s="62"/>
      <c r="D57" s="62"/>
      <c r="E57" s="62"/>
      <c r="F57" s="62"/>
      <c r="G57" s="80"/>
      <c r="H57" s="62"/>
      <c r="I57" s="8"/>
      <c r="J57" s="67"/>
      <c r="K57" s="62"/>
      <c r="L57" s="69" t="str">
        <f t="shared" si="2"/>
        <v/>
      </c>
      <c r="M57" s="81"/>
      <c r="N57" s="12"/>
      <c r="O57" s="18" t="str">
        <f t="shared" si="3"/>
        <v/>
      </c>
    </row>
    <row r="58" spans="1:15">
      <c r="A58" s="70"/>
      <c r="B58" s="74"/>
      <c r="C58" s="63"/>
      <c r="D58" s="71"/>
      <c r="E58" s="62"/>
      <c r="F58" s="72"/>
      <c r="G58" s="66"/>
      <c r="H58" s="67"/>
      <c r="I58" s="82"/>
      <c r="J58" s="67"/>
      <c r="K58" s="69"/>
      <c r="L58" s="69"/>
      <c r="M58" s="77"/>
      <c r="N58" s="12"/>
      <c r="O58" s="11" t="str">
        <f t="shared" si="3"/>
        <v/>
      </c>
    </row>
    <row r="59" spans="1:15">
      <c r="A59" s="70"/>
      <c r="B59" s="62"/>
      <c r="C59" s="63"/>
      <c r="D59" s="71"/>
      <c r="E59" s="62"/>
      <c r="F59" s="72"/>
      <c r="G59" s="66"/>
      <c r="H59" s="67"/>
      <c r="I59" s="82"/>
      <c r="J59" s="67"/>
      <c r="K59" s="69"/>
      <c r="L59" s="69"/>
      <c r="M59" s="77"/>
      <c r="N59" s="12"/>
      <c r="O59" s="11" t="str">
        <f t="shared" si="3"/>
        <v/>
      </c>
    </row>
    <row r="60" spans="1:15">
      <c r="A60" s="83"/>
      <c r="B60" s="84"/>
      <c r="C60" s="85"/>
      <c r="D60" s="86"/>
      <c r="E60" s="84"/>
      <c r="F60" s="87"/>
      <c r="G60" s="88"/>
      <c r="H60" s="89"/>
      <c r="I60" s="89"/>
      <c r="J60" s="90"/>
      <c r="K60" s="91"/>
      <c r="L60" s="91" t="str">
        <f>IF(J60="YES","CAPA VERIFICATION SHOULD BE SCHEDULED",IF(J60="NO","REMINDER LETTER SHOULD BE SENT",""))</f>
        <v/>
      </c>
      <c r="M60" s="92"/>
      <c r="N60" s="12"/>
      <c r="O60" s="11" t="str">
        <f t="shared" si="3"/>
        <v/>
      </c>
    </row>
    <row r="61" spans="1:15">
      <c r="A61" s="8"/>
      <c r="C61" s="8"/>
      <c r="D61" s="8"/>
      <c r="E61" s="8"/>
      <c r="F61" s="8"/>
      <c r="G61" s="93"/>
      <c r="H61" s="8"/>
      <c r="I61" s="8"/>
      <c r="J61" s="8"/>
      <c r="K61" s="8"/>
      <c r="L61" s="94"/>
      <c r="M61" s="8"/>
      <c r="O61" s="8"/>
    </row>
    <row r="62" spans="1:15">
      <c r="A62" s="8"/>
      <c r="C62" s="8"/>
      <c r="D62" s="8"/>
      <c r="E62" s="8"/>
      <c r="F62" s="8"/>
      <c r="G62" s="93"/>
      <c r="H62" s="8"/>
      <c r="I62" s="8"/>
      <c r="J62" s="8"/>
      <c r="K62" s="8"/>
      <c r="L62" s="94"/>
      <c r="M62" s="8"/>
      <c r="O62" s="8"/>
    </row>
    <row r="63" spans="1:15">
      <c r="L63" s="95"/>
      <c r="M63" s="3"/>
    </row>
    <row r="64" spans="1:15">
      <c r="L64" s="95"/>
      <c r="M64" s="3"/>
    </row>
    <row r="65" spans="13:18">
      <c r="M65" s="3"/>
    </row>
    <row r="66" spans="13:18">
      <c r="M66" s="3"/>
    </row>
    <row r="67" spans="13:18">
      <c r="M67" s="3"/>
      <c r="R67" s="3" t="s">
        <v>285</v>
      </c>
    </row>
  </sheetData>
  <mergeCells count="1">
    <mergeCell ref="A1:K1"/>
  </mergeCells>
  <phoneticPr fontId="12" type="noConversion"/>
  <conditionalFormatting sqref="J3:J1048576">
    <cfRule type="containsText" dxfId="123" priority="1" operator="containsText" text="NO">
      <formula>NOT(ISERROR(SEARCH("NO",J3)))</formula>
    </cfRule>
    <cfRule type="containsText" dxfId="122" priority="2" operator="containsText" text="YES">
      <formula>NOT(ISERROR(SEARCH("YES",J3)))</formula>
    </cfRule>
  </conditionalFormatting>
  <dataValidations count="3">
    <dataValidation type="list" allowBlank="1" showInputMessage="1" showErrorMessage="1" sqref="J3:J60" xr:uid="{F80A1E07-2202-4A21-821F-B1AC38BEFC00}">
      <formula1>"YES,NO,N/A"</formula1>
    </dataValidation>
    <dataValidation type="list" allowBlank="1" showInputMessage="1" showErrorMessage="1" sqref="L3:L19 L61:L62" xr:uid="{53667D47-A866-4BEC-A9D4-166711C67FE8}">
      <formula1>"CAPA VERIFICATIO SHOULD BE SCHEDULED,REMINDER LETTER SHOULD BE SENT,MEMO SHOULD BE SENT TO PCN"</formula1>
    </dataValidation>
    <dataValidation allowBlank="1" showInputMessage="1" showErrorMessage="1" sqref="L20:L60 M1:M2 M8:M1048576" xr:uid="{ECA3F570-6F2E-49DF-BF7A-CEAC4EE1DC84}"/>
  </dataValidations>
  <hyperlinks>
    <hyperlink ref="N42" r:id="rId1" xr:uid="{2C930D51-6080-4F19-AD17-90D517C5C01F}"/>
    <hyperlink ref="N43" r:id="rId2" xr:uid="{8C3B4FFD-8B2C-4DE6-86A3-E0F6FA4061DB}"/>
    <hyperlink ref="N24" r:id="rId3" xr:uid="{76D3D69A-A3BD-4E14-BA44-CF8580C7C491}"/>
    <hyperlink ref="N55" r:id="rId4" xr:uid="{26A078F4-94E1-496D-98BD-2CD1672C33B8}"/>
    <hyperlink ref="N35" r:id="rId5" xr:uid="{BD64D756-2A51-47D5-80CB-69EE287CD28B}"/>
    <hyperlink ref="N3" r:id="rId6" xr:uid="{DE5CADCF-5C88-4C44-B22C-33979414AD64}"/>
    <hyperlink ref="N4" r:id="rId7" xr:uid="{B948F2FA-8021-412E-86A2-DE8EFB0DE5F2}"/>
    <hyperlink ref="N5" r:id="rId8" xr:uid="{01A063C4-9DBC-43BE-B45C-C6980E28C561}"/>
  </hyperlinks>
  <pageMargins left="0.7" right="0.7" top="0.75" bottom="0.75" header="0.3" footer="0.3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3C57-D9B8-4471-99A4-9727B418ADFB}">
  <dimension ref="A1:Q11"/>
  <sheetViews>
    <sheetView topLeftCell="E1" workbookViewId="0">
      <selection activeCell="O2" sqref="O2"/>
    </sheetView>
  </sheetViews>
  <sheetFormatPr defaultRowHeight="14.45"/>
  <cols>
    <col min="2" max="2" width="35.42578125" customWidth="1"/>
    <col min="3" max="3" width="18.28515625" customWidth="1"/>
    <col min="4" max="4" width="15.42578125" customWidth="1"/>
    <col min="5" max="5" width="17.5703125" customWidth="1"/>
    <col min="6" max="6" width="23" customWidth="1"/>
    <col min="7" max="7" width="14.5703125" customWidth="1"/>
    <col min="8" max="8" width="20.140625" customWidth="1"/>
    <col min="9" max="9" width="17.140625" customWidth="1"/>
    <col min="10" max="10" width="19" customWidth="1"/>
    <col min="11" max="11" width="15.140625" customWidth="1"/>
    <col min="12" max="12" width="23.42578125" customWidth="1"/>
    <col min="13" max="13" width="35.42578125" customWidth="1"/>
    <col min="14" max="14" width="22.5703125" customWidth="1"/>
  </cols>
  <sheetData>
    <row r="1" spans="1:17" ht="17.45">
      <c r="A1" s="104" t="s">
        <v>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3"/>
      <c r="P1" s="3"/>
      <c r="Q1" s="3"/>
    </row>
    <row r="2" spans="1:17" ht="31.15">
      <c r="A2" s="4" t="s">
        <v>9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0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45" t="s">
        <v>21</v>
      </c>
      <c r="N2" s="7" t="s">
        <v>22</v>
      </c>
      <c r="O2" s="3"/>
      <c r="P2" s="8"/>
      <c r="Q2" s="8"/>
    </row>
    <row r="3" spans="1:17" ht="55.9">
      <c r="A3" s="61">
        <v>1</v>
      </c>
      <c r="B3" s="62" t="s">
        <v>23</v>
      </c>
      <c r="C3" s="63" t="s">
        <v>24</v>
      </c>
      <c r="D3" s="64" t="s">
        <v>25</v>
      </c>
      <c r="E3" s="62" t="s">
        <v>26</v>
      </c>
      <c r="F3" s="65" t="s">
        <v>27</v>
      </c>
      <c r="G3" s="67" t="s">
        <v>4</v>
      </c>
      <c r="H3" s="68">
        <v>44656</v>
      </c>
      <c r="I3" s="67" t="s">
        <v>28</v>
      </c>
      <c r="J3" s="69" t="s">
        <v>29</v>
      </c>
      <c r="K3" s="69" t="s">
        <v>30</v>
      </c>
      <c r="L3" s="40">
        <v>45017</v>
      </c>
      <c r="M3" s="41" t="s">
        <v>31</v>
      </c>
      <c r="N3" s="48" t="str">
        <f t="shared" ref="N3:N11" si="0">IF(M3="","",HYPERLINK(M3,B3))</f>
        <v>IKON PHARM NIG LTD</v>
      </c>
      <c r="O3" s="3"/>
      <c r="P3" s="3"/>
      <c r="Q3" s="3"/>
    </row>
    <row r="4" spans="1:17" ht="69.599999999999994">
      <c r="A4" s="70">
        <v>2</v>
      </c>
      <c r="B4" s="62" t="s">
        <v>32</v>
      </c>
      <c r="C4" s="63" t="s">
        <v>33</v>
      </c>
      <c r="D4" s="71" t="s">
        <v>34</v>
      </c>
      <c r="E4" s="62" t="s">
        <v>26</v>
      </c>
      <c r="F4" s="72" t="s">
        <v>27</v>
      </c>
      <c r="G4" s="67" t="s">
        <v>4</v>
      </c>
      <c r="H4" s="68">
        <v>44656</v>
      </c>
      <c r="I4" s="67" t="s">
        <v>28</v>
      </c>
      <c r="J4" s="69" t="s">
        <v>29</v>
      </c>
      <c r="K4" s="69" t="s">
        <v>30</v>
      </c>
      <c r="L4" s="40">
        <v>45017</v>
      </c>
      <c r="M4" s="41" t="s">
        <v>31</v>
      </c>
      <c r="N4" s="44" t="str">
        <f t="shared" si="0"/>
        <v>IKON PHARM NIG LTD (BRANCH)</v>
      </c>
      <c r="O4" s="3"/>
      <c r="P4" s="3"/>
      <c r="Q4" s="3"/>
    </row>
    <row r="5" spans="1:17" ht="55.9">
      <c r="A5" s="70">
        <v>3</v>
      </c>
      <c r="B5" s="62" t="s">
        <v>35</v>
      </c>
      <c r="C5" s="63" t="s">
        <v>36</v>
      </c>
      <c r="D5" s="71" t="s">
        <v>37</v>
      </c>
      <c r="E5" s="62" t="s">
        <v>26</v>
      </c>
      <c r="F5" s="69" t="s">
        <v>27</v>
      </c>
      <c r="G5" s="67" t="s">
        <v>4</v>
      </c>
      <c r="H5" s="68">
        <v>44656</v>
      </c>
      <c r="I5" s="67" t="s">
        <v>38</v>
      </c>
      <c r="J5" s="69" t="s">
        <v>39</v>
      </c>
      <c r="K5" s="69" t="s">
        <v>40</v>
      </c>
      <c r="L5" s="40">
        <v>45017</v>
      </c>
      <c r="M5" s="41" t="s">
        <v>41</v>
      </c>
      <c r="N5" s="44" t="str">
        <f t="shared" si="0"/>
        <v>YANKEE PHARM CO.NIG LTD</v>
      </c>
      <c r="O5" s="3"/>
      <c r="P5" s="3"/>
      <c r="Q5" s="3"/>
    </row>
    <row r="6" spans="1:17" ht="55.9">
      <c r="A6" s="70">
        <v>4</v>
      </c>
      <c r="B6" s="62" t="s">
        <v>42</v>
      </c>
      <c r="C6" s="63" t="s">
        <v>43</v>
      </c>
      <c r="D6" s="71" t="s">
        <v>44</v>
      </c>
      <c r="E6" s="62" t="s">
        <v>26</v>
      </c>
      <c r="F6" s="72" t="s">
        <v>27</v>
      </c>
      <c r="G6" s="67" t="s">
        <v>4</v>
      </c>
      <c r="H6" s="68">
        <v>44656</v>
      </c>
      <c r="I6" s="67" t="s">
        <v>38</v>
      </c>
      <c r="J6" s="69" t="s">
        <v>45</v>
      </c>
      <c r="K6" s="69" t="s">
        <v>40</v>
      </c>
      <c r="L6" s="40">
        <v>45017</v>
      </c>
      <c r="M6" s="38" t="s">
        <v>46</v>
      </c>
      <c r="N6" s="44" t="str">
        <f t="shared" si="0"/>
        <v>ESTYBEE PHARM LTD</v>
      </c>
      <c r="O6" s="3"/>
      <c r="P6" s="3"/>
      <c r="Q6" s="3"/>
    </row>
    <row r="7" spans="1:17" ht="55.9">
      <c r="A7" s="70">
        <v>5</v>
      </c>
      <c r="B7" s="62" t="s">
        <v>47</v>
      </c>
      <c r="C7" s="63" t="s">
        <v>48</v>
      </c>
      <c r="D7" s="71" t="s">
        <v>49</v>
      </c>
      <c r="E7" s="62" t="s">
        <v>26</v>
      </c>
      <c r="F7" s="72" t="s">
        <v>50</v>
      </c>
      <c r="G7" s="67" t="s">
        <v>4</v>
      </c>
      <c r="H7" s="68">
        <v>44656</v>
      </c>
      <c r="I7" s="67" t="s">
        <v>38</v>
      </c>
      <c r="J7" s="69" t="s">
        <v>45</v>
      </c>
      <c r="K7" s="69" t="s">
        <v>40</v>
      </c>
      <c r="L7" s="40">
        <v>45017</v>
      </c>
      <c r="M7" s="38" t="s">
        <v>51</v>
      </c>
      <c r="N7" s="44" t="str">
        <f t="shared" si="0"/>
        <v>BENATO PHARM LTD</v>
      </c>
      <c r="O7" s="3"/>
      <c r="P7" s="3"/>
      <c r="Q7" s="3"/>
    </row>
    <row r="8" spans="1:17" ht="55.9">
      <c r="A8" s="70">
        <v>6</v>
      </c>
      <c r="B8" s="62" t="s">
        <v>52</v>
      </c>
      <c r="C8" s="63" t="s">
        <v>53</v>
      </c>
      <c r="D8" s="71" t="s">
        <v>54</v>
      </c>
      <c r="E8" s="62" t="s">
        <v>26</v>
      </c>
      <c r="F8" s="72" t="s">
        <v>50</v>
      </c>
      <c r="G8" s="67" t="s">
        <v>2</v>
      </c>
      <c r="H8" s="68">
        <v>44656</v>
      </c>
      <c r="I8" s="67" t="s">
        <v>28</v>
      </c>
      <c r="J8" s="69" t="s">
        <v>29</v>
      </c>
      <c r="K8" s="69" t="s">
        <v>30</v>
      </c>
      <c r="L8" s="96">
        <v>44835</v>
      </c>
      <c r="M8" s="38" t="s">
        <v>55</v>
      </c>
      <c r="N8" s="44" t="str">
        <f t="shared" si="0"/>
        <v>TIBRO PHARM CO. LTD</v>
      </c>
      <c r="O8" s="3"/>
      <c r="P8" s="3"/>
      <c r="Q8" s="3"/>
    </row>
    <row r="9" spans="1:17" ht="55.9">
      <c r="A9" s="70">
        <v>7</v>
      </c>
      <c r="B9" s="62" t="s">
        <v>56</v>
      </c>
      <c r="C9" s="63" t="s">
        <v>57</v>
      </c>
      <c r="D9" s="71" t="s">
        <v>58</v>
      </c>
      <c r="E9" s="62" t="s">
        <v>26</v>
      </c>
      <c r="F9" s="72" t="s">
        <v>50</v>
      </c>
      <c r="G9" s="67" t="s">
        <v>4</v>
      </c>
      <c r="H9" s="68">
        <v>44656</v>
      </c>
      <c r="I9" s="67" t="s">
        <v>28</v>
      </c>
      <c r="J9" s="69" t="s">
        <v>29</v>
      </c>
      <c r="K9" s="69" t="s">
        <v>30</v>
      </c>
      <c r="L9" s="96">
        <v>45017</v>
      </c>
      <c r="M9" s="38" t="s">
        <v>59</v>
      </c>
      <c r="N9" s="44" t="str">
        <f t="shared" si="0"/>
        <v>LIFE POINT PHARM LTD</v>
      </c>
      <c r="O9" s="3"/>
      <c r="P9" s="3"/>
      <c r="Q9" s="3"/>
    </row>
    <row r="10" spans="1:17" ht="55.9">
      <c r="A10" s="70">
        <v>8</v>
      </c>
      <c r="B10" s="62" t="s">
        <v>60</v>
      </c>
      <c r="C10" s="63" t="s">
        <v>61</v>
      </c>
      <c r="D10" s="71" t="s">
        <v>62</v>
      </c>
      <c r="E10" s="62" t="s">
        <v>26</v>
      </c>
      <c r="F10" s="72" t="s">
        <v>63</v>
      </c>
      <c r="G10" s="67" t="s">
        <v>2</v>
      </c>
      <c r="H10" s="68">
        <v>44656</v>
      </c>
      <c r="I10" s="67" t="s">
        <v>28</v>
      </c>
      <c r="J10" s="69" t="s">
        <v>29</v>
      </c>
      <c r="K10" s="69" t="s">
        <v>30</v>
      </c>
      <c r="L10" s="96">
        <v>44835</v>
      </c>
      <c r="M10" s="43"/>
      <c r="N10" s="44" t="str">
        <f t="shared" si="0"/>
        <v/>
      </c>
      <c r="O10" s="3"/>
      <c r="P10" s="3"/>
      <c r="Q10" s="3"/>
    </row>
    <row r="11" spans="1:17" ht="69.599999999999994">
      <c r="A11" s="83">
        <v>9</v>
      </c>
      <c r="B11" s="97" t="s">
        <v>64</v>
      </c>
      <c r="C11" s="85" t="s">
        <v>65</v>
      </c>
      <c r="D11" s="86" t="s">
        <v>66</v>
      </c>
      <c r="E11" s="84" t="s">
        <v>26</v>
      </c>
      <c r="F11" s="87" t="s">
        <v>63</v>
      </c>
      <c r="G11" s="90" t="s">
        <v>4</v>
      </c>
      <c r="H11" s="98">
        <v>44656</v>
      </c>
      <c r="I11" s="90" t="s">
        <v>38</v>
      </c>
      <c r="J11" s="91" t="s">
        <v>67</v>
      </c>
      <c r="K11" s="91" t="s">
        <v>40</v>
      </c>
      <c r="L11" s="99">
        <v>45017</v>
      </c>
      <c r="M11" s="46" t="s">
        <v>68</v>
      </c>
      <c r="N11" s="47" t="str">
        <f t="shared" si="0"/>
        <v>GEMINI PHARMACEUTICALS NIGERIA LTD</v>
      </c>
      <c r="O11" s="3"/>
      <c r="P11" s="3"/>
      <c r="Q11" s="3"/>
    </row>
  </sheetData>
  <mergeCells count="1">
    <mergeCell ref="A1:N1"/>
  </mergeCells>
  <conditionalFormatting sqref="I3:I11">
    <cfRule type="containsText" dxfId="102" priority="1" operator="containsText" text="NO">
      <formula>NOT(ISERROR(SEARCH("NO",I3)))</formula>
    </cfRule>
    <cfRule type="containsText" dxfId="101" priority="2" operator="containsText" text="YES">
      <formula>NOT(ISERROR(SEARCH("YES",I3)))</formula>
    </cfRule>
  </conditionalFormatting>
  <dataValidations count="3">
    <dataValidation allowBlank="1" showInputMessage="1" showErrorMessage="1" sqref="L2 L8:L11" xr:uid="{B5862D87-31CA-42B5-8794-B6AB46DF0CB6}"/>
    <dataValidation type="list" allowBlank="1" showInputMessage="1" showErrorMessage="1" sqref="K3:K11" xr:uid="{E0D5EB59-C66A-4CA5-9D68-D9CEAE5F711A}">
      <formula1>"CAPA VERIFICATIO SHOULD BE SCHEDULED,REMINDER LETTER SHOULD BE SENT,MEMO SHOULD BE SENT TO PCN"</formula1>
    </dataValidation>
    <dataValidation type="list" allowBlank="1" showInputMessage="1" showErrorMessage="1" sqref="I3:I11" xr:uid="{207D627A-D863-4B08-A22E-DA7A3A75F3C0}">
      <formula1>"YES,NO,N/A"</formula1>
    </dataValidation>
  </dataValidations>
  <hyperlinks>
    <hyperlink ref="M3" r:id="rId1" xr:uid="{A78F3334-9896-4F97-89E4-989D055219AD}"/>
    <hyperlink ref="M4" r:id="rId2" xr:uid="{661DA22F-70C4-48DC-8370-DBAD4F3D1C41}"/>
    <hyperlink ref="M5" r:id="rId3" xr:uid="{40B77FA7-DC79-4338-8F28-D24879D13F1E}"/>
  </hyperlinks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68B4-8094-4966-883F-192410D98B10}">
  <dimension ref="A1:Q5"/>
  <sheetViews>
    <sheetView workbookViewId="0">
      <selection activeCell="A6" sqref="A6"/>
    </sheetView>
  </sheetViews>
  <sheetFormatPr defaultRowHeight="14.45"/>
  <cols>
    <col min="1" max="1" width="15.140625" customWidth="1"/>
    <col min="2" max="2" width="31.5703125" customWidth="1"/>
    <col min="3" max="3" width="17.42578125" customWidth="1"/>
    <col min="4" max="4" width="15.140625" customWidth="1"/>
    <col min="5" max="6" width="17.42578125" customWidth="1"/>
    <col min="7" max="7" width="15.140625" customWidth="1"/>
    <col min="8" max="10" width="17.42578125" customWidth="1"/>
    <col min="11" max="11" width="15.140625" customWidth="1"/>
    <col min="12" max="12" width="17.42578125" customWidth="1"/>
    <col min="13" max="13" width="13.28515625" customWidth="1"/>
    <col min="14" max="14" width="17.42578125" customWidth="1"/>
  </cols>
  <sheetData>
    <row r="1" spans="1:17" ht="17.45">
      <c r="A1" s="106" t="s">
        <v>8</v>
      </c>
      <c r="B1" s="107"/>
      <c r="C1" s="107"/>
      <c r="D1" s="107"/>
      <c r="E1" s="107"/>
      <c r="F1" s="107"/>
      <c r="G1" s="107"/>
      <c r="H1" s="107"/>
      <c r="I1" s="107"/>
      <c r="J1" s="108"/>
      <c r="K1" s="1"/>
      <c r="L1" s="2"/>
      <c r="M1" s="3"/>
      <c r="N1" s="2"/>
      <c r="O1" s="3"/>
      <c r="P1" s="3"/>
      <c r="Q1" s="3"/>
    </row>
    <row r="2" spans="1:17" ht="46.9">
      <c r="A2" s="4" t="s">
        <v>9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0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45" t="s">
        <v>21</v>
      </c>
      <c r="N2" s="7" t="s">
        <v>22</v>
      </c>
      <c r="O2" s="3"/>
      <c r="P2" s="8"/>
      <c r="Q2" s="8"/>
    </row>
    <row r="3" spans="1:17" ht="69.599999999999994">
      <c r="A3" s="70">
        <v>10</v>
      </c>
      <c r="B3" s="74" t="s">
        <v>69</v>
      </c>
      <c r="C3" s="63" t="s">
        <v>70</v>
      </c>
      <c r="D3" s="71" t="s">
        <v>71</v>
      </c>
      <c r="E3" s="62" t="s">
        <v>26</v>
      </c>
      <c r="F3" s="72" t="s">
        <v>72</v>
      </c>
      <c r="G3" s="67" t="s">
        <v>3</v>
      </c>
      <c r="H3" s="67" t="s">
        <v>73</v>
      </c>
      <c r="I3" s="67" t="s">
        <v>38</v>
      </c>
      <c r="J3" s="69" t="s">
        <v>74</v>
      </c>
      <c r="K3" s="69" t="s">
        <v>40</v>
      </c>
      <c r="L3" s="96">
        <v>45413</v>
      </c>
      <c r="M3" s="38" t="s">
        <v>75</v>
      </c>
      <c r="N3" s="44" t="str">
        <f>IF(M3="","",HYPERLINK(M3,B3))</f>
        <v>EMZOR PHARMACEUTICAL INDUSTRIES LTD</v>
      </c>
      <c r="O3" s="3"/>
      <c r="P3" s="3"/>
      <c r="Q3" s="3"/>
    </row>
    <row r="4" spans="1:17" ht="55.9">
      <c r="A4" s="70">
        <v>2</v>
      </c>
      <c r="B4" s="62" t="s">
        <v>76</v>
      </c>
      <c r="C4" s="63" t="s">
        <v>77</v>
      </c>
      <c r="D4" s="71" t="s">
        <v>78</v>
      </c>
      <c r="E4" s="62" t="s">
        <v>26</v>
      </c>
      <c r="F4" s="72" t="s">
        <v>72</v>
      </c>
      <c r="G4" s="67" t="s">
        <v>3</v>
      </c>
      <c r="H4" s="67" t="s">
        <v>73</v>
      </c>
      <c r="I4" s="67" t="s">
        <v>38</v>
      </c>
      <c r="J4" s="69" t="s">
        <v>79</v>
      </c>
      <c r="K4" s="69" t="s">
        <v>40</v>
      </c>
      <c r="L4" s="96">
        <v>45413</v>
      </c>
      <c r="M4" s="38" t="s">
        <v>80</v>
      </c>
      <c r="N4" s="44" t="str">
        <f>IF(M4="","",HYPERLINK(M4,B4))</f>
        <v>SAFCO MEGA SOLUTION LTD</v>
      </c>
      <c r="O4" s="3"/>
      <c r="P4" s="3"/>
      <c r="Q4" s="3"/>
    </row>
    <row r="5" spans="1:17" ht="42">
      <c r="A5" s="83">
        <v>3</v>
      </c>
      <c r="B5" s="84" t="s">
        <v>81</v>
      </c>
      <c r="C5" s="85" t="s">
        <v>82</v>
      </c>
      <c r="D5" s="86" t="s">
        <v>83</v>
      </c>
      <c r="E5" s="84" t="s">
        <v>26</v>
      </c>
      <c r="F5" s="87" t="s">
        <v>72</v>
      </c>
      <c r="G5" s="90" t="s">
        <v>2</v>
      </c>
      <c r="H5" s="90" t="s">
        <v>84</v>
      </c>
      <c r="I5" s="90" t="s">
        <v>38</v>
      </c>
      <c r="J5" s="91" t="s">
        <v>85</v>
      </c>
      <c r="K5" s="91"/>
      <c r="L5" s="99">
        <v>44713</v>
      </c>
      <c r="M5" s="46" t="s">
        <v>86</v>
      </c>
      <c r="N5" s="47" t="str">
        <f>IF(M5="","",HYPERLINK(M5,B5))</f>
        <v>ELFIMO PHARMACY LTD</v>
      </c>
      <c r="O5" s="3"/>
      <c r="P5" s="3"/>
      <c r="Q5" s="3"/>
    </row>
  </sheetData>
  <mergeCells count="1">
    <mergeCell ref="A1:J1"/>
  </mergeCells>
  <conditionalFormatting sqref="I3:I5">
    <cfRule type="containsText" dxfId="82" priority="1" operator="containsText" text="NO">
      <formula>NOT(ISERROR(SEARCH("NO",I3)))</formula>
    </cfRule>
    <cfRule type="containsText" dxfId="81" priority="2" operator="containsText" text="YES">
      <formula>NOT(ISERROR(SEARCH("YES",I3)))</formula>
    </cfRule>
  </conditionalFormatting>
  <dataValidations count="3">
    <dataValidation allowBlank="1" showInputMessage="1" showErrorMessage="1" sqref="L1:L5" xr:uid="{FB098E9A-49E7-48E1-A489-AF128B4A937A}"/>
    <dataValidation type="list" allowBlank="1" showInputMessage="1" showErrorMessage="1" sqref="K3:K5" xr:uid="{CA5B1DFD-2903-422F-8515-D1A48DE0C59C}">
      <formula1>"CAPA VERIFICATIO SHOULD BE SCHEDULED,REMINDER LETTER SHOULD BE SENT,MEMO SHOULD BE SENT TO PCN"</formula1>
    </dataValidation>
    <dataValidation type="list" allowBlank="1" showInputMessage="1" showErrorMessage="1" sqref="I3:I5" xr:uid="{54DEEBFE-3DC1-4E75-9590-CD49E099D2A0}">
      <formula1>"YES,NO,N/A"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1C05-1F51-415A-A2DC-D73EFA6B048D}">
  <dimension ref="A1:Q17"/>
  <sheetViews>
    <sheetView topLeftCell="A12" workbookViewId="0">
      <selection activeCell="A18" sqref="A18"/>
    </sheetView>
  </sheetViews>
  <sheetFormatPr defaultRowHeight="14.45"/>
  <cols>
    <col min="2" max="2" width="39.28515625" bestFit="1" customWidth="1"/>
    <col min="3" max="3" width="11.42578125" bestFit="1" customWidth="1"/>
    <col min="4" max="4" width="14.85546875" bestFit="1" customWidth="1"/>
    <col min="5" max="5" width="11.42578125" bestFit="1" customWidth="1"/>
    <col min="6" max="6" width="14.85546875" bestFit="1" customWidth="1"/>
    <col min="7" max="7" width="16.5703125" bestFit="1" customWidth="1"/>
    <col min="8" max="12" width="11.42578125" bestFit="1" customWidth="1"/>
    <col min="13" max="13" width="31.28515625" hidden="1" customWidth="1"/>
    <col min="14" max="14" width="11.42578125" bestFit="1" customWidth="1"/>
  </cols>
  <sheetData>
    <row r="1" spans="1:17" ht="17.45">
      <c r="A1" s="103" t="s">
        <v>8</v>
      </c>
      <c r="B1" s="103"/>
      <c r="C1" s="103"/>
      <c r="D1" s="103"/>
      <c r="E1" s="103"/>
      <c r="F1" s="103"/>
      <c r="G1" s="103"/>
      <c r="H1" s="103"/>
      <c r="I1" s="103"/>
      <c r="J1" s="103"/>
      <c r="K1" s="1"/>
      <c r="L1" s="2"/>
      <c r="M1" s="3"/>
      <c r="N1" s="2"/>
      <c r="O1" s="3"/>
      <c r="P1" s="3"/>
    </row>
    <row r="2" spans="1:17" ht="78">
      <c r="A2" s="4" t="s">
        <v>9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0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45" t="s">
        <v>21</v>
      </c>
      <c r="N2" s="5" t="s">
        <v>22</v>
      </c>
      <c r="O2" s="8"/>
      <c r="P2" s="8"/>
    </row>
    <row r="3" spans="1:17" ht="57.6">
      <c r="A3" s="70">
        <v>1</v>
      </c>
      <c r="B3" s="62" t="s">
        <v>87</v>
      </c>
      <c r="C3" s="63" t="s">
        <v>88</v>
      </c>
      <c r="D3" s="64" t="s">
        <v>89</v>
      </c>
      <c r="E3" s="62" t="s">
        <v>26</v>
      </c>
      <c r="F3" s="72" t="s">
        <v>90</v>
      </c>
      <c r="G3" s="67" t="s">
        <v>4</v>
      </c>
      <c r="H3" s="67" t="s">
        <v>91</v>
      </c>
      <c r="I3" s="67" t="s">
        <v>28</v>
      </c>
      <c r="J3" s="69" t="s">
        <v>29</v>
      </c>
      <c r="K3" s="69" t="s">
        <v>30</v>
      </c>
      <c r="L3" s="96">
        <v>45078</v>
      </c>
      <c r="M3" s="38" t="s">
        <v>92</v>
      </c>
      <c r="N3" s="44" t="str">
        <f t="shared" ref="N3:N17" si="0">IF(M3="","",HYPERLINK(M3,B3))</f>
        <v>ANOBS PHARMACY &amp; STORES LTD</v>
      </c>
      <c r="O3" s="3"/>
      <c r="P3" s="3"/>
      <c r="Q3" s="3"/>
    </row>
    <row r="4" spans="1:17" ht="97.15">
      <c r="A4" s="70">
        <v>2</v>
      </c>
      <c r="B4" s="62" t="s">
        <v>93</v>
      </c>
      <c r="C4" s="13" t="s">
        <v>94</v>
      </c>
      <c r="D4" s="64" t="s">
        <v>95</v>
      </c>
      <c r="E4" s="62" t="s">
        <v>26</v>
      </c>
      <c r="F4" s="72" t="s">
        <v>96</v>
      </c>
      <c r="G4" s="67" t="s">
        <v>4</v>
      </c>
      <c r="H4" s="67" t="s">
        <v>97</v>
      </c>
      <c r="I4" s="67" t="s">
        <v>38</v>
      </c>
      <c r="J4" s="69" t="s">
        <v>98</v>
      </c>
      <c r="K4" s="69" t="s">
        <v>40</v>
      </c>
      <c r="L4" s="96">
        <v>45078</v>
      </c>
      <c r="M4" s="38" t="s">
        <v>99</v>
      </c>
      <c r="N4" s="39" t="str">
        <f t="shared" si="0"/>
        <v>ALL ROUND HEALTH LTD</v>
      </c>
      <c r="O4" s="3"/>
      <c r="P4" s="3"/>
      <c r="Q4" s="3"/>
    </row>
    <row r="5" spans="1:17" ht="152.44999999999999">
      <c r="A5" s="70">
        <v>3</v>
      </c>
      <c r="B5" s="62" t="s">
        <v>100</v>
      </c>
      <c r="C5" s="13" t="s">
        <v>101</v>
      </c>
      <c r="D5" s="64" t="s">
        <v>102</v>
      </c>
      <c r="E5" s="62" t="s">
        <v>26</v>
      </c>
      <c r="F5" s="72" t="s">
        <v>96</v>
      </c>
      <c r="G5" s="14" t="s">
        <v>5</v>
      </c>
      <c r="H5" s="14" t="s">
        <v>5</v>
      </c>
      <c r="I5" s="15" t="s">
        <v>28</v>
      </c>
      <c r="J5" s="16" t="s">
        <v>103</v>
      </c>
      <c r="K5" s="69" t="s">
        <v>104</v>
      </c>
      <c r="L5" s="16"/>
      <c r="M5" s="38" t="s">
        <v>105</v>
      </c>
      <c r="N5" s="39" t="str">
        <f t="shared" si="0"/>
        <v>OCICAN PHARMACY &amp; STORES LTD.</v>
      </c>
      <c r="O5" s="3"/>
      <c r="P5" s="3"/>
      <c r="Q5" s="3"/>
    </row>
    <row r="6" spans="1:17" ht="97.15">
      <c r="A6" s="70">
        <v>4</v>
      </c>
      <c r="B6" s="74" t="s">
        <v>106</v>
      </c>
      <c r="C6" s="13" t="s">
        <v>107</v>
      </c>
      <c r="D6" s="64" t="s">
        <v>108</v>
      </c>
      <c r="E6" s="62" t="s">
        <v>26</v>
      </c>
      <c r="F6" s="72" t="s">
        <v>109</v>
      </c>
      <c r="G6" s="75" t="s">
        <v>4</v>
      </c>
      <c r="H6" s="67" t="s">
        <v>97</v>
      </c>
      <c r="I6" s="67" t="s">
        <v>38</v>
      </c>
      <c r="J6" s="69" t="s">
        <v>29</v>
      </c>
      <c r="K6" s="69" t="str">
        <f t="shared" ref="K6:K17" si="1">IF(I6="YES","CAPA VERIFICATION SHOULD BE SCHEDULED",IF(I6="NO","REMINDER LETTER SHOULD BE SENT",""))</f>
        <v>CAPA VERIFICATION SHOULD BE SCHEDULED</v>
      </c>
      <c r="L6" s="96">
        <v>45078</v>
      </c>
      <c r="M6" s="38" t="s">
        <v>110</v>
      </c>
      <c r="N6" s="43" t="str">
        <f t="shared" si="0"/>
        <v>ALL SAINTS PHARM &amp; ALLIED PROD. INT’L LTD.</v>
      </c>
      <c r="O6" s="3"/>
      <c r="P6" s="3"/>
      <c r="Q6" s="3"/>
    </row>
    <row r="7" spans="1:17" ht="69.599999999999994">
      <c r="A7" s="70">
        <v>5</v>
      </c>
      <c r="B7" s="62" t="s">
        <v>111</v>
      </c>
      <c r="C7" s="13" t="s">
        <v>112</v>
      </c>
      <c r="D7" s="64" t="s">
        <v>113</v>
      </c>
      <c r="E7" s="62" t="s">
        <v>26</v>
      </c>
      <c r="F7" s="72" t="s">
        <v>114</v>
      </c>
      <c r="G7" s="75" t="s">
        <v>4</v>
      </c>
      <c r="H7" s="75" t="s">
        <v>91</v>
      </c>
      <c r="I7" s="67" t="s">
        <v>28</v>
      </c>
      <c r="J7" s="69" t="s">
        <v>29</v>
      </c>
      <c r="K7" s="69" t="str">
        <f t="shared" si="1"/>
        <v>REMINDER LETTER SHOULD BE SENT</v>
      </c>
      <c r="L7" s="96">
        <v>45078</v>
      </c>
      <c r="M7" s="38" t="s">
        <v>115</v>
      </c>
      <c r="N7" s="39" t="str">
        <f t="shared" si="0"/>
        <v xml:space="preserve">ANGANS PHARMACY </v>
      </c>
      <c r="O7" s="3"/>
      <c r="P7" s="3"/>
      <c r="Q7" s="3"/>
    </row>
    <row r="8" spans="1:17" ht="55.9">
      <c r="A8" s="70">
        <v>6</v>
      </c>
      <c r="B8" s="62" t="s">
        <v>116</v>
      </c>
      <c r="C8" s="63" t="s">
        <v>117</v>
      </c>
      <c r="D8" s="64" t="s">
        <v>118</v>
      </c>
      <c r="E8" s="62" t="s">
        <v>26</v>
      </c>
      <c r="F8" s="72" t="s">
        <v>114</v>
      </c>
      <c r="G8" s="75" t="s">
        <v>4</v>
      </c>
      <c r="H8" s="75" t="s">
        <v>91</v>
      </c>
      <c r="I8" s="67" t="s">
        <v>28</v>
      </c>
      <c r="J8" s="69" t="s">
        <v>29</v>
      </c>
      <c r="K8" s="69" t="str">
        <f t="shared" si="1"/>
        <v>REMINDER LETTER SHOULD BE SENT</v>
      </c>
      <c r="L8" s="96">
        <v>45078</v>
      </c>
      <c r="M8" s="38" t="s">
        <v>119</v>
      </c>
      <c r="N8" s="39" t="str">
        <f t="shared" si="0"/>
        <v>CEEMMAX PHARMACEUTICALS LTD</v>
      </c>
      <c r="O8" s="3"/>
      <c r="P8" s="3"/>
      <c r="Q8" s="3"/>
    </row>
    <row r="9" spans="1:17" ht="72">
      <c r="A9" s="70">
        <v>7</v>
      </c>
      <c r="B9" s="74" t="s">
        <v>120</v>
      </c>
      <c r="C9" s="63" t="s">
        <v>121</v>
      </c>
      <c r="D9" s="64" t="s">
        <v>122</v>
      </c>
      <c r="E9" s="62" t="s">
        <v>26</v>
      </c>
      <c r="F9" s="72" t="s">
        <v>114</v>
      </c>
      <c r="G9" s="75" t="s">
        <v>4</v>
      </c>
      <c r="H9" s="75"/>
      <c r="I9" s="67" t="s">
        <v>28</v>
      </c>
      <c r="J9" s="69" t="s">
        <v>29</v>
      </c>
      <c r="K9" s="69" t="str">
        <f t="shared" si="1"/>
        <v>REMINDER LETTER SHOULD BE SENT</v>
      </c>
      <c r="L9" s="96">
        <v>45078</v>
      </c>
      <c r="M9" s="38" t="s">
        <v>123</v>
      </c>
      <c r="N9" s="39" t="str">
        <f t="shared" si="0"/>
        <v>HEPHZEBAH PHARM &amp; ALLIED PRODUCTS LTD</v>
      </c>
      <c r="O9" s="3"/>
      <c r="P9" s="3"/>
      <c r="Q9" s="3"/>
    </row>
    <row r="10" spans="1:17" ht="43.15">
      <c r="A10" s="70">
        <v>8</v>
      </c>
      <c r="B10" s="62" t="s">
        <v>124</v>
      </c>
      <c r="C10" s="63" t="s">
        <v>125</v>
      </c>
      <c r="D10" s="64" t="s">
        <v>126</v>
      </c>
      <c r="E10" s="62" t="s">
        <v>26</v>
      </c>
      <c r="F10" s="72" t="s">
        <v>127</v>
      </c>
      <c r="G10" s="75" t="s">
        <v>4</v>
      </c>
      <c r="H10" s="75"/>
      <c r="I10" s="67" t="s">
        <v>5</v>
      </c>
      <c r="J10" s="69" t="s">
        <v>29</v>
      </c>
      <c r="K10" s="69" t="str">
        <f t="shared" si="1"/>
        <v/>
      </c>
      <c r="L10" s="96">
        <v>45078</v>
      </c>
      <c r="M10" s="38" t="s">
        <v>128</v>
      </c>
      <c r="N10" s="39" t="str">
        <f t="shared" si="0"/>
        <v>MEEK MEDICAL CO. NIG. LTD</v>
      </c>
      <c r="O10" s="3"/>
      <c r="P10" s="3"/>
      <c r="Q10" s="3"/>
    </row>
    <row r="11" spans="1:17" ht="97.15">
      <c r="A11" s="70">
        <v>9</v>
      </c>
      <c r="B11" s="62" t="s">
        <v>129</v>
      </c>
      <c r="C11" s="63" t="s">
        <v>130</v>
      </c>
      <c r="D11" s="64" t="s">
        <v>131</v>
      </c>
      <c r="E11" s="62" t="s">
        <v>26</v>
      </c>
      <c r="F11" s="72" t="s">
        <v>132</v>
      </c>
      <c r="G11" s="67" t="s">
        <v>2</v>
      </c>
      <c r="H11" s="75" t="s">
        <v>91</v>
      </c>
      <c r="I11" s="67" t="s">
        <v>38</v>
      </c>
      <c r="J11" s="69" t="s">
        <v>29</v>
      </c>
      <c r="K11" s="69" t="str">
        <f t="shared" si="1"/>
        <v>CAPA VERIFICATION SHOULD BE SCHEDULED</v>
      </c>
      <c r="L11" s="100">
        <v>44896</v>
      </c>
      <c r="M11" s="38" t="s">
        <v>133</v>
      </c>
      <c r="N11" s="39" t="str">
        <f t="shared" si="0"/>
        <v>B-EMMANUEL PHARMACY</v>
      </c>
      <c r="O11" s="3"/>
      <c r="P11" s="3"/>
      <c r="Q11" s="3"/>
    </row>
    <row r="12" spans="1:17" ht="55.9">
      <c r="A12" s="70">
        <v>10</v>
      </c>
      <c r="B12" s="62" t="s">
        <v>134</v>
      </c>
      <c r="C12" s="63" t="s">
        <v>135</v>
      </c>
      <c r="D12" s="64" t="s">
        <v>136</v>
      </c>
      <c r="E12" s="62" t="s">
        <v>26</v>
      </c>
      <c r="F12" s="72" t="s">
        <v>132</v>
      </c>
      <c r="G12" s="67" t="s">
        <v>2</v>
      </c>
      <c r="H12" s="75" t="s">
        <v>91</v>
      </c>
      <c r="I12" s="67" t="s">
        <v>28</v>
      </c>
      <c r="J12" s="69" t="s">
        <v>29</v>
      </c>
      <c r="K12" s="69" t="str">
        <f t="shared" si="1"/>
        <v>REMINDER LETTER SHOULD BE SENT</v>
      </c>
      <c r="L12" s="69"/>
      <c r="M12" s="43" t="s">
        <v>137</v>
      </c>
      <c r="N12" s="39" t="str">
        <f t="shared" si="0"/>
        <v>KRISPHINA PHARMACEUTICAL LTD</v>
      </c>
      <c r="O12" s="3"/>
      <c r="P12" s="3"/>
      <c r="Q12" s="3"/>
    </row>
    <row r="13" spans="1:17" ht="83.45">
      <c r="A13" s="70">
        <v>11</v>
      </c>
      <c r="B13" s="62" t="s">
        <v>138</v>
      </c>
      <c r="C13" s="63" t="s">
        <v>139</v>
      </c>
      <c r="D13" s="64" t="s">
        <v>140</v>
      </c>
      <c r="E13" s="62" t="s">
        <v>26</v>
      </c>
      <c r="F13" s="72" t="s">
        <v>132</v>
      </c>
      <c r="G13" s="67" t="s">
        <v>4</v>
      </c>
      <c r="H13" s="67" t="s">
        <v>97</v>
      </c>
      <c r="I13" s="67" t="s">
        <v>28</v>
      </c>
      <c r="J13" s="69" t="s">
        <v>29</v>
      </c>
      <c r="K13" s="69" t="str">
        <f t="shared" si="1"/>
        <v>REMINDER LETTER SHOULD BE SENT</v>
      </c>
      <c r="L13" s="96">
        <v>45078</v>
      </c>
      <c r="M13" s="38" t="s">
        <v>141</v>
      </c>
      <c r="N13" s="39" t="str">
        <f t="shared" si="0"/>
        <v>C.U. PEDRO PHARM. NIG. LTD</v>
      </c>
      <c r="O13" s="3"/>
      <c r="P13" s="3"/>
      <c r="Q13" s="3"/>
    </row>
    <row r="14" spans="1:17" ht="69.599999999999994">
      <c r="A14" s="70">
        <v>12</v>
      </c>
      <c r="B14" s="62" t="s">
        <v>142</v>
      </c>
      <c r="C14" s="63" t="s">
        <v>143</v>
      </c>
      <c r="D14" s="64" t="s">
        <v>144</v>
      </c>
      <c r="E14" s="62" t="s">
        <v>26</v>
      </c>
      <c r="F14" s="72" t="s">
        <v>132</v>
      </c>
      <c r="G14" s="75" t="s">
        <v>4</v>
      </c>
      <c r="H14" s="75" t="s">
        <v>97</v>
      </c>
      <c r="I14" s="67" t="s">
        <v>28</v>
      </c>
      <c r="J14" s="69" t="s">
        <v>29</v>
      </c>
      <c r="K14" s="69" t="str">
        <f t="shared" si="1"/>
        <v>REMINDER LETTER SHOULD BE SENT</v>
      </c>
      <c r="L14" s="96">
        <v>45078</v>
      </c>
      <c r="M14" s="38" t="s">
        <v>145</v>
      </c>
      <c r="N14" s="39" t="str">
        <f t="shared" si="0"/>
        <v>JUDE THADDY PHARMACY</v>
      </c>
      <c r="O14" s="3"/>
      <c r="P14" s="3"/>
      <c r="Q14" s="3"/>
    </row>
    <row r="15" spans="1:17" ht="69.599999999999994">
      <c r="A15" s="70">
        <v>13</v>
      </c>
      <c r="B15" s="74" t="s">
        <v>146</v>
      </c>
      <c r="C15" s="63" t="s">
        <v>147</v>
      </c>
      <c r="D15" s="64" t="s">
        <v>148</v>
      </c>
      <c r="E15" s="62" t="s">
        <v>26</v>
      </c>
      <c r="F15" s="72" t="s">
        <v>149</v>
      </c>
      <c r="G15" s="67" t="s">
        <v>2</v>
      </c>
      <c r="H15" s="75" t="s">
        <v>91</v>
      </c>
      <c r="I15" s="67" t="s">
        <v>28</v>
      </c>
      <c r="J15" s="69" t="s">
        <v>29</v>
      </c>
      <c r="K15" s="69" t="str">
        <f t="shared" si="1"/>
        <v>REMINDER LETTER SHOULD BE SENT</v>
      </c>
      <c r="L15" s="96">
        <v>44896</v>
      </c>
      <c r="M15" s="38" t="s">
        <v>150</v>
      </c>
      <c r="N15" s="39" t="str">
        <f t="shared" si="0"/>
        <v>FRANPHINO PHARMACEUTICAL NIG. LTD</v>
      </c>
      <c r="O15" s="3"/>
      <c r="P15" s="3"/>
      <c r="Q15" s="3"/>
    </row>
    <row r="16" spans="1:17" ht="97.15">
      <c r="A16" s="70">
        <v>14</v>
      </c>
      <c r="B16" s="62" t="s">
        <v>151</v>
      </c>
      <c r="C16" s="63" t="s">
        <v>152</v>
      </c>
      <c r="D16" s="64" t="s">
        <v>153</v>
      </c>
      <c r="E16" s="62" t="s">
        <v>26</v>
      </c>
      <c r="F16" s="72" t="s">
        <v>149</v>
      </c>
      <c r="G16" s="67" t="s">
        <v>2</v>
      </c>
      <c r="H16" s="67" t="s">
        <v>97</v>
      </c>
      <c r="I16" s="67" t="s">
        <v>38</v>
      </c>
      <c r="J16" s="69" t="s">
        <v>154</v>
      </c>
      <c r="K16" s="69" t="str">
        <f t="shared" si="1"/>
        <v>CAPA VERIFICATION SHOULD BE SCHEDULED</v>
      </c>
      <c r="L16" s="96">
        <v>44896</v>
      </c>
      <c r="M16" s="38" t="s">
        <v>155</v>
      </c>
      <c r="N16" s="39" t="str">
        <f t="shared" si="0"/>
        <v>CHIDO PHARMACY</v>
      </c>
      <c r="O16" s="3"/>
      <c r="P16" s="3"/>
      <c r="Q16" s="3"/>
    </row>
    <row r="17" spans="1:17" ht="69.599999999999994">
      <c r="A17" s="83">
        <v>15</v>
      </c>
      <c r="B17" s="84" t="s">
        <v>156</v>
      </c>
      <c r="C17" s="85" t="s">
        <v>157</v>
      </c>
      <c r="D17" s="86" t="s">
        <v>158</v>
      </c>
      <c r="E17" s="84" t="s">
        <v>26</v>
      </c>
      <c r="F17" s="87" t="s">
        <v>149</v>
      </c>
      <c r="G17" s="89" t="s">
        <v>2</v>
      </c>
      <c r="H17" s="89" t="s">
        <v>97</v>
      </c>
      <c r="I17" s="90" t="s">
        <v>28</v>
      </c>
      <c r="J17" s="91" t="s">
        <v>29</v>
      </c>
      <c r="K17" s="91" t="str">
        <f t="shared" si="1"/>
        <v>REMINDER LETTER SHOULD BE SENT</v>
      </c>
      <c r="L17" s="99">
        <v>44896</v>
      </c>
      <c r="M17" s="46" t="s">
        <v>159</v>
      </c>
      <c r="N17" s="49" t="str">
        <f t="shared" si="0"/>
        <v>DARUCHI PRODUCTS LTD</v>
      </c>
      <c r="O17" s="3"/>
      <c r="P17" s="3"/>
      <c r="Q17" s="3"/>
    </row>
  </sheetData>
  <mergeCells count="1">
    <mergeCell ref="A1:J1"/>
  </mergeCells>
  <conditionalFormatting sqref="I3:I17">
    <cfRule type="containsText" dxfId="63" priority="1" operator="containsText" text="NO">
      <formula>NOT(ISERROR(SEARCH("NO",I3)))</formula>
    </cfRule>
    <cfRule type="containsText" dxfId="62" priority="2" operator="containsText" text="YES">
      <formula>NOT(ISERROR(SEARCH("YES",I3)))</formula>
    </cfRule>
  </conditionalFormatting>
  <conditionalFormatting sqref="J3:J17">
    <cfRule type="containsText" dxfId="61" priority="3" operator="containsText" text="NO">
      <formula>NOT(ISERROR(SEARCH("NO",J3)))</formula>
    </cfRule>
    <cfRule type="containsText" dxfId="60" priority="4" operator="containsText" text="YES">
      <formula>NOT(ISERROR(SEARCH("YES",J3)))</formula>
    </cfRule>
  </conditionalFormatting>
  <dataValidations count="3">
    <dataValidation allowBlank="1" showInputMessage="1" showErrorMessage="1" sqref="L1:L17 K8:K17" xr:uid="{EE987AC8-392B-49E6-8902-08A78726FBBE}"/>
    <dataValidation type="list" allowBlank="1" showInputMessage="1" showErrorMessage="1" sqref="K3:K7" xr:uid="{80B061B7-A304-40F4-BDE2-D2411ED3075C}">
      <formula1>"CAPA VERIFICATIO SHOULD BE SCHEDULED,REMINDER LETTER SHOULD BE SENT,MEMO SHOULD BE SENT TO PCN"</formula1>
    </dataValidation>
    <dataValidation type="list" allowBlank="1" showInputMessage="1" showErrorMessage="1" sqref="I3:I17" xr:uid="{B2E7123B-C4B3-42EC-A250-2A42148CC910}">
      <formula1>"YES,NO,N/A"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FB1A-FD2C-43FB-9912-D92D8011C662}">
  <dimension ref="A1:R28"/>
  <sheetViews>
    <sheetView workbookViewId="0"/>
  </sheetViews>
  <sheetFormatPr defaultRowHeight="14.45"/>
  <cols>
    <col min="2" max="2" width="43.85546875" bestFit="1" customWidth="1"/>
    <col min="3" max="3" width="11.42578125" bestFit="1" customWidth="1"/>
    <col min="4" max="4" width="14.85546875" bestFit="1" customWidth="1"/>
    <col min="5" max="5" width="11.42578125" bestFit="1" customWidth="1"/>
    <col min="6" max="6" width="13.7109375" bestFit="1" customWidth="1"/>
    <col min="7" max="12" width="11.42578125" bestFit="1" customWidth="1"/>
    <col min="13" max="13" width="170" customWidth="1"/>
    <col min="14" max="14" width="26.28515625" customWidth="1"/>
  </cols>
  <sheetData>
    <row r="1" spans="1:18" ht="17.45">
      <c r="A1" s="103" t="s">
        <v>8</v>
      </c>
      <c r="B1" s="103"/>
      <c r="C1" s="103"/>
      <c r="D1" s="103"/>
      <c r="E1" s="103"/>
      <c r="F1" s="103"/>
      <c r="G1" s="103"/>
      <c r="H1" s="103"/>
      <c r="I1" s="103"/>
      <c r="J1" s="103"/>
      <c r="K1" s="1"/>
      <c r="L1" s="2"/>
      <c r="M1" s="3"/>
      <c r="N1" s="2"/>
      <c r="O1" s="3"/>
      <c r="P1" s="3"/>
      <c r="Q1" s="3"/>
    </row>
    <row r="2" spans="1:18" ht="78">
      <c r="A2" s="4" t="s">
        <v>9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0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45" t="s">
        <v>21</v>
      </c>
      <c r="N2" s="7" t="s">
        <v>286</v>
      </c>
      <c r="O2" s="3"/>
      <c r="P2" s="8"/>
      <c r="Q2" s="8"/>
    </row>
    <row r="3" spans="1:18" ht="97.15">
      <c r="A3" s="70">
        <v>1</v>
      </c>
      <c r="B3" s="19" t="s">
        <v>160</v>
      </c>
      <c r="C3" s="20" t="s">
        <v>161</v>
      </c>
      <c r="D3" s="64" t="s">
        <v>162</v>
      </c>
      <c r="E3" s="62" t="s">
        <v>26</v>
      </c>
      <c r="F3" s="21" t="s">
        <v>163</v>
      </c>
      <c r="G3" s="67" t="s">
        <v>4</v>
      </c>
      <c r="H3" s="67" t="s">
        <v>164</v>
      </c>
      <c r="I3" s="67" t="s">
        <v>38</v>
      </c>
      <c r="J3" s="78" t="s">
        <v>165</v>
      </c>
      <c r="K3" s="69" t="str">
        <f>IF(I3="YES","CAPA VERIFICATION SHOULD BE SCHEDULED",IF(I3="NO","REMINDER LETTER SHOULD BE SENT",""))</f>
        <v>CAPA VERIFICATION SHOULD BE SCHEDULED</v>
      </c>
      <c r="L3" s="96">
        <v>45170</v>
      </c>
      <c r="M3" s="38" t="s">
        <v>166</v>
      </c>
      <c r="N3" s="51" t="str">
        <f>IF(M3="","",HYPERLINK(M3,B3))</f>
        <v>SABIZ NIG. LTD</v>
      </c>
      <c r="O3" s="22"/>
      <c r="P3" s="3"/>
      <c r="Q3" s="3"/>
      <c r="R3" s="3"/>
    </row>
    <row r="4" spans="1:18" ht="55.9">
      <c r="A4" s="70">
        <v>2</v>
      </c>
      <c r="B4" s="19" t="s">
        <v>167</v>
      </c>
      <c r="C4" s="20" t="s">
        <v>168</v>
      </c>
      <c r="D4" s="64" t="s">
        <v>169</v>
      </c>
      <c r="E4" s="62" t="s">
        <v>26</v>
      </c>
      <c r="F4" s="21" t="s">
        <v>163</v>
      </c>
      <c r="G4" s="67" t="s">
        <v>2</v>
      </c>
      <c r="H4" s="67" t="s">
        <v>164</v>
      </c>
      <c r="I4" s="67" t="s">
        <v>28</v>
      </c>
      <c r="J4" s="69" t="s">
        <v>29</v>
      </c>
      <c r="K4" s="69" t="str">
        <f>IF(I4="YES","CAPA VERIFICATION SHOULD BE SCHEDULED",IF(I4="NO","REMINDER LETTER SHOULD BE SENT",""))</f>
        <v>REMINDER LETTER SHOULD BE SENT</v>
      </c>
      <c r="L4" s="96">
        <v>44986</v>
      </c>
      <c r="M4" s="38" t="s">
        <v>170</v>
      </c>
      <c r="N4" s="51" t="str">
        <f t="shared" ref="N4:N28" si="0">IF(M4="","",HYPERLINK(M4,B4))</f>
        <v>FENOMAS PHARM. NIG. LTD</v>
      </c>
      <c r="O4" s="11"/>
      <c r="P4" s="3"/>
      <c r="Q4" s="3"/>
      <c r="R4" s="3"/>
    </row>
    <row r="5" spans="1:18" ht="97.15">
      <c r="A5" s="70">
        <v>3</v>
      </c>
      <c r="B5" s="19" t="s">
        <v>171</v>
      </c>
      <c r="C5" s="69" t="s">
        <v>172</v>
      </c>
      <c r="D5" s="64" t="s">
        <v>173</v>
      </c>
      <c r="E5" s="62" t="s">
        <v>26</v>
      </c>
      <c r="F5" s="21" t="s">
        <v>163</v>
      </c>
      <c r="G5" s="67" t="s">
        <v>2</v>
      </c>
      <c r="H5" s="67" t="s">
        <v>164</v>
      </c>
      <c r="I5" s="67" t="s">
        <v>38</v>
      </c>
      <c r="J5" s="69" t="s">
        <v>174</v>
      </c>
      <c r="K5" s="69" t="str">
        <f>IF(I5="YES","CAPA VERIFICATION SHOULD BE SCHEDULED",IF(I5="NO","REMINDER LETTER SHOULD BE SENT",""))</f>
        <v>CAPA VERIFICATION SHOULD BE SCHEDULED</v>
      </c>
      <c r="L5" s="96">
        <v>44986</v>
      </c>
      <c r="M5" s="38" t="s">
        <v>175</v>
      </c>
      <c r="N5" s="51" t="str">
        <f t="shared" si="0"/>
        <v>U-N PHARMA SOLUTION LTD</v>
      </c>
      <c r="O5" s="11"/>
      <c r="P5" s="3"/>
      <c r="Q5" s="3"/>
      <c r="R5" s="3"/>
    </row>
    <row r="6" spans="1:18" ht="83.45">
      <c r="A6" s="70">
        <v>4</v>
      </c>
      <c r="B6" s="19" t="s">
        <v>176</v>
      </c>
      <c r="C6" s="20" t="s">
        <v>177</v>
      </c>
      <c r="D6" s="23" t="s">
        <v>178</v>
      </c>
      <c r="E6" s="62" t="s">
        <v>26</v>
      </c>
      <c r="F6" s="21" t="s">
        <v>163</v>
      </c>
      <c r="G6" s="67" t="s">
        <v>2</v>
      </c>
      <c r="H6" s="67" t="s">
        <v>164</v>
      </c>
      <c r="I6" s="67" t="s">
        <v>28</v>
      </c>
      <c r="J6" s="69" t="s">
        <v>29</v>
      </c>
      <c r="K6" s="69" t="str">
        <f>IF(I6="YES","CAPA VERIFICATION SHOULD BE SCHEDULED",IF(I6="NO","REMINDER LETTER SHOULD BE SENT",""))</f>
        <v>REMINDER LETTER SHOULD BE SENT</v>
      </c>
      <c r="L6" s="96">
        <v>44986</v>
      </c>
      <c r="M6" s="38" t="s">
        <v>179</v>
      </c>
      <c r="N6" s="51" t="str">
        <f t="shared" si="0"/>
        <v>MULTICHARIS PHARM. &amp; CHEM. CO. LTD</v>
      </c>
      <c r="O6" s="11"/>
      <c r="P6" s="3"/>
      <c r="Q6" s="3"/>
      <c r="R6" s="3"/>
    </row>
    <row r="7" spans="1:18" ht="55.9">
      <c r="A7" s="70">
        <v>5</v>
      </c>
      <c r="B7" s="19" t="s">
        <v>180</v>
      </c>
      <c r="C7" s="20" t="s">
        <v>181</v>
      </c>
      <c r="D7" s="72" t="s">
        <v>182</v>
      </c>
      <c r="E7" s="62" t="s">
        <v>26</v>
      </c>
      <c r="F7" s="21" t="s">
        <v>163</v>
      </c>
      <c r="G7" s="67" t="s">
        <v>5</v>
      </c>
      <c r="H7" s="67"/>
      <c r="I7" s="67" t="s">
        <v>5</v>
      </c>
      <c r="J7" s="69"/>
      <c r="K7" s="69" t="s">
        <v>183</v>
      </c>
      <c r="L7" s="69"/>
      <c r="M7" s="43"/>
      <c r="N7" s="51" t="str">
        <f t="shared" si="0"/>
        <v/>
      </c>
      <c r="O7" s="11"/>
      <c r="P7" s="3"/>
      <c r="Q7" s="3"/>
      <c r="R7" s="3"/>
    </row>
    <row r="8" spans="1:18" ht="97.15">
      <c r="A8" s="70">
        <v>6</v>
      </c>
      <c r="B8" s="19" t="s">
        <v>184</v>
      </c>
      <c r="C8" s="20" t="s">
        <v>185</v>
      </c>
      <c r="D8" s="64" t="s">
        <v>186</v>
      </c>
      <c r="E8" s="62" t="s">
        <v>26</v>
      </c>
      <c r="F8" s="21" t="s">
        <v>163</v>
      </c>
      <c r="G8" s="67" t="s">
        <v>2</v>
      </c>
      <c r="H8" s="67" t="s">
        <v>164</v>
      </c>
      <c r="I8" s="67" t="s">
        <v>38</v>
      </c>
      <c r="J8" s="69" t="s">
        <v>187</v>
      </c>
      <c r="K8" s="69" t="str">
        <f t="shared" ref="K8:K28" si="1">IF(I8="YES","CAPA VERIFICATION SHOULD BE SCHEDULED",IF(I8="NO","REMINDER LETTER SHOULD BE SENT",""))</f>
        <v>CAPA VERIFICATION SHOULD BE SCHEDULED</v>
      </c>
      <c r="L8" s="96">
        <v>44986</v>
      </c>
      <c r="M8" s="43" t="s">
        <v>188</v>
      </c>
      <c r="N8" s="51" t="str">
        <f t="shared" si="0"/>
        <v>A.F. UCHENNA PHARMACY LIMITED</v>
      </c>
      <c r="O8" s="11"/>
      <c r="P8" s="3"/>
      <c r="Q8" s="3"/>
      <c r="R8" s="3"/>
    </row>
    <row r="9" spans="1:18" ht="69.599999999999994">
      <c r="A9" s="70">
        <v>7</v>
      </c>
      <c r="B9" s="19" t="s">
        <v>189</v>
      </c>
      <c r="C9" s="20" t="s">
        <v>190</v>
      </c>
      <c r="D9" s="24" t="s">
        <v>191</v>
      </c>
      <c r="E9" s="62" t="s">
        <v>26</v>
      </c>
      <c r="F9" s="21" t="s">
        <v>163</v>
      </c>
      <c r="G9" s="67" t="s">
        <v>3</v>
      </c>
      <c r="H9" s="67" t="s">
        <v>164</v>
      </c>
      <c r="I9" s="67" t="s">
        <v>28</v>
      </c>
      <c r="J9" s="69" t="s">
        <v>29</v>
      </c>
      <c r="K9" s="69" t="str">
        <f t="shared" si="1"/>
        <v>REMINDER LETTER SHOULD BE SENT</v>
      </c>
      <c r="L9" s="96">
        <v>45536</v>
      </c>
      <c r="M9" s="38" t="s">
        <v>192</v>
      </c>
      <c r="N9" s="51" t="str">
        <f t="shared" si="0"/>
        <v>MEEKY MOORE PHARM. LTD</v>
      </c>
      <c r="O9" s="11"/>
      <c r="P9" s="3"/>
      <c r="Q9" s="3"/>
      <c r="R9" s="3"/>
    </row>
    <row r="10" spans="1:18" ht="97.15">
      <c r="A10" s="70">
        <v>8</v>
      </c>
      <c r="B10" s="19" t="s">
        <v>193</v>
      </c>
      <c r="C10" s="20" t="s">
        <v>194</v>
      </c>
      <c r="D10" s="24" t="s">
        <v>195</v>
      </c>
      <c r="E10" s="62" t="s">
        <v>26</v>
      </c>
      <c r="F10" s="21" t="s">
        <v>163</v>
      </c>
      <c r="G10" s="67" t="s">
        <v>2</v>
      </c>
      <c r="H10" s="67" t="s">
        <v>164</v>
      </c>
      <c r="I10" s="67" t="s">
        <v>38</v>
      </c>
      <c r="J10" s="69" t="s">
        <v>196</v>
      </c>
      <c r="K10" s="69" t="str">
        <f t="shared" si="1"/>
        <v>CAPA VERIFICATION SHOULD BE SCHEDULED</v>
      </c>
      <c r="L10" s="96">
        <v>44986</v>
      </c>
      <c r="M10" s="38" t="s">
        <v>197</v>
      </c>
      <c r="N10" s="51" t="str">
        <f t="shared" si="0"/>
        <v>BRIGHT MEX PHARM. LTD</v>
      </c>
      <c r="O10" s="11"/>
      <c r="P10" s="3"/>
      <c r="Q10" s="3"/>
      <c r="R10" s="3"/>
    </row>
    <row r="11" spans="1:18" ht="83.45">
      <c r="A11" s="70">
        <v>9</v>
      </c>
      <c r="B11" s="19" t="s">
        <v>198</v>
      </c>
      <c r="C11" s="20" t="s">
        <v>199</v>
      </c>
      <c r="D11" s="71" t="s">
        <v>200</v>
      </c>
      <c r="E11" s="62" t="s">
        <v>26</v>
      </c>
      <c r="F11" s="21" t="s">
        <v>201</v>
      </c>
      <c r="G11" s="67" t="s">
        <v>2</v>
      </c>
      <c r="H11" s="67" t="s">
        <v>164</v>
      </c>
      <c r="I11" s="67" t="s">
        <v>28</v>
      </c>
      <c r="J11" s="25" t="s">
        <v>29</v>
      </c>
      <c r="K11" s="69" t="str">
        <f t="shared" si="1"/>
        <v>REMINDER LETTER SHOULD BE SENT</v>
      </c>
      <c r="L11" s="96">
        <v>44986</v>
      </c>
      <c r="M11" s="38" t="s">
        <v>202</v>
      </c>
      <c r="N11" s="51" t="str">
        <f t="shared" si="0"/>
        <v>JTL PHARMACEUTICAL CO. LTD</v>
      </c>
      <c r="O11" s="11"/>
      <c r="P11" s="3"/>
      <c r="Q11" s="3"/>
      <c r="R11" s="3"/>
    </row>
    <row r="12" spans="1:18" ht="97.15">
      <c r="A12" s="70">
        <v>10</v>
      </c>
      <c r="B12" s="19" t="s">
        <v>203</v>
      </c>
      <c r="C12" s="20" t="s">
        <v>204</v>
      </c>
      <c r="D12" s="71" t="s">
        <v>205</v>
      </c>
      <c r="E12" s="62" t="s">
        <v>26</v>
      </c>
      <c r="F12" s="21" t="s">
        <v>201</v>
      </c>
      <c r="G12" s="67" t="s">
        <v>3</v>
      </c>
      <c r="H12" s="67" t="s">
        <v>164</v>
      </c>
      <c r="I12" s="67" t="s">
        <v>38</v>
      </c>
      <c r="J12" s="69" t="s">
        <v>206</v>
      </c>
      <c r="K12" s="69" t="str">
        <f t="shared" si="1"/>
        <v>CAPA VERIFICATION SHOULD BE SCHEDULED</v>
      </c>
      <c r="L12" s="96">
        <v>45536</v>
      </c>
      <c r="M12" s="38" t="s">
        <v>207</v>
      </c>
      <c r="N12" s="51" t="str">
        <f t="shared" si="0"/>
        <v>MDS PHARMA LOGISTICS</v>
      </c>
      <c r="O12" s="11"/>
      <c r="P12" s="3"/>
      <c r="Q12" s="3"/>
      <c r="R12" s="3"/>
    </row>
    <row r="13" spans="1:18" ht="97.15">
      <c r="A13" s="70">
        <v>11</v>
      </c>
      <c r="B13" s="19" t="s">
        <v>208</v>
      </c>
      <c r="C13" s="20" t="s">
        <v>209</v>
      </c>
      <c r="D13" s="71" t="s">
        <v>210</v>
      </c>
      <c r="E13" s="62" t="s">
        <v>26</v>
      </c>
      <c r="F13" s="21" t="s">
        <v>201</v>
      </c>
      <c r="G13" s="67" t="s">
        <v>3</v>
      </c>
      <c r="H13" s="67" t="s">
        <v>164</v>
      </c>
      <c r="I13" s="67" t="s">
        <v>38</v>
      </c>
      <c r="J13" s="25" t="s">
        <v>211</v>
      </c>
      <c r="K13" s="69" t="str">
        <f t="shared" si="1"/>
        <v>CAPA VERIFICATION SHOULD BE SCHEDULED</v>
      </c>
      <c r="L13" s="96">
        <v>45536</v>
      </c>
      <c r="M13" s="38" t="s">
        <v>212</v>
      </c>
      <c r="N13" s="51" t="str">
        <f t="shared" si="0"/>
        <v>KEDOL HEALTH LTD</v>
      </c>
      <c r="O13" s="11"/>
      <c r="P13" s="3"/>
      <c r="Q13" s="3"/>
      <c r="R13" s="3"/>
    </row>
    <row r="14" spans="1:18" ht="69.599999999999994">
      <c r="A14" s="70">
        <v>12</v>
      </c>
      <c r="B14" s="19" t="s">
        <v>213</v>
      </c>
      <c r="C14" s="20" t="s">
        <v>214</v>
      </c>
      <c r="D14" s="71" t="s">
        <v>215</v>
      </c>
      <c r="E14" s="62" t="s">
        <v>26</v>
      </c>
      <c r="F14" s="21" t="s">
        <v>201</v>
      </c>
      <c r="G14" s="67" t="s">
        <v>4</v>
      </c>
      <c r="H14" s="67" t="s">
        <v>164</v>
      </c>
      <c r="I14" s="67" t="s">
        <v>28</v>
      </c>
      <c r="J14" s="69" t="s">
        <v>29</v>
      </c>
      <c r="K14" s="69" t="str">
        <f t="shared" si="1"/>
        <v>REMINDER LETTER SHOULD BE SENT</v>
      </c>
      <c r="L14" s="96">
        <v>45170</v>
      </c>
      <c r="M14" s="38" t="s">
        <v>216</v>
      </c>
      <c r="N14" s="51" t="str">
        <f t="shared" si="0"/>
        <v>ALLWAYS PHARMACY &amp; STORES LTD</v>
      </c>
      <c r="O14" s="11"/>
      <c r="P14" s="3"/>
      <c r="Q14" s="3"/>
      <c r="R14" s="3"/>
    </row>
    <row r="15" spans="1:18" ht="55.9">
      <c r="A15" s="70">
        <v>13</v>
      </c>
      <c r="B15" s="19" t="s">
        <v>217</v>
      </c>
      <c r="C15" s="20" t="s">
        <v>218</v>
      </c>
      <c r="D15" s="71" t="s">
        <v>219</v>
      </c>
      <c r="E15" s="62" t="s">
        <v>26</v>
      </c>
      <c r="F15" s="21" t="s">
        <v>220</v>
      </c>
      <c r="G15" s="26" t="s">
        <v>5</v>
      </c>
      <c r="H15" s="26"/>
      <c r="I15" s="67" t="s">
        <v>5</v>
      </c>
      <c r="J15" s="27" t="s">
        <v>221</v>
      </c>
      <c r="K15" s="69" t="str">
        <f t="shared" si="1"/>
        <v/>
      </c>
      <c r="L15" s="27"/>
      <c r="M15" s="42" t="s">
        <v>222</v>
      </c>
      <c r="N15" s="51" t="str">
        <f t="shared" si="0"/>
        <v>ABIROT PHARMA LTD.</v>
      </c>
      <c r="O15" s="22"/>
      <c r="P15" s="3"/>
      <c r="Q15" s="3"/>
      <c r="R15" s="3"/>
    </row>
    <row r="16" spans="1:18" ht="97.15">
      <c r="A16" s="70">
        <v>14</v>
      </c>
      <c r="B16" s="19" t="s">
        <v>223</v>
      </c>
      <c r="C16" s="63" t="s">
        <v>224</v>
      </c>
      <c r="D16" s="71" t="s">
        <v>225</v>
      </c>
      <c r="E16" s="62" t="s">
        <v>26</v>
      </c>
      <c r="F16" s="21" t="s">
        <v>220</v>
      </c>
      <c r="G16" s="67" t="s">
        <v>2</v>
      </c>
      <c r="H16" s="79">
        <v>44899</v>
      </c>
      <c r="I16" s="67" t="s">
        <v>38</v>
      </c>
      <c r="J16" s="69" t="s">
        <v>29</v>
      </c>
      <c r="K16" s="69" t="str">
        <f t="shared" si="1"/>
        <v>CAPA VERIFICATION SHOULD BE SCHEDULED</v>
      </c>
      <c r="L16" s="96">
        <v>44986</v>
      </c>
      <c r="M16" s="50" t="s">
        <v>226</v>
      </c>
      <c r="N16" s="51" t="str">
        <f t="shared" si="0"/>
        <v>AKU-UDO PHARMACY</v>
      </c>
      <c r="O16" s="11"/>
      <c r="P16" s="3"/>
      <c r="Q16" s="3"/>
      <c r="R16" s="3"/>
    </row>
    <row r="17" spans="1:18" ht="97.15">
      <c r="A17" s="70">
        <v>15</v>
      </c>
      <c r="B17" s="30" t="s">
        <v>227</v>
      </c>
      <c r="C17" s="20" t="s">
        <v>228</v>
      </c>
      <c r="D17" s="71" t="s">
        <v>229</v>
      </c>
      <c r="E17" s="62" t="s">
        <v>26</v>
      </c>
      <c r="F17" s="21" t="s">
        <v>220</v>
      </c>
      <c r="G17" s="67" t="s">
        <v>2</v>
      </c>
      <c r="H17" s="31">
        <v>44899</v>
      </c>
      <c r="I17" s="67" t="s">
        <v>38</v>
      </c>
      <c r="J17" s="69" t="s">
        <v>230</v>
      </c>
      <c r="K17" s="69" t="str">
        <f t="shared" si="1"/>
        <v>CAPA VERIFICATION SHOULD BE SCHEDULED</v>
      </c>
      <c r="L17" s="96">
        <v>44986</v>
      </c>
      <c r="M17" s="38" t="s">
        <v>231</v>
      </c>
      <c r="N17" s="51" t="str">
        <f t="shared" si="0"/>
        <v>CA &amp; JO COMPANY LTD</v>
      </c>
      <c r="O17" s="11"/>
      <c r="P17" s="3"/>
      <c r="Q17" s="3"/>
      <c r="R17" s="3"/>
    </row>
    <row r="18" spans="1:18" ht="97.15">
      <c r="A18" s="70">
        <v>16</v>
      </c>
      <c r="B18" s="30" t="s">
        <v>232</v>
      </c>
      <c r="C18" s="20" t="s">
        <v>233</v>
      </c>
      <c r="D18" s="71" t="s">
        <v>234</v>
      </c>
      <c r="E18" s="62" t="s">
        <v>26</v>
      </c>
      <c r="F18" s="21" t="s">
        <v>220</v>
      </c>
      <c r="G18" s="67" t="s">
        <v>2</v>
      </c>
      <c r="H18" s="31">
        <v>44861</v>
      </c>
      <c r="I18" s="67" t="s">
        <v>38</v>
      </c>
      <c r="J18" s="69" t="s">
        <v>29</v>
      </c>
      <c r="K18" s="69" t="str">
        <f t="shared" si="1"/>
        <v>CAPA VERIFICATION SHOULD BE SCHEDULED</v>
      </c>
      <c r="L18" s="96">
        <v>44986</v>
      </c>
      <c r="M18" s="38" t="s">
        <v>235</v>
      </c>
      <c r="N18" s="51" t="str">
        <f t="shared" si="0"/>
        <v>JUDEX CHAMP PHARMACY &amp; STORES</v>
      </c>
      <c r="O18" s="11"/>
      <c r="P18" s="3"/>
      <c r="Q18" s="3"/>
      <c r="R18" s="3"/>
    </row>
    <row r="19" spans="1:18" ht="97.15">
      <c r="A19" s="70">
        <v>17</v>
      </c>
      <c r="B19" s="30" t="s">
        <v>236</v>
      </c>
      <c r="C19" s="20" t="s">
        <v>237</v>
      </c>
      <c r="D19" s="71" t="s">
        <v>238</v>
      </c>
      <c r="E19" s="62" t="s">
        <v>26</v>
      </c>
      <c r="F19" s="21" t="s">
        <v>220</v>
      </c>
      <c r="G19" s="67" t="s">
        <v>2</v>
      </c>
      <c r="H19" s="31">
        <v>44861</v>
      </c>
      <c r="I19" s="67" t="s">
        <v>38</v>
      </c>
      <c r="J19" s="69" t="s">
        <v>39</v>
      </c>
      <c r="K19" s="69" t="str">
        <f t="shared" si="1"/>
        <v>CAPA VERIFICATION SHOULD BE SCHEDULED</v>
      </c>
      <c r="L19" s="96">
        <v>44986</v>
      </c>
      <c r="M19" s="38" t="s">
        <v>155</v>
      </c>
      <c r="N19" s="51" t="str">
        <f t="shared" si="0"/>
        <v>CHARITY NWAIZU PHARM. CO. LTD</v>
      </c>
      <c r="O19" s="11"/>
      <c r="P19" s="3"/>
      <c r="Q19" s="3"/>
      <c r="R19" s="3"/>
    </row>
    <row r="20" spans="1:18" ht="69.599999999999994">
      <c r="A20" s="70">
        <v>18</v>
      </c>
      <c r="B20" s="30" t="s">
        <v>239</v>
      </c>
      <c r="C20" s="20" t="s">
        <v>240</v>
      </c>
      <c r="D20" s="64" t="s">
        <v>241</v>
      </c>
      <c r="E20" s="62" t="s">
        <v>26</v>
      </c>
      <c r="F20" s="21" t="s">
        <v>220</v>
      </c>
      <c r="G20" s="67" t="s">
        <v>2</v>
      </c>
      <c r="H20" s="31">
        <v>44861</v>
      </c>
      <c r="I20" s="67" t="s">
        <v>28</v>
      </c>
      <c r="J20" s="69" t="s">
        <v>29</v>
      </c>
      <c r="K20" s="69" t="str">
        <f t="shared" si="1"/>
        <v>REMINDER LETTER SHOULD BE SENT</v>
      </c>
      <c r="L20" s="96">
        <v>44986</v>
      </c>
      <c r="M20" s="38" t="s">
        <v>242</v>
      </c>
      <c r="N20" s="51" t="str">
        <f t="shared" si="0"/>
        <v>O.T.S. UNITED NIG. LTD</v>
      </c>
      <c r="O20" s="11"/>
      <c r="P20" s="3"/>
      <c r="Q20" s="3"/>
      <c r="R20" s="3"/>
    </row>
    <row r="21" spans="1:18" ht="69.599999999999994">
      <c r="A21" s="70">
        <v>19</v>
      </c>
      <c r="B21" s="30" t="s">
        <v>243</v>
      </c>
      <c r="C21" s="20" t="s">
        <v>244</v>
      </c>
      <c r="D21" s="64" t="s">
        <v>245</v>
      </c>
      <c r="E21" s="62" t="s">
        <v>26</v>
      </c>
      <c r="F21" s="21" t="s">
        <v>246</v>
      </c>
      <c r="G21" s="67" t="s">
        <v>2</v>
      </c>
      <c r="H21" s="31">
        <v>44861</v>
      </c>
      <c r="I21" s="67" t="s">
        <v>28</v>
      </c>
      <c r="J21" s="69" t="s">
        <v>29</v>
      </c>
      <c r="K21" s="69" t="str">
        <f t="shared" si="1"/>
        <v>REMINDER LETTER SHOULD BE SENT</v>
      </c>
      <c r="L21" s="96">
        <v>44986</v>
      </c>
      <c r="M21" s="38" t="s">
        <v>247</v>
      </c>
      <c r="N21" s="51" t="str">
        <f t="shared" si="0"/>
        <v>AZU PHARMACY LTD</v>
      </c>
      <c r="O21" s="11"/>
      <c r="P21" s="3"/>
      <c r="Q21" s="3"/>
      <c r="R21" s="3"/>
    </row>
    <row r="22" spans="1:18" ht="97.15">
      <c r="A22" s="70">
        <v>20</v>
      </c>
      <c r="B22" s="30" t="s">
        <v>248</v>
      </c>
      <c r="C22" s="20" t="s">
        <v>249</v>
      </c>
      <c r="D22" s="64" t="s">
        <v>250</v>
      </c>
      <c r="E22" s="62" t="s">
        <v>26</v>
      </c>
      <c r="F22" s="21" t="s">
        <v>246</v>
      </c>
      <c r="G22" s="67" t="s">
        <v>2</v>
      </c>
      <c r="H22" s="31">
        <v>44861</v>
      </c>
      <c r="I22" s="67" t="s">
        <v>28</v>
      </c>
      <c r="J22" s="69" t="s">
        <v>29</v>
      </c>
      <c r="K22" s="69" t="str">
        <f t="shared" si="1"/>
        <v>REMINDER LETTER SHOULD BE SENT</v>
      </c>
      <c r="L22" s="96">
        <v>44986</v>
      </c>
      <c r="M22" s="38" t="s">
        <v>251</v>
      </c>
      <c r="N22" s="51" t="str">
        <f t="shared" si="0"/>
        <v>ATIDAM PHARM. LTD</v>
      </c>
      <c r="O22" s="11"/>
      <c r="P22" s="3"/>
      <c r="Q22" s="3"/>
      <c r="R22" s="3"/>
    </row>
    <row r="23" spans="1:18" ht="83.45">
      <c r="A23" s="70">
        <v>21</v>
      </c>
      <c r="B23" s="30" t="s">
        <v>252</v>
      </c>
      <c r="C23" s="20" t="s">
        <v>253</v>
      </c>
      <c r="D23" s="64" t="s">
        <v>254</v>
      </c>
      <c r="E23" s="62" t="s">
        <v>26</v>
      </c>
      <c r="F23" s="21" t="s">
        <v>246</v>
      </c>
      <c r="G23" s="67" t="s">
        <v>3</v>
      </c>
      <c r="H23" s="31">
        <v>44861</v>
      </c>
      <c r="I23" s="67" t="s">
        <v>28</v>
      </c>
      <c r="J23" s="69" t="s">
        <v>29</v>
      </c>
      <c r="K23" s="69" t="str">
        <f t="shared" si="1"/>
        <v>REMINDER LETTER SHOULD BE SENT</v>
      </c>
      <c r="L23" s="96">
        <v>45536</v>
      </c>
      <c r="M23" s="38" t="s">
        <v>255</v>
      </c>
      <c r="N23" s="51" t="str">
        <f t="shared" si="0"/>
        <v>BOLUKE PHARMACY</v>
      </c>
      <c r="O23" s="11"/>
      <c r="P23" s="3"/>
      <c r="Q23" s="3"/>
      <c r="R23" s="3"/>
    </row>
    <row r="24" spans="1:18" ht="83.45">
      <c r="A24" s="70">
        <v>22</v>
      </c>
      <c r="B24" s="30" t="s">
        <v>256</v>
      </c>
      <c r="C24" s="20" t="s">
        <v>257</v>
      </c>
      <c r="D24" s="71" t="s">
        <v>258</v>
      </c>
      <c r="E24" s="62" t="s">
        <v>26</v>
      </c>
      <c r="F24" s="21" t="s">
        <v>246</v>
      </c>
      <c r="G24" s="67" t="s">
        <v>3</v>
      </c>
      <c r="H24" s="31">
        <v>44861</v>
      </c>
      <c r="I24" s="67" t="s">
        <v>28</v>
      </c>
      <c r="J24" s="69" t="s">
        <v>259</v>
      </c>
      <c r="K24" s="69" t="str">
        <f t="shared" si="1"/>
        <v>REMINDER LETTER SHOULD BE SENT</v>
      </c>
      <c r="L24" s="96">
        <v>45536</v>
      </c>
      <c r="M24" s="38" t="s">
        <v>260</v>
      </c>
      <c r="N24" s="51" t="str">
        <f t="shared" si="0"/>
        <v>ONEC PHARM. &amp; CHEM. CO. LTD</v>
      </c>
      <c r="O24" s="11"/>
      <c r="P24" s="3"/>
      <c r="Q24" s="3"/>
      <c r="R24" s="3"/>
    </row>
    <row r="25" spans="1:18" ht="69.599999999999994">
      <c r="A25" s="70">
        <v>23</v>
      </c>
      <c r="B25" s="30" t="s">
        <v>261</v>
      </c>
      <c r="C25" s="20" t="s">
        <v>262</v>
      </c>
      <c r="D25" s="71" t="s">
        <v>263</v>
      </c>
      <c r="E25" s="62" t="s">
        <v>26</v>
      </c>
      <c r="F25" s="21" t="s">
        <v>246</v>
      </c>
      <c r="G25" s="67" t="s">
        <v>2</v>
      </c>
      <c r="H25" s="31"/>
      <c r="I25" s="67" t="s">
        <v>5</v>
      </c>
      <c r="J25" s="69" t="s">
        <v>29</v>
      </c>
      <c r="K25" s="69" t="str">
        <f t="shared" si="1"/>
        <v/>
      </c>
      <c r="L25" s="96">
        <v>44986</v>
      </c>
      <c r="M25" s="38" t="s">
        <v>264</v>
      </c>
      <c r="N25" s="51" t="str">
        <f t="shared" si="0"/>
        <v>VICTORIOUS PHARMACY</v>
      </c>
      <c r="O25" s="11"/>
      <c r="P25" s="3"/>
      <c r="Q25" s="3"/>
      <c r="R25" s="3"/>
    </row>
    <row r="26" spans="1:18" ht="69.599999999999994">
      <c r="A26" s="70">
        <v>24</v>
      </c>
      <c r="B26" s="30" t="s">
        <v>265</v>
      </c>
      <c r="C26" s="20" t="s">
        <v>266</v>
      </c>
      <c r="D26" s="24" t="s">
        <v>267</v>
      </c>
      <c r="E26" s="62" t="s">
        <v>26</v>
      </c>
      <c r="F26" s="21" t="s">
        <v>246</v>
      </c>
      <c r="G26" s="67" t="s">
        <v>2</v>
      </c>
      <c r="H26" s="31">
        <v>44861</v>
      </c>
      <c r="I26" s="67" t="s">
        <v>28</v>
      </c>
      <c r="J26" s="69" t="s">
        <v>29</v>
      </c>
      <c r="K26" s="69" t="str">
        <f t="shared" si="1"/>
        <v>REMINDER LETTER SHOULD BE SENT</v>
      </c>
      <c r="L26" s="96">
        <v>44986</v>
      </c>
      <c r="M26" s="38" t="s">
        <v>268</v>
      </c>
      <c r="N26" s="51" t="str">
        <f t="shared" si="0"/>
        <v>EZEUDO PHARMACY LTD</v>
      </c>
      <c r="O26" s="11"/>
      <c r="P26" s="3"/>
      <c r="Q26" s="3"/>
      <c r="R26" s="3"/>
    </row>
    <row r="27" spans="1:18" ht="97.15">
      <c r="A27" s="70">
        <v>25</v>
      </c>
      <c r="B27" s="30" t="s">
        <v>269</v>
      </c>
      <c r="C27" s="20" t="s">
        <v>270</v>
      </c>
      <c r="D27" s="71" t="s">
        <v>271</v>
      </c>
      <c r="E27" s="62" t="s">
        <v>26</v>
      </c>
      <c r="F27" s="21" t="s">
        <v>272</v>
      </c>
      <c r="G27" s="67" t="s">
        <v>4</v>
      </c>
      <c r="H27" s="31"/>
      <c r="I27" s="67" t="s">
        <v>5</v>
      </c>
      <c r="J27" s="69" t="s">
        <v>29</v>
      </c>
      <c r="K27" s="69" t="str">
        <f t="shared" si="1"/>
        <v/>
      </c>
      <c r="L27" s="69"/>
      <c r="M27" s="38" t="s">
        <v>273</v>
      </c>
      <c r="N27" s="51" t="str">
        <f t="shared" si="0"/>
        <v>MEDITRADE NIG. LTD</v>
      </c>
      <c r="O27" s="11"/>
      <c r="P27" s="3"/>
      <c r="Q27" s="3"/>
      <c r="R27" s="3"/>
    </row>
    <row r="28" spans="1:18" ht="180">
      <c r="A28" s="83">
        <v>26</v>
      </c>
      <c r="B28" s="52" t="s">
        <v>274</v>
      </c>
      <c r="C28" s="53" t="s">
        <v>275</v>
      </c>
      <c r="D28" s="86" t="s">
        <v>276</v>
      </c>
      <c r="E28" s="84" t="s">
        <v>26</v>
      </c>
      <c r="F28" s="54" t="s">
        <v>272</v>
      </c>
      <c r="G28" s="55" t="s">
        <v>5</v>
      </c>
      <c r="H28" s="56"/>
      <c r="I28" s="90" t="s">
        <v>5</v>
      </c>
      <c r="J28" s="57" t="s">
        <v>277</v>
      </c>
      <c r="K28" s="91" t="str">
        <f t="shared" si="1"/>
        <v/>
      </c>
      <c r="L28" s="57"/>
      <c r="M28" s="58" t="s">
        <v>137</v>
      </c>
      <c r="N28" s="59" t="str">
        <f t="shared" si="0"/>
        <v>MERCED PHARM. &amp; STORES</v>
      </c>
      <c r="O28" s="22"/>
      <c r="P28" s="3"/>
      <c r="Q28" s="3"/>
      <c r="R28" s="3"/>
    </row>
  </sheetData>
  <mergeCells count="1">
    <mergeCell ref="A1:J1"/>
  </mergeCells>
  <conditionalFormatting sqref="I3:I28">
    <cfRule type="containsText" dxfId="41" priority="1" operator="containsText" text="NO">
      <formula>NOT(ISERROR(SEARCH("NO",I3)))</formula>
    </cfRule>
    <cfRule type="containsText" dxfId="40" priority="2" operator="containsText" text="YES">
      <formula>NOT(ISERROR(SEARCH("YES",I3)))</formula>
    </cfRule>
  </conditionalFormatting>
  <conditionalFormatting sqref="J3:J28">
    <cfRule type="containsText" dxfId="39" priority="3" operator="containsText" text="NO">
      <formula>NOT(ISERROR(SEARCH("NO",J3)))</formula>
    </cfRule>
    <cfRule type="containsText" dxfId="38" priority="4" operator="containsText" text="YES">
      <formula>NOT(ISERROR(SEARCH("YES",J3)))</formula>
    </cfRule>
  </conditionalFormatting>
  <dataValidations count="2">
    <dataValidation allowBlank="1" showInputMessage="1" showErrorMessage="1" sqref="L1:L28 K3:K28" xr:uid="{A8BF6C90-1F25-48D1-839D-E3D669C34F48}"/>
    <dataValidation type="list" allowBlank="1" showInputMessage="1" showErrorMessage="1" sqref="I3:I28" xr:uid="{D27AFB2E-C81D-4CB7-8932-D496903E5CF7}">
      <formula1>"YES,NO,N/A"</formula1>
    </dataValidation>
  </dataValidations>
  <hyperlinks>
    <hyperlink ref="M15" r:id="rId1" xr:uid="{167FA533-60E8-4809-9238-E219A78801CE}"/>
    <hyperlink ref="M16" r:id="rId2" xr:uid="{94D7957F-0899-44F8-9B80-F06CC1FEA5B0}"/>
    <hyperlink ref="M28" r:id="rId3" xr:uid="{119F223C-E051-4EE8-8555-F2AF6718302C}"/>
    <hyperlink ref="M8" r:id="rId4" xr:uid="{B934A652-728C-4A4C-A507-1404E9531FCC}"/>
  </hyperlinks>
  <pageMargins left="0.7" right="0.7" top="0.75" bottom="0.75" header="0.3" footer="0.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218D-7439-42A8-A153-2C580D8F5D90}">
  <dimension ref="A1:Q4"/>
  <sheetViews>
    <sheetView workbookViewId="0">
      <selection activeCell="A3" sqref="A3:B4"/>
    </sheetView>
  </sheetViews>
  <sheetFormatPr defaultRowHeight="14.45"/>
  <cols>
    <col min="2" max="3" width="11.42578125" bestFit="1" customWidth="1"/>
    <col min="4" max="4" width="14.85546875" bestFit="1" customWidth="1"/>
    <col min="5" max="5" width="11.42578125" bestFit="1" customWidth="1"/>
    <col min="6" max="6" width="12.85546875" bestFit="1" customWidth="1"/>
    <col min="7" max="7" width="11.42578125" bestFit="1" customWidth="1"/>
    <col min="8" max="8" width="21.140625" customWidth="1"/>
    <col min="9" max="12" width="11.42578125" bestFit="1" customWidth="1"/>
    <col min="13" max="13" width="179.28515625" hidden="1" customWidth="1"/>
    <col min="14" max="14" width="11.42578125" bestFit="1" customWidth="1"/>
  </cols>
  <sheetData>
    <row r="1" spans="1:17" ht="17.45">
      <c r="A1" s="103" t="s">
        <v>8</v>
      </c>
      <c r="B1" s="103"/>
      <c r="C1" s="103"/>
      <c r="D1" s="103"/>
      <c r="E1" s="103"/>
      <c r="F1" s="103"/>
      <c r="G1" s="103"/>
      <c r="H1" s="103"/>
      <c r="I1" s="103"/>
      <c r="J1" s="103"/>
      <c r="K1" s="1"/>
      <c r="L1" s="2"/>
      <c r="M1" s="3"/>
      <c r="N1" s="2"/>
      <c r="O1" s="3"/>
      <c r="P1" s="3"/>
      <c r="Q1" s="3"/>
    </row>
    <row r="2" spans="1:17" ht="78">
      <c r="A2" s="4" t="s">
        <v>9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0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45" t="s">
        <v>21</v>
      </c>
      <c r="N2" s="7" t="s">
        <v>22</v>
      </c>
      <c r="O2" s="3"/>
      <c r="P2" s="8"/>
      <c r="Q2" s="8"/>
    </row>
    <row r="3" spans="1:17" ht="97.15">
      <c r="A3" s="101">
        <v>1</v>
      </c>
      <c r="B3" s="91" t="s">
        <v>278</v>
      </c>
      <c r="C3" s="53" t="s">
        <v>279</v>
      </c>
      <c r="D3" s="86" t="s">
        <v>280</v>
      </c>
      <c r="E3" s="87" t="s">
        <v>26</v>
      </c>
      <c r="F3" s="54" t="s">
        <v>281</v>
      </c>
      <c r="G3" s="85" t="s">
        <v>3</v>
      </c>
      <c r="H3" s="60">
        <v>44861</v>
      </c>
      <c r="I3" s="85" t="s">
        <v>38</v>
      </c>
      <c r="J3" s="91" t="s">
        <v>282</v>
      </c>
      <c r="K3" s="91" t="str">
        <f>IF(I3="YES","CAPA VERIFICATION SHOULD BE SCHEDULED",IF(I3="NO","REMINDER LETTER SHOULD BE SENT",""))</f>
        <v>CAPA VERIFICATION SHOULD BE SCHEDULED</v>
      </c>
      <c r="L3" s="99">
        <v>45536</v>
      </c>
      <c r="M3" s="46" t="s">
        <v>283</v>
      </c>
      <c r="N3" s="47" t="str">
        <f>IF(M3="","",HYPERLINK(M3,B3))</f>
        <v>NIGERIAN AIRFORCE DRUG MANUFACTURING UNIT</v>
      </c>
    </row>
    <row r="4" spans="1:17">
      <c r="A4" s="101" t="s">
        <v>285</v>
      </c>
      <c r="B4" s="91"/>
      <c r="C4" s="53"/>
      <c r="D4" s="86"/>
      <c r="E4" s="87"/>
      <c r="F4" s="54"/>
      <c r="G4" s="85"/>
      <c r="H4" s="60"/>
      <c r="I4" s="85"/>
      <c r="J4" s="91"/>
      <c r="K4" s="91" t="str">
        <f>IF(I4="YES","CAPA VERIFICATION SHOULD BE SCHEDULED",IF(I4="NO","REMINDER LETTER SHOULD BE SENT",""))</f>
        <v/>
      </c>
      <c r="L4" s="99"/>
      <c r="M4" s="46"/>
      <c r="N4" s="47" t="str">
        <f>IF(M4="","",HYPERLINK(M4,B4))</f>
        <v/>
      </c>
    </row>
  </sheetData>
  <mergeCells count="1">
    <mergeCell ref="A1:J1"/>
  </mergeCells>
  <conditionalFormatting sqref="I3:I4">
    <cfRule type="containsText" dxfId="19" priority="1" operator="containsText" text="NO">
      <formula>NOT(ISERROR(SEARCH("NO",I3)))</formula>
    </cfRule>
    <cfRule type="containsText" dxfId="18" priority="2" operator="containsText" text="YES">
      <formula>NOT(ISERROR(SEARCH("YES",I3)))</formula>
    </cfRule>
  </conditionalFormatting>
  <dataValidations count="2">
    <dataValidation allowBlank="1" showInputMessage="1" showErrorMessage="1" sqref="K3:K4 L1:L3" xr:uid="{61E51795-B194-4435-94CA-DEC962F226EE}"/>
    <dataValidation type="list" allowBlank="1" showInputMessage="1" showErrorMessage="1" sqref="I3:I4" xr:uid="{F3806D77-F507-4C78-9928-D4CE98F73190}">
      <formula1>"YES,NO,N/A"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604E-F4A6-43DA-8A4B-59303F7908D8}">
  <dimension ref="A3:D9"/>
  <sheetViews>
    <sheetView workbookViewId="0">
      <selection activeCell="S35" sqref="S35"/>
    </sheetView>
  </sheetViews>
  <sheetFormatPr defaultRowHeight="14.45"/>
  <cols>
    <col min="1" max="1" width="19.85546875" bestFit="1" customWidth="1"/>
    <col min="2" max="2" width="25" bestFit="1" customWidth="1"/>
    <col min="3" max="3" width="15.28515625" customWidth="1"/>
    <col min="4" max="4" width="18.140625" customWidth="1"/>
  </cols>
  <sheetData>
    <row r="3" spans="1:4">
      <c r="A3" s="35" t="s">
        <v>17</v>
      </c>
      <c r="B3" t="s">
        <v>287</v>
      </c>
      <c r="C3" s="35" t="s">
        <v>0</v>
      </c>
      <c r="D3" t="s">
        <v>1</v>
      </c>
    </row>
    <row r="4" spans="1:4">
      <c r="A4" t="s">
        <v>6</v>
      </c>
      <c r="C4" t="s">
        <v>2</v>
      </c>
      <c r="D4">
        <v>23</v>
      </c>
    </row>
    <row r="5" spans="1:4">
      <c r="A5" t="s">
        <v>5</v>
      </c>
      <c r="B5">
        <v>6</v>
      </c>
      <c r="C5" t="s">
        <v>3</v>
      </c>
      <c r="D5">
        <v>8</v>
      </c>
    </row>
    <row r="6" spans="1:4">
      <c r="A6" t="s">
        <v>38</v>
      </c>
      <c r="B6">
        <v>22</v>
      </c>
      <c r="C6" t="s">
        <v>4</v>
      </c>
      <c r="D6">
        <v>19</v>
      </c>
    </row>
    <row r="7" spans="1:4">
      <c r="A7" t="s">
        <v>28</v>
      </c>
      <c r="B7">
        <v>26</v>
      </c>
      <c r="C7" t="s">
        <v>5</v>
      </c>
      <c r="D7">
        <v>4</v>
      </c>
    </row>
    <row r="8" spans="1:4">
      <c r="A8" t="s">
        <v>7</v>
      </c>
      <c r="B8">
        <v>54</v>
      </c>
      <c r="C8" t="s">
        <v>6</v>
      </c>
    </row>
    <row r="9" spans="1:4">
      <c r="C9" t="s">
        <v>7</v>
      </c>
      <c r="D9">
        <v>54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19" ma:contentTypeDescription="Create a new document." ma:contentTypeScope="" ma:versionID="823485460da8e52c9a25c49434b5bd4f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51e7aa1d0a9fb3040b8a51c767c6fbaf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  <STATUS xmlns="b13d5edd-c324-4cc7-96f8-eb6094d850cb" xsi:nil="true"/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SentBy xmlns="b13d5edd-c324-4cc7-96f8-eb6094d850cb">
      <UserInfo>
        <DisplayName/>
        <AccountId xsi:nil="true"/>
        <AccountType/>
      </UserInfo>
    </_ApprovalSentBy>
    <DATE xmlns="b13d5edd-c324-4cc7-96f8-eb6094d850cb" xsi:nil="true"/>
    <GLSISTATUS xmlns="b13d5edd-c324-4cc7-96f8-eb6094d850cb" xsi:nil="true"/>
  </documentManagement>
</p:properties>
</file>

<file path=customXml/itemProps1.xml><?xml version="1.0" encoding="utf-8"?>
<ds:datastoreItem xmlns:ds="http://schemas.openxmlformats.org/officeDocument/2006/customXml" ds:itemID="{254F8976-CE23-4E1B-BA73-995EAA7FE831}"/>
</file>

<file path=customXml/itemProps2.xml><?xml version="1.0" encoding="utf-8"?>
<ds:datastoreItem xmlns:ds="http://schemas.openxmlformats.org/officeDocument/2006/customXml" ds:itemID="{8BBD32F5-F6F6-4856-B160-9167FCD0F159}"/>
</file>

<file path=customXml/itemProps3.xml><?xml version="1.0" encoding="utf-8"?>
<ds:datastoreItem xmlns:ds="http://schemas.openxmlformats.org/officeDocument/2006/customXml" ds:itemID="{4B15C5CE-5DC3-401A-9513-EF4F6001CC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Ifeanyi Okeke</cp:lastModifiedBy>
  <cp:revision/>
  <dcterms:created xsi:type="dcterms:W3CDTF">2025-12-12T09:25:50Z</dcterms:created>
  <dcterms:modified xsi:type="dcterms:W3CDTF">2026-03-18T11:17:45Z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  <property fmtid="{D5CDD505-2E9C-101B-9397-08002B2CF9AE}" pid="3" name="MediaServiceImageTags">
    <vt:lpwstr/>
  </property>
  <property fmtid="{D5CDD505-2E9C-101B-9397-08002B2CF9AE}" pid="4" name="WorkbookGuid">
    <vt:lpwstr>cbc37d03-fb37-4fa7-8c25-6fb80d906029</vt:lpwstr>
  </property>
</Properties>
</file>