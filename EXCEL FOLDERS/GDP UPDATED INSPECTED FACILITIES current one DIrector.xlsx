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nafdacng.sharepoint.com/sites/PMSLAGOS/Shared Documents/GSDP (GOOD STORAGE AND DISTRIBUTION PRACTICE)/INSPECTED FACILITIES FOR GSDP 2021-2025/"/>
    </mc:Choice>
  </mc:AlternateContent>
  <xr:revisionPtr revIDLastSave="2350" documentId="11_275C35E7E7832ED8F0365A450DC8AC015066E7DA" xr6:coauthVersionLast="47" xr6:coauthVersionMax="47" xr10:uidLastSave="{0FCBD8C5-1D4B-4A57-975D-917D263845CA}"/>
  <bookViews>
    <workbookView xWindow="-108" yWindow="-108" windowWidth="23256" windowHeight="13176" xr2:uid="{00000000-000D-0000-FFFF-FFFF00000000}"/>
  </bookViews>
  <sheets>
    <sheet name="INSPECTED FACILITIES 2021" sheetId="4" r:id="rId1"/>
    <sheet name="INSPECTED FACILITIES 2022" sheetId="3" r:id="rId2"/>
    <sheet name="INSPECTED FACILITIES 2023" sheetId="2" r:id="rId3"/>
    <sheet name="INSPECTED FACILITIES 2024" sheetId="1" r:id="rId4"/>
    <sheet name="INSPECTED FACILITIES 2025" sheetId="6" r:id="rId5"/>
    <sheet name="INSPECTED FACILITIES 2026" sheetId="8" r:id="rId6"/>
  </sheets>
  <definedNames>
    <definedName name="_Hlk175014164" localSheetId="4">'INSPECTED FACILITIES 2025'!$C$6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3" i="4" l="1"/>
  <c r="N44" i="4"/>
  <c r="N45" i="4"/>
  <c r="N42" i="4"/>
  <c r="L107" i="8"/>
  <c r="K107" i="8"/>
  <c r="J107" i="8"/>
  <c r="A107" i="8"/>
  <c r="L106" i="8"/>
  <c r="K106" i="8"/>
  <c r="J106" i="8"/>
  <c r="A106" i="8"/>
  <c r="L105" i="8"/>
  <c r="K105" i="8"/>
  <c r="J105" i="8"/>
  <c r="A105" i="8"/>
  <c r="L104" i="8"/>
  <c r="K104" i="8"/>
  <c r="J104" i="8"/>
  <c r="A104" i="8"/>
  <c r="L103" i="8"/>
  <c r="K103" i="8"/>
  <c r="J103" i="8"/>
  <c r="A103" i="8"/>
  <c r="L102" i="8"/>
  <c r="K102" i="8"/>
  <c r="J102" i="8"/>
  <c r="A102" i="8"/>
  <c r="L101" i="8"/>
  <c r="K101" i="8"/>
  <c r="J101" i="8"/>
  <c r="A101" i="8"/>
  <c r="L100" i="8"/>
  <c r="K100" i="8"/>
  <c r="J100" i="8"/>
  <c r="A100" i="8"/>
  <c r="L99" i="8"/>
  <c r="K99" i="8"/>
  <c r="J99" i="8"/>
  <c r="A99" i="8"/>
  <c r="L98" i="8"/>
  <c r="K98" i="8"/>
  <c r="J98" i="8"/>
  <c r="A98" i="8"/>
  <c r="L97" i="8"/>
  <c r="K97" i="8"/>
  <c r="J97" i="8"/>
  <c r="A97" i="8"/>
  <c r="L96" i="8"/>
  <c r="K96" i="8"/>
  <c r="J96" i="8"/>
  <c r="A96" i="8"/>
  <c r="L95" i="8"/>
  <c r="K95" i="8"/>
  <c r="J95" i="8"/>
  <c r="A95" i="8"/>
  <c r="L94" i="8"/>
  <c r="K94" i="8"/>
  <c r="J94" i="8"/>
  <c r="A94" i="8"/>
  <c r="L93" i="8"/>
  <c r="K93" i="8"/>
  <c r="J93" i="8"/>
  <c r="A93" i="8"/>
  <c r="L92" i="8"/>
  <c r="K92" i="8"/>
  <c r="J92" i="8"/>
  <c r="A92" i="8"/>
  <c r="L91" i="8"/>
  <c r="K91" i="8"/>
  <c r="J91" i="8"/>
  <c r="A91" i="8"/>
  <c r="L90" i="8"/>
  <c r="K90" i="8"/>
  <c r="J90" i="8"/>
  <c r="A90" i="8"/>
  <c r="L89" i="8"/>
  <c r="K89" i="8"/>
  <c r="J89" i="8"/>
  <c r="A89" i="8"/>
  <c r="L88" i="8"/>
  <c r="K88" i="8"/>
  <c r="J88" i="8"/>
  <c r="A88" i="8"/>
  <c r="L87" i="8"/>
  <c r="K87" i="8"/>
  <c r="J87" i="8"/>
  <c r="A87" i="8"/>
  <c r="L86" i="8"/>
  <c r="K86" i="8"/>
  <c r="J86" i="8"/>
  <c r="A86" i="8"/>
  <c r="L85" i="8"/>
  <c r="K85" i="8"/>
  <c r="J85" i="8"/>
  <c r="A85" i="8"/>
  <c r="L84" i="8"/>
  <c r="K84" i="8"/>
  <c r="J84" i="8"/>
  <c r="A84" i="8"/>
  <c r="L83" i="8"/>
  <c r="K83" i="8"/>
  <c r="J83" i="8"/>
  <c r="A83" i="8"/>
  <c r="L82" i="8"/>
  <c r="K82" i="8"/>
  <c r="J82" i="8"/>
  <c r="A82" i="8"/>
  <c r="L81" i="8"/>
  <c r="K81" i="8"/>
  <c r="J81" i="8"/>
  <c r="A81" i="8"/>
  <c r="L80" i="8"/>
  <c r="K80" i="8"/>
  <c r="J80" i="8"/>
  <c r="A80" i="8"/>
  <c r="L79" i="8"/>
  <c r="K79" i="8"/>
  <c r="J79" i="8"/>
  <c r="A79" i="8"/>
  <c r="L78" i="8"/>
  <c r="K78" i="8"/>
  <c r="J78" i="8"/>
  <c r="A78" i="8"/>
  <c r="L77" i="8"/>
  <c r="K77" i="8"/>
  <c r="J77" i="8"/>
  <c r="A77" i="8"/>
  <c r="L76" i="8"/>
  <c r="K76" i="8"/>
  <c r="J76" i="8"/>
  <c r="A76" i="8"/>
  <c r="L75" i="8"/>
  <c r="K75" i="8"/>
  <c r="J75" i="8"/>
  <c r="A75" i="8"/>
  <c r="L74" i="8"/>
  <c r="K74" i="8"/>
  <c r="J74" i="8"/>
  <c r="A74" i="8"/>
  <c r="L73" i="8"/>
  <c r="K73" i="8"/>
  <c r="J73" i="8"/>
  <c r="A73" i="8"/>
  <c r="L72" i="8"/>
  <c r="K72" i="8"/>
  <c r="J72" i="8"/>
  <c r="A72" i="8"/>
  <c r="L71" i="8"/>
  <c r="K71" i="8"/>
  <c r="J71" i="8"/>
  <c r="A71" i="8"/>
  <c r="L70" i="8"/>
  <c r="K70" i="8"/>
  <c r="J70" i="8"/>
  <c r="A70" i="8"/>
  <c r="L69" i="8"/>
  <c r="K69" i="8"/>
  <c r="J69" i="8"/>
  <c r="A69" i="8"/>
  <c r="L68" i="8"/>
  <c r="K68" i="8"/>
  <c r="J68" i="8"/>
  <c r="A68" i="8"/>
  <c r="L67" i="8"/>
  <c r="K67" i="8"/>
  <c r="J67" i="8"/>
  <c r="A67" i="8"/>
  <c r="L66" i="8"/>
  <c r="K66" i="8"/>
  <c r="J66" i="8"/>
  <c r="A66" i="8"/>
  <c r="L65" i="8"/>
  <c r="K65" i="8"/>
  <c r="J65" i="8"/>
  <c r="A65" i="8"/>
  <c r="L64" i="8"/>
  <c r="K64" i="8"/>
  <c r="J64" i="8"/>
  <c r="A64" i="8"/>
  <c r="L63" i="8"/>
  <c r="K63" i="8"/>
  <c r="J63" i="8"/>
  <c r="A63" i="8"/>
  <c r="L62" i="8"/>
  <c r="K62" i="8"/>
  <c r="J62" i="8"/>
  <c r="A62" i="8"/>
  <c r="L61" i="8"/>
  <c r="K61" i="8"/>
  <c r="J61" i="8"/>
  <c r="A61" i="8"/>
  <c r="L60" i="8"/>
  <c r="K60" i="8"/>
  <c r="J60" i="8"/>
  <c r="A60" i="8"/>
  <c r="L59" i="8"/>
  <c r="K59" i="8"/>
  <c r="J59" i="8"/>
  <c r="A59" i="8"/>
  <c r="L58" i="8"/>
  <c r="K58" i="8"/>
  <c r="J58" i="8"/>
  <c r="A58" i="8"/>
  <c r="L57" i="8"/>
  <c r="K57" i="8"/>
  <c r="J57" i="8"/>
  <c r="A57" i="8"/>
  <c r="L56" i="8"/>
  <c r="K56" i="8"/>
  <c r="J56" i="8"/>
  <c r="A56" i="8"/>
  <c r="L55" i="8"/>
  <c r="K55" i="8"/>
  <c r="J55" i="8"/>
  <c r="A55" i="8"/>
  <c r="L54" i="8"/>
  <c r="K54" i="8"/>
  <c r="J54" i="8"/>
  <c r="A54" i="8"/>
  <c r="L53" i="8"/>
  <c r="K53" i="8"/>
  <c r="J53" i="8"/>
  <c r="A53" i="8"/>
  <c r="L52" i="8"/>
  <c r="K52" i="8"/>
  <c r="J52" i="8"/>
  <c r="A52" i="8"/>
  <c r="L51" i="8"/>
  <c r="K51" i="8"/>
  <c r="J51" i="8"/>
  <c r="A51" i="8"/>
  <c r="L50" i="8"/>
  <c r="K50" i="8"/>
  <c r="J50" i="8"/>
  <c r="A50" i="8"/>
  <c r="L49" i="8"/>
  <c r="K49" i="8"/>
  <c r="J49" i="8"/>
  <c r="A49" i="8"/>
  <c r="L48" i="8"/>
  <c r="K48" i="8"/>
  <c r="J48" i="8"/>
  <c r="A48" i="8"/>
  <c r="L47" i="8"/>
  <c r="K47" i="8"/>
  <c r="J47" i="8"/>
  <c r="A47" i="8"/>
  <c r="L46" i="8"/>
  <c r="K46" i="8"/>
  <c r="J46" i="8"/>
  <c r="A46" i="8"/>
  <c r="L45" i="8"/>
  <c r="K45" i="8"/>
  <c r="J45" i="8"/>
  <c r="A45" i="8"/>
  <c r="L44" i="8"/>
  <c r="K44" i="8"/>
  <c r="J44" i="8"/>
  <c r="A44" i="8"/>
  <c r="L43" i="8"/>
  <c r="K43" i="8"/>
  <c r="J43" i="8"/>
  <c r="A43" i="8"/>
  <c r="L42" i="8"/>
  <c r="K42" i="8"/>
  <c r="J42" i="8"/>
  <c r="A42" i="8"/>
  <c r="L41" i="8"/>
  <c r="K41" i="8"/>
  <c r="J41" i="8"/>
  <c r="A41" i="8"/>
  <c r="L40" i="8"/>
  <c r="K40" i="8"/>
  <c r="J40" i="8"/>
  <c r="A40" i="8"/>
  <c r="L39" i="8"/>
  <c r="K39" i="8"/>
  <c r="J39" i="8"/>
  <c r="A39" i="8"/>
  <c r="L38" i="8"/>
  <c r="K38" i="8"/>
  <c r="J38" i="8"/>
  <c r="A38" i="8"/>
  <c r="L37" i="8"/>
  <c r="K37" i="8"/>
  <c r="J37" i="8"/>
  <c r="A37" i="8"/>
  <c r="L36" i="8"/>
  <c r="K36" i="8"/>
  <c r="J36" i="8"/>
  <c r="A36" i="8"/>
  <c r="L35" i="8"/>
  <c r="K35" i="8"/>
  <c r="J35" i="8"/>
  <c r="A35" i="8"/>
  <c r="L34" i="8"/>
  <c r="K34" i="8"/>
  <c r="J34" i="8"/>
  <c r="A34" i="8"/>
  <c r="L33" i="8"/>
  <c r="K33" i="8"/>
  <c r="J33" i="8"/>
  <c r="A33" i="8"/>
  <c r="L32" i="8"/>
  <c r="K32" i="8"/>
  <c r="J32" i="8"/>
  <c r="A32" i="8"/>
  <c r="L31" i="8"/>
  <c r="K31" i="8"/>
  <c r="J31" i="8"/>
  <c r="A31" i="8"/>
  <c r="L30" i="8"/>
  <c r="K30" i="8"/>
  <c r="J30" i="8"/>
  <c r="A30" i="8"/>
  <c r="L29" i="8"/>
  <c r="K29" i="8"/>
  <c r="J29" i="8"/>
  <c r="A29" i="8"/>
  <c r="L28" i="8"/>
  <c r="K28" i="8"/>
  <c r="J28" i="8"/>
  <c r="A28" i="8"/>
  <c r="L27" i="8"/>
  <c r="K27" i="8"/>
  <c r="J27" i="8"/>
  <c r="A27" i="8"/>
  <c r="L26" i="8"/>
  <c r="K26" i="8"/>
  <c r="J26" i="8"/>
  <c r="A26" i="8"/>
  <c r="L25" i="8"/>
  <c r="K25" i="8"/>
  <c r="J25" i="8"/>
  <c r="A25" i="8"/>
  <c r="L24" i="8"/>
  <c r="K24" i="8"/>
  <c r="J24" i="8"/>
  <c r="A24" i="8"/>
  <c r="L23" i="8"/>
  <c r="A23" i="8"/>
  <c r="L22" i="8"/>
  <c r="K22" i="8"/>
  <c r="J22" i="8"/>
  <c r="A22" i="8"/>
  <c r="L21" i="8"/>
  <c r="K21" i="8"/>
  <c r="J21" i="8"/>
  <c r="A21" i="8"/>
  <c r="L20" i="8"/>
  <c r="A20" i="8"/>
  <c r="L19" i="8"/>
  <c r="A19" i="8"/>
  <c r="L18" i="8"/>
  <c r="K18" i="8"/>
  <c r="J18" i="8"/>
  <c r="A18" i="8"/>
  <c r="A17" i="8"/>
  <c r="L16" i="8"/>
  <c r="K16" i="8"/>
  <c r="J16" i="8"/>
  <c r="A16" i="8"/>
  <c r="A15" i="8"/>
  <c r="L14" i="8"/>
  <c r="K14" i="8"/>
  <c r="J14" i="8"/>
  <c r="A14" i="8"/>
  <c r="L13" i="8"/>
  <c r="A13" i="8"/>
  <c r="L12" i="8"/>
  <c r="K12" i="8"/>
  <c r="J12" i="8"/>
  <c r="A12" i="8"/>
  <c r="L11" i="8"/>
  <c r="K11" i="8"/>
  <c r="J11" i="8"/>
  <c r="A11" i="8"/>
  <c r="L10" i="8"/>
  <c r="K10" i="8"/>
  <c r="J10" i="8"/>
  <c r="A10" i="8"/>
  <c r="L9" i="8"/>
  <c r="K9" i="8"/>
  <c r="J9" i="8"/>
  <c r="A9" i="8"/>
  <c r="L8" i="8"/>
  <c r="K8" i="8"/>
  <c r="J8" i="8"/>
  <c r="A8" i="8"/>
  <c r="L7" i="8"/>
  <c r="A7" i="8"/>
  <c r="L6" i="8"/>
  <c r="A6" i="8"/>
  <c r="L5" i="8"/>
  <c r="K5" i="8"/>
  <c r="J5" i="8"/>
  <c r="A5" i="8"/>
  <c r="L4" i="8"/>
  <c r="K4" i="8"/>
  <c r="J4" i="8"/>
  <c r="A4" i="8"/>
  <c r="L3" i="8"/>
  <c r="K3" i="8"/>
  <c r="J3" i="8"/>
  <c r="A3" i="8"/>
  <c r="L2" i="8"/>
  <c r="A2" i="8"/>
  <c r="N99" i="2"/>
  <c r="N79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3" i="6"/>
  <c r="N4" i="6"/>
  <c r="N5" i="6"/>
  <c r="N5" i="1"/>
  <c r="N17" i="2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7" i="4"/>
  <c r="N48" i="4"/>
  <c r="N49" i="4"/>
  <c r="N50" i="4"/>
  <c r="N51" i="4"/>
  <c r="N3" i="4"/>
  <c r="N3" i="3"/>
  <c r="N7" i="1"/>
  <c r="N6" i="1"/>
  <c r="N8" i="1"/>
  <c r="N9" i="1"/>
  <c r="N10" i="1"/>
  <c r="N11" i="1"/>
  <c r="N12" i="1"/>
  <c r="N13" i="1"/>
  <c r="N14" i="1"/>
  <c r="N15" i="1"/>
  <c r="N16" i="1"/>
  <c r="N17" i="1"/>
  <c r="N18" i="1"/>
  <c r="N65" i="1"/>
  <c r="N19" i="1"/>
  <c r="N20" i="1"/>
  <c r="N21" i="1"/>
  <c r="N22" i="1"/>
  <c r="N23" i="1"/>
  <c r="N24" i="1"/>
  <c r="N25" i="1"/>
  <c r="N26" i="1"/>
  <c r="N27" i="1"/>
  <c r="N28" i="1"/>
  <c r="N29" i="1"/>
  <c r="N30" i="1"/>
  <c r="N66" i="1"/>
  <c r="N31" i="1"/>
  <c r="N32" i="1"/>
  <c r="N33" i="1"/>
  <c r="N34" i="1"/>
  <c r="N35" i="1"/>
  <c r="N36" i="1"/>
  <c r="N37" i="1"/>
  <c r="N38" i="1"/>
  <c r="N39" i="1"/>
  <c r="N40" i="1"/>
  <c r="N67" i="1"/>
  <c r="N41" i="1"/>
  <c r="N42" i="1"/>
  <c r="N43" i="1"/>
  <c r="N44" i="1"/>
  <c r="N45" i="1"/>
  <c r="N46" i="1"/>
  <c r="N47" i="1"/>
  <c r="N48" i="1"/>
  <c r="N68" i="1"/>
  <c r="N49" i="1"/>
  <c r="N50" i="1"/>
  <c r="N51" i="1"/>
  <c r="N52" i="1"/>
  <c r="N53" i="1"/>
  <c r="N54" i="1"/>
  <c r="N55" i="1"/>
  <c r="N56" i="1"/>
  <c r="N57" i="1"/>
  <c r="N58" i="1"/>
  <c r="N69" i="1"/>
  <c r="N59" i="1"/>
  <c r="N60" i="1"/>
  <c r="N61" i="1"/>
  <c r="N62" i="1"/>
  <c r="N63" i="1"/>
  <c r="N64" i="1"/>
  <c r="N4" i="1"/>
  <c r="N3" i="2"/>
  <c r="N15" i="2"/>
  <c r="N64" i="2"/>
  <c r="N33" i="2"/>
  <c r="N34" i="2"/>
  <c r="N71" i="2"/>
  <c r="N103" i="2"/>
  <c r="N90" i="2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60" i="3"/>
  <c r="N4" i="2"/>
  <c r="N5" i="2"/>
  <c r="N6" i="2"/>
  <c r="N7" i="2"/>
  <c r="N8" i="2"/>
  <c r="N9" i="2"/>
  <c r="N10" i="2"/>
  <c r="N11" i="2"/>
  <c r="N12" i="2"/>
  <c r="N13" i="2"/>
  <c r="N14" i="2"/>
  <c r="N16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5" i="2"/>
  <c r="N66" i="2"/>
  <c r="N67" i="2"/>
  <c r="N68" i="2"/>
  <c r="N69" i="2"/>
  <c r="N70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1" i="2"/>
  <c r="N92" i="2"/>
  <c r="N93" i="2"/>
  <c r="N94" i="2"/>
  <c r="N95" i="2"/>
  <c r="N96" i="2"/>
  <c r="N97" i="2"/>
  <c r="N98" i="2"/>
  <c r="N100" i="2"/>
  <c r="N101" i="2"/>
  <c r="N102" i="2"/>
  <c r="N104" i="2"/>
  <c r="N105" i="2"/>
  <c r="N106" i="2"/>
  <c r="N107" i="2"/>
  <c r="N108" i="2"/>
  <c r="N4" i="3"/>
  <c r="N5" i="3"/>
  <c r="N6" i="3"/>
  <c r="N7" i="3"/>
  <c r="N8" i="3"/>
  <c r="N9" i="3"/>
  <c r="N10" i="3"/>
  <c r="N11" i="3"/>
  <c r="N58" i="3"/>
  <c r="N12" i="3"/>
  <c r="N13" i="3"/>
  <c r="N14" i="3"/>
  <c r="N59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60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K5" i="6"/>
  <c r="K6" i="6"/>
  <c r="K7" i="6"/>
  <c r="K8" i="6"/>
  <c r="K9" i="6"/>
  <c r="K11" i="6"/>
  <c r="K12" i="6"/>
  <c r="K13" i="6"/>
  <c r="K14" i="6"/>
  <c r="K15" i="6"/>
  <c r="K16" i="6"/>
  <c r="K17" i="6"/>
  <c r="K19" i="6"/>
  <c r="K20" i="6"/>
  <c r="K21" i="6"/>
  <c r="K22" i="6"/>
  <c r="K23" i="6"/>
  <c r="K24" i="6"/>
  <c r="K25" i="6"/>
  <c r="K26" i="6"/>
  <c r="K27" i="6"/>
  <c r="K28" i="6"/>
  <c r="K29" i="6"/>
  <c r="K30" i="6"/>
  <c r="K32" i="6"/>
  <c r="K33" i="6"/>
  <c r="K34" i="6"/>
  <c r="K35" i="6"/>
  <c r="K36" i="6"/>
  <c r="K37" i="6"/>
  <c r="K38" i="6"/>
  <c r="K39" i="6"/>
  <c r="K41" i="6"/>
  <c r="K42" i="6"/>
  <c r="K44" i="6"/>
  <c r="K45" i="6"/>
  <c r="K46" i="6"/>
  <c r="K47" i="6"/>
  <c r="K48" i="6"/>
  <c r="K49" i="6"/>
  <c r="K50" i="6"/>
  <c r="K51" i="6"/>
  <c r="K52" i="6"/>
  <c r="K53" i="6"/>
  <c r="K54" i="6"/>
  <c r="K56" i="6"/>
  <c r="K57" i="6"/>
  <c r="K58" i="6"/>
  <c r="K59" i="6"/>
  <c r="K60" i="6"/>
  <c r="K61" i="6"/>
  <c r="K62" i="6"/>
  <c r="K63" i="6"/>
  <c r="K64" i="6"/>
  <c r="K65" i="6"/>
  <c r="K66" i="6"/>
  <c r="K67" i="6"/>
  <c r="K69" i="6"/>
  <c r="K70" i="6"/>
  <c r="K72" i="6"/>
  <c r="K75" i="6"/>
  <c r="K76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8" i="6"/>
  <c r="K99" i="6"/>
  <c r="K100" i="6"/>
  <c r="K101" i="6"/>
  <c r="K103" i="6"/>
  <c r="K104" i="6"/>
  <c r="K105" i="6"/>
  <c r="K106" i="6"/>
  <c r="K107" i="6"/>
  <c r="K3" i="6"/>
  <c r="K4" i="6"/>
  <c r="K4" i="1"/>
  <c r="K69" i="1"/>
  <c r="K68" i="1"/>
  <c r="K67" i="1"/>
  <c r="K66" i="1"/>
  <c r="K65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30" i="1"/>
  <c r="K31" i="1"/>
  <c r="K32" i="1"/>
  <c r="K33" i="1"/>
  <c r="K34" i="1"/>
  <c r="K35" i="1"/>
  <c r="K36" i="1"/>
  <c r="K37" i="1"/>
  <c r="K38" i="1"/>
  <c r="K39" i="1"/>
  <c r="K41" i="1"/>
  <c r="K42" i="1"/>
  <c r="K43" i="1"/>
  <c r="K44" i="1"/>
  <c r="K45" i="1"/>
  <c r="K46" i="1"/>
  <c r="K47" i="1"/>
  <c r="K48" i="1"/>
  <c r="K50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5" i="2"/>
  <c r="K46" i="2"/>
  <c r="K47" i="2"/>
  <c r="K48" i="2"/>
  <c r="K49" i="2"/>
  <c r="K50" i="2"/>
  <c r="K51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1" i="2"/>
  <c r="K92" i="2"/>
  <c r="K93" i="2"/>
  <c r="K94" i="2"/>
  <c r="K95" i="2"/>
  <c r="K96" i="2"/>
  <c r="K97" i="2"/>
  <c r="K98" i="2"/>
  <c r="K100" i="2"/>
  <c r="K101" i="2"/>
  <c r="K102" i="2"/>
  <c r="K104" i="2"/>
  <c r="K105" i="2"/>
  <c r="K106" i="2"/>
  <c r="K107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</calcChain>
</file>

<file path=xl/sharedStrings.xml><?xml version="1.0" encoding="utf-8"?>
<sst xmlns="http://schemas.openxmlformats.org/spreadsheetml/2006/main" count="3836" uniqueCount="1794">
  <si>
    <t>GDP INSPECTION CLASSIFICATION DATA BASE AS AT 2021</t>
  </si>
  <si>
    <t>S/N</t>
  </si>
  <si>
    <t>NAME OF MANUFACTURER</t>
  </si>
  <si>
    <t>LOCATION ADDRESS</t>
  </si>
  <si>
    <t>CONTACT</t>
  </si>
  <si>
    <t>TYPE OF LAST INSPECTION</t>
  </si>
  <si>
    <t>DATE OF LAST INSPECTION</t>
  </si>
  <si>
    <t>FINDINGS</t>
  </si>
  <si>
    <t>CAPA ISSUED DATE</t>
  </si>
  <si>
    <t>CAPA SUBMITTED</t>
  </si>
  <si>
    <t>CONCLUSION</t>
  </si>
  <si>
    <t>REMARKS</t>
  </si>
  <si>
    <t>EXPECTED DATE OF INSPECTION</t>
  </si>
  <si>
    <t>CC</t>
  </si>
  <si>
    <t>COMPANY FILE</t>
  </si>
  <si>
    <t>CHANRAI HEALTHCARE LTD</t>
  </si>
  <si>
    <t>No 122- 132, Oshodi- Apapa Expree, Isolo, Lagos State</t>
  </si>
  <si>
    <t>08024153514</t>
  </si>
  <si>
    <t>GDP</t>
  </si>
  <si>
    <t>27th May, 2021</t>
  </si>
  <si>
    <t>Medium-Risk (B)</t>
  </si>
  <si>
    <t>YES</t>
  </si>
  <si>
    <t>CAPA submitted on November 11th, 2021</t>
  </si>
  <si>
    <t>CAPA VERIFICATION INSPECTION SHOULD BE SCHEDULED</t>
  </si>
  <si>
    <t>https://nafdacng.sharepoint.com/sites/PMSLAGOS/Shared Documents/GSDP (GOOD STORAGE AND DISTRIBUTION PRACTICE)/GSDP COMPANY FILES\CHANRAI</t>
  </si>
  <si>
    <t>PHILLIPS PHARMACEUTICALS NIGERIA LTD.</t>
  </si>
  <si>
    <t xml:space="preserve">Plot 122- 132, Apapa- Oshodi Expressway, Iyanu Isolo, Lagos State </t>
  </si>
  <si>
    <t>08056292449</t>
  </si>
  <si>
    <t>NO</t>
  </si>
  <si>
    <t>CAPA to be submitted</t>
  </si>
  <si>
    <t>REMINDER LETTTER SHOULD BE SENT</t>
  </si>
  <si>
    <t>https://nafdacng.sharepoint.com/sites/PMSLAGOS/Shared Documents/GSDP (GOOD STORAGE AND DISTRIBUTION PRACTICE)/GSDP COMPANY FILES\PHILIPS PHARMACEUTICAL LTD</t>
  </si>
  <si>
    <t>CHI PHARMACEUTICALS</t>
  </si>
  <si>
    <t>No 14, Chivita Avenue, Ajao Estate, Lagos State</t>
  </si>
  <si>
    <t>08133523656</t>
  </si>
  <si>
    <t>8th June, 2021</t>
  </si>
  <si>
    <t>https://nafdacng.sharepoint.com/sites/PMSLAGOS/Shared Documents/GSDP (GOOD STORAGE AND DISTRIBUTION PRACTICE)/../../../../:f:/s/PMSLAGOS/IgByqnnyW17bT5dDRDD5EQ1_AV3BeNZbTj3cp2SvCSplF4k?e=AEdNJT</t>
  </si>
  <si>
    <t>DE-LAW PHARMACEUTICALS</t>
  </si>
  <si>
    <t>67, Ishaga Road, Idi Araba, Surulere, Lagos</t>
  </si>
  <si>
    <t>08034435360</t>
  </si>
  <si>
    <t>31st May, 2021</t>
  </si>
  <si>
    <t>CAPA submitted (Received)</t>
  </si>
  <si>
    <t>https://nafdacng.sharepoint.com/sites/PMSLAGOS/Shared Documents/GSDP (GOOD STORAGE AND DISTRIBUTION PRACTICE)/GSDP COMPANY FILES\DE-LAW PHARMACEUTICALS</t>
  </si>
  <si>
    <t>JMD PHARMALINKS LIMITED</t>
  </si>
  <si>
    <t>No 53, Adeshiyan Street, Off Ilupeju By-Pass, Ilupeju, Lagos</t>
  </si>
  <si>
    <t>08056998961</t>
  </si>
  <si>
    <t>31st June, 2021</t>
  </si>
  <si>
    <t>CAPA submitted on 31st March, 2023</t>
  </si>
  <si>
    <t>https://nafdacng.sharepoint.com/sites/PMSLAGOS/Shared Documents/GSDP (GOOD STORAGE AND DISTRIBUTION PRACTICE)/GSDP COMPANY FILES\JMD PHARMALINK LTD</t>
  </si>
  <si>
    <t>NEMITT PHARMACEUTICALS LIMITED</t>
  </si>
  <si>
    <t>No 95, Western Avenue, Surulere, Lagos</t>
  </si>
  <si>
    <t>08186662429</t>
  </si>
  <si>
    <t>https://nafdacng.sharepoint.com/sites/PMSLAGOS/Shared Documents/GSDP (GOOD STORAGE AND DISTRIBUTION PRACTICE)/GSDP COMPANY FILES\NEMITT PHARMACEUTICALS LTD</t>
  </si>
  <si>
    <t>PHARMFORTE NETWORK LTD.</t>
  </si>
  <si>
    <t>No 8, Abeo Street, Off Western Avenue, Surulere, Lagos State</t>
  </si>
  <si>
    <t>08087296178</t>
  </si>
  <si>
    <t>https://nafdacng.sharepoint.com/sites/PMSLAGOS/Shared Documents/GSDP (GOOD STORAGE AND DISTRIBUTION PRACTICE)/GSDP COMPANY FILES\PHARMFORTE NETWORK LTD</t>
  </si>
  <si>
    <t>WORLDWIDE COMMERCIAL VENTURES LTD.</t>
  </si>
  <si>
    <t>Plot A1, Block 9, Ilupeju Industrial Estate, Ilupeju, Lagos</t>
  </si>
  <si>
    <t>08052196075</t>
  </si>
  <si>
    <t>1st June, 2021</t>
  </si>
  <si>
    <t>https://nafdacng.sharepoint.com/sites/PMSLAGOS/Shared Documents/GSDP (GOOD STORAGE AND DISTRIBUTION PRACTICE)/GSDP COMPANY FILES\WORLDWIDE COMMERCIAL VENTURES</t>
  </si>
  <si>
    <t>ZOLON HEALTHCARE LTD.</t>
  </si>
  <si>
    <t>No 37 Osolo Way, Oshodi- Isolo, Lagos State</t>
  </si>
  <si>
    <t>08030994047</t>
  </si>
  <si>
    <t>CAPA submitted</t>
  </si>
  <si>
    <t>https://nafdacng.sharepoint.com/sites/PMSLAGOS/Shared Documents/GSDP (GOOD STORAGE AND DISTRIBUTION PRACTICE)/GSDP COMPANY FILES\ZOLON HEALTHCARE LTD</t>
  </si>
  <si>
    <t>VICTORY DRUGS PHARMACY</t>
  </si>
  <si>
    <t>Plot 57a, 11 Road, Festac Town, Lagos State</t>
  </si>
  <si>
    <t>08023424425; 08163269204</t>
  </si>
  <si>
    <t>CUS CYRUS DRUGS &amp; MEDICALS LTD. PHARM &amp; CHEM CO. LTD</t>
  </si>
  <si>
    <t>No 55, Old Ojo Road, Kuje, Amuwo, Lagos State</t>
  </si>
  <si>
    <t>08024296039</t>
  </si>
  <si>
    <t>https://nafdacng.sharepoint.com/sites/PMSLAGOS/Shared Documents/GSDP (GOOD STORAGE AND DISTRIBUTION PRACTICE)/GSDP COMPANY FILES\CUS PHARM AND CARE</t>
  </si>
  <si>
    <t>ADLER PRODUCTS LTD.</t>
  </si>
  <si>
    <t>No 14, Abeokuta Expressway, First Brigde, Dopemu, Lagos State</t>
  </si>
  <si>
    <t>07035558919</t>
  </si>
  <si>
    <t>16th July, 2021</t>
  </si>
  <si>
    <t>https://nafdacng.sharepoint.com/sites/PMSLAGOS/Shared Documents/GSDP (GOOD STORAGE AND DISTRIBUTION PRACTICE)/GSDP COMPANY FILES\ADLER PRODUCT LTD</t>
  </si>
  <si>
    <t>REALS PHARMACEUTICALS LTD</t>
  </si>
  <si>
    <t>No 1, Alahaji Junaid Dosunmu Street, CBD, Alausa, Ikeja, Lagos State</t>
  </si>
  <si>
    <t>08175048484</t>
  </si>
  <si>
    <t>2nd June, 2021</t>
  </si>
  <si>
    <t>https://nafdacng.sharepoint.com/sites/PMSLAGOS/Shared Documents/GSDP (GOOD STORAGE AND DISTRIBUTION PRACTICE)/GSDP COMPANY FILES\REALS PHARM LTD</t>
  </si>
  <si>
    <t>FIDSON HEALTHCARE PLC</t>
  </si>
  <si>
    <t>No 268, Ikorodu Road, Obanikoro, Lagos state</t>
  </si>
  <si>
    <t>08023067964</t>
  </si>
  <si>
    <t>https://nafdacng.sharepoint.com/sites/PMSLAGOS/Shared Documents/GSDP (GOOD STORAGE AND DISTRIBUTION PRACTICE)/GSDP COMPANY FILES\FIDSON HEALTHCARE</t>
  </si>
  <si>
    <t>NEW HEIGHTS PHARMA  LTD.</t>
  </si>
  <si>
    <t xml:space="preserve">No 3A, Olaide Benson Street, Off  Ikorodu Road, Onigbongbo, Lagos </t>
  </si>
  <si>
    <t>08057291800</t>
  </si>
  <si>
    <t>https://nafdacng.sharepoint.com/sites/PMSLAGOS/Shared Documents/GSDP (GOOD STORAGE AND DISTRIBUTION PRACTICE)/GSDP COMPANY FILES\NEW HEIGHT PHARMA LTD</t>
  </si>
  <si>
    <t>PZ CUSSONS NIGERIA LTD</t>
  </si>
  <si>
    <t>No 487, Shagamu- Ikorodu Road, Opposite Army Barracks, Odongunyan</t>
  </si>
  <si>
    <t>08074090098</t>
  </si>
  <si>
    <t>16th June, 2021</t>
  </si>
  <si>
    <t>https://nafdacng.sharepoint.com/sites/PMSLAGOS/Shared Documents/GSDP (GOOD STORAGE AND DISTRIBUTION PRACTICE)/GSDP COMPANY FILES\PZ CUSSONS</t>
  </si>
  <si>
    <t>DIVINE CHEMISTS &amp; CHEMICAL CO. LTD</t>
  </si>
  <si>
    <t>No 4, Ogudu Road, Ojota, Lagos State</t>
  </si>
  <si>
    <t>08102872227</t>
  </si>
  <si>
    <t>28/7/2021</t>
  </si>
  <si>
    <t>https://nafdacng.sharepoint.com/sites/PMSLAGOS/Shared Documents/GSDP (GOOD STORAGE AND DISTRIBUTION PRACTICE)/GSDP COMPANY FILES\DIVINE CHEMIST PHARM ACIST</t>
  </si>
  <si>
    <t>HOMILY PROSPECTS PHARMACEUTICAL LTD</t>
  </si>
  <si>
    <t>No 9, Adesanya Street, Mafoluku, Lagos State</t>
  </si>
  <si>
    <t>08034255030</t>
  </si>
  <si>
    <t xml:space="preserve">18th June, 2021 </t>
  </si>
  <si>
    <t>https://nafdacng.sharepoint.com/sites/PMSLAGOS/Shared Documents/GSDP (GOOD STORAGE AND DISTRIBUTION PRACTICE)/GSDP COMPANY FILES\HOMILY'S PROSPECTS LTD</t>
  </si>
  <si>
    <t>GLORYZONE NIGERIA LTD</t>
  </si>
  <si>
    <t>No 13, Ogunoloko Street, Mafoluku, Lagos State</t>
  </si>
  <si>
    <t>08032131017</t>
  </si>
  <si>
    <t>https://nafdacng.sharepoint.com/sites/PMSLAGOS/Shared Documents/GSDP (GOOD STORAGE AND DISTRIBUTION PRACTICE)/GSDP COMPANY FILES\GLORY ZONE PHARMACY</t>
  </si>
  <si>
    <t>BEVANS GATE PHARMACY</t>
  </si>
  <si>
    <t>No 2, Afariogun Street, Oshodi, Lagos</t>
  </si>
  <si>
    <t>07036110826</t>
  </si>
  <si>
    <t>18th June, 2021</t>
  </si>
  <si>
    <t>https://nafdacng.sharepoint.com/sites/PMSLAGOS/Shared Documents/GSDP (GOOD STORAGE AND DISTRIBUTION PRACTICE)/GSDP COMPANY FILES\BEVANS GATE PHARMACY</t>
  </si>
  <si>
    <t>IKOMO PHARMACY AND CHEMIST NIGERIA LIMITED</t>
  </si>
  <si>
    <t>No 135, Itire Road, Mushin, Lagos</t>
  </si>
  <si>
    <t>08060996573</t>
  </si>
  <si>
    <t>22nd June, 2021</t>
  </si>
  <si>
    <t>https://nafdacng.sharepoint.com/sites/PMSLAGOS/Shared Documents/GSDP (GOOD STORAGE AND DISTRIBUTION PRACTICE)/GSDP COMPANY FILES\IKOMO PHARMACY LTD</t>
  </si>
  <si>
    <t>HOCHIEZ PHARMACEUTICALS NIG. LTD</t>
  </si>
  <si>
    <t xml:space="preserve">No 72, Palm Avenue, Mushin, Lagos </t>
  </si>
  <si>
    <t>08033024651</t>
  </si>
  <si>
    <t>https://nafdacng.sharepoint.com/sites/PMSLAGOS/Shared Documents/GSDP (GOOD STORAGE AND DISTRIBUTION PRACTICE)/GSDP COMPANY FILES\HOCHIEZ PHARM NIG LTD</t>
  </si>
  <si>
    <t>ARINZESON PHARMA CO. LTD</t>
  </si>
  <si>
    <t>No 1, Muibi Street, Mushin, Lagos State</t>
  </si>
  <si>
    <t>08033068618</t>
  </si>
  <si>
    <t>CAPA submitted on December 12, 2022</t>
  </si>
  <si>
    <t>https://nafdacng.sharepoint.com/sites/PMSLAGOS/Shared Documents/GSDP (GOOD STORAGE AND DISTRIBUTION PRACTICE)/GSDP COMPANY FILES\ARINZESON PHARM</t>
  </si>
  <si>
    <t>ZOMENCE NIGERIA LTD</t>
  </si>
  <si>
    <t>No 170B, Agege Motor Road, Mushin, Lagos State</t>
  </si>
  <si>
    <t>08033231858</t>
  </si>
  <si>
    <t>ZIM PHARMACY LTD</t>
  </si>
  <si>
    <t>No 42, Adeyemi Street, Mushin, Lagos State</t>
  </si>
  <si>
    <t>https://nafdacng.sharepoint.com/sites/PMSLAGOS/Shared Documents/GSDP (GOOD STORAGE AND DISTRIBUTION PRACTICE)/GSDP COMPANY FILES\ZIM PHARM. LTD</t>
  </si>
  <si>
    <t>ESTIN PHARMACY &amp; STORES. LTD.</t>
  </si>
  <si>
    <t>No 60, Ijaiye Road, Ogba, Lagos State</t>
  </si>
  <si>
    <t>08033341222</t>
  </si>
  <si>
    <t>23rd JUNE, 2021</t>
  </si>
  <si>
    <t>CAPA submitted on 27th March, 2023</t>
  </si>
  <si>
    <t>https://nafdacng.sharepoint.com/sites/PMSLAGOS/Shared Documents/GSDP (GOOD STORAGE AND DISTRIBUTION PRACTICE)/GSDP COMPANY FILES\ESTIN LIMITED</t>
  </si>
  <si>
    <t>GM&amp;F SPECIALTIES LTD.</t>
  </si>
  <si>
    <t>No 33, Abisogun Leigh Street, Ogba, Ikeja</t>
  </si>
  <si>
    <t>09069961241</t>
  </si>
  <si>
    <t>23rd June, 2021</t>
  </si>
  <si>
    <t>https://nafdacng.sharepoint.com/sites/PMSLAGOS/Shared Documents/GSDP (GOOD STORAGE AND DISTRIBUTION PRACTICE)/GSDP COMPANY FILES\GM&amp;F SPECIALIST LTD</t>
  </si>
  <si>
    <t>HYGIEIA PHARMA NIGERIA LIMITED.</t>
  </si>
  <si>
    <t>No 3, Akinola Cole Crescent,  Off Adeniyi Jones Avenue, Lagos State</t>
  </si>
  <si>
    <t>09095800858</t>
  </si>
  <si>
    <t>https://nafdacng.sharepoint.com/sites/PMSLAGOS/Shared Documents/GSDP (GOOD STORAGE AND DISTRIBUTION PRACTICE)/GSDP COMPANY FILES\HYGIEIA PHARM LTD</t>
  </si>
  <si>
    <t>VIVIGOLD PHARMACY LIMITED</t>
  </si>
  <si>
    <t>No 18, Tijani Ashogbon Street, Abule Okuta, Bariga, Lagos State</t>
  </si>
  <si>
    <t>08052273734</t>
  </si>
  <si>
    <t>24th June, 2021</t>
  </si>
  <si>
    <t>CAPA submitted on February 7th, 2023</t>
  </si>
  <si>
    <t>https://nafdacng.sharepoint.com/sites/PMSLAGOS/Shared Documents/GSDP (GOOD STORAGE AND DISTRIBUTION PRACTICE)/GSDP COMPANY FILES\VIVIGOLD LTD</t>
  </si>
  <si>
    <t>IYKMAVIAN PHARMACEUTICALS NIG. LTD</t>
  </si>
  <si>
    <t>No 59, Igi- Olugbin Street, Ladi Lak B/Stop, Bariga, Lagos State</t>
  </si>
  <si>
    <t>08163229472</t>
  </si>
  <si>
    <t>22/10/2021</t>
  </si>
  <si>
    <t>CAPA submitted on 7th March, 2023</t>
  </si>
  <si>
    <t>https://nafdacng.sharepoint.com/sites/PMSLAGOS/Shared Documents/GSDP (GOOD STORAGE AND DISTRIBUTION PRACTICE)/GSDP COMPANY FILES\IYK-MAVIAN PHARM NIG. LTD</t>
  </si>
  <si>
    <t>DANNYFAITH PHARMACY LTD</t>
  </si>
  <si>
    <t>No 23, Oseni Street, Off Lawason Road, Surulere, Lagos State</t>
  </si>
  <si>
    <t>0806768578</t>
  </si>
  <si>
    <t>https://nafdacng.sharepoint.com/sites/PMSLAGOS/Shared Documents/GSDP (GOOD STORAGE AND DISTRIBUTION PRACTICE)/GSDP COMPANY FILES\DANNY FAITH PHARM</t>
  </si>
  <si>
    <t>ATSI PHARMACY NIGERIA LIMITED</t>
  </si>
  <si>
    <t>No 52, James Robertson Street, Off Akerele, Surulere, Lagos State</t>
  </si>
  <si>
    <t>08033200887</t>
  </si>
  <si>
    <t>ASHMOLA PHARMACY</t>
  </si>
  <si>
    <t>No 155, Isawo Road, Agric Bus Stop, Ikorodu, Lagos State</t>
  </si>
  <si>
    <t>08066191700</t>
  </si>
  <si>
    <t>9th July, 2021</t>
  </si>
  <si>
    <t>26/10/21</t>
  </si>
  <si>
    <t>https://nafdacng.sharepoint.com/sites/PMSLAGOS/Shared Documents/GSDP (GOOD STORAGE AND DISTRIBUTION PRACTICE)/GSDP COMPANY FILES\ASHMOLA PHARMACY</t>
  </si>
  <si>
    <t>DRUGMASTA MEGA PHARMACY LIMITED</t>
  </si>
  <si>
    <t>No 210, Lagos Road, Ikorodu, Lagos State</t>
  </si>
  <si>
    <t>08181745909</t>
  </si>
  <si>
    <t>https://nafdacng.sharepoint.com/sites/PMSLAGOS/Shared Documents/GSDP (GOOD STORAGE AND DISTRIBUTION PRACTICE)/GSDP COMPANY FILES\DRUGMASTA PHARMACY LTD</t>
  </si>
  <si>
    <t>BIOMERC PHARMACEUTICAL LTD</t>
  </si>
  <si>
    <t>No 15, Solebo Street, Ikorodu, Lagos State</t>
  </si>
  <si>
    <t>08188733508; 08099849214</t>
  </si>
  <si>
    <t>https://nafdacng.sharepoint.com/sites/PMSLAGOS/Shared Documents/GSDP (GOOD STORAGE AND DISTRIBUTION PRACTICE)/GSDP COMPANY FILES\BIOMERIC PHARM. LTD</t>
  </si>
  <si>
    <t>DIAMOND HEALTHCARE LTD.</t>
  </si>
  <si>
    <t>No 5, Forcy Rabiu Street, Ikorodu, Lagos</t>
  </si>
  <si>
    <t>08023019917</t>
  </si>
  <si>
    <t>https://nafdacng.sharepoint.com/sites/PMSLAGOS/Shared Documents/GSDP (GOOD STORAGE AND DISTRIBUTION PRACTICE)/GSDP COMPANY FILES\DIAMOND HEALTHCARE LTD</t>
  </si>
  <si>
    <t>N/A</t>
  </si>
  <si>
    <t>CHIZZY PHARMACY LTD.</t>
  </si>
  <si>
    <t>No 33, Dairo Olufowobi Street, Ikosi Ketu, Lagos</t>
  </si>
  <si>
    <t>08033225456</t>
  </si>
  <si>
    <t>https://nafdacng.sharepoint.com/sites/PMSLAGOS/Shared Documents/GSDP (GOOD STORAGE AND DISTRIBUTION PRACTICE)/GSDP COMPANY FILES\CHIZZY PHARM</t>
  </si>
  <si>
    <r>
      <t>MC TOTALCAREPHARMACY</t>
    </r>
    <r>
      <rPr>
        <i/>
        <sz val="11"/>
        <color rgb="FF222222"/>
        <rFont val="Times New Roman"/>
        <family val="1"/>
      </rPr>
      <t> </t>
    </r>
    <r>
      <rPr>
        <sz val="11"/>
        <color rgb="FF222222"/>
        <rFont val="Times New Roman"/>
        <family val="1"/>
      </rPr>
      <t>LTD</t>
    </r>
  </si>
  <si>
    <t>Km 70, Lekki-Epe Expressway, Ibeju-Lekki  Lagos</t>
  </si>
  <si>
    <t>08022775241, 08022237201</t>
  </si>
  <si>
    <t>1st of November, 2021</t>
  </si>
  <si>
    <t>25/10/2021</t>
  </si>
  <si>
    <t>https://nafdacng.sharepoint.com/sites/PMSLAGOS/Shared Documents/GSDP (GOOD STORAGE AND DISTRIBUTION PRACTICE)/GSDP COMPANY FILES\MC TOTALCARE PHARMACY LTD</t>
  </si>
  <si>
    <t> S &amp; S DUKE  PHARMACEUTICALS</t>
  </si>
  <si>
    <t>No 3, Adeba Road by Lakowe bus stop, off, Lekki - Epe Expy, Lagos</t>
  </si>
  <si>
    <t>07062956725</t>
  </si>
  <si>
    <t>https://nafdacng.sharepoint.com/sites/PMSLAGOS/Shared Documents/GSDP (GOOD STORAGE AND DISTRIBUTION PRACTICE)/GSDP COMPANY FILES\S AND S DUKE PHARM. LTD</t>
  </si>
  <si>
    <t>JOE  DRUGS PHARMACY</t>
  </si>
  <si>
    <t>Shop 1, View Point Plaza, Ajah, Lagos</t>
  </si>
  <si>
    <t>08120954746</t>
  </si>
  <si>
    <t>https://nafdacng.sharepoint.com/sites/PMSLAGOS/Shared Documents/GSDP (GOOD STORAGE AND DISTRIBUTION PRACTICE)/GSDP COMPANY FILES\JOE DRUG PHARMACY</t>
  </si>
  <si>
    <t>BENPAT ELYBEN PHARMACY AND STORE</t>
  </si>
  <si>
    <t>No 32, Lagos Road, Epe, Lagos</t>
  </si>
  <si>
    <t>07058823498</t>
  </si>
  <si>
    <t>CAPA submitted on 15th March, 2023</t>
  </si>
  <si>
    <t>https://nafdacng.sharepoint.com/sites/PMSLAGOS/Shared Documents/GSDP (GOOD STORAGE AND DISTRIBUTION PRACTICE)/GSDP COMPANY FILES\BENPAT AELIBEN LTD</t>
  </si>
  <si>
    <t>SOOD &amp; JINS PHARMACEUTICAL LTD</t>
  </si>
  <si>
    <t>No 190/192, Ikorodu Road, Palmgrove, Lagos</t>
  </si>
  <si>
    <t>08034737425</t>
  </si>
  <si>
    <t>3rd of November, 2021</t>
  </si>
  <si>
    <t>CAPA WAS NOT ISSUED</t>
  </si>
  <si>
    <t>The company should be directed to inform the Agency of its final decision on wholesaling/distribution of Pharmaceutical products.</t>
  </si>
  <si>
    <t>https://nafdacng.sharepoint.com/sites/PMSLAGOS/Shared Documents/GSDP (GOOD STORAGE AND DISTRIBUTION PRACTICE)/GSDP COMPANY FILES\SOOD&amp; JINS LTD</t>
  </si>
  <si>
    <t>HERBINCO PHARMACY LTD</t>
  </si>
  <si>
    <t>No. 410,  Ikorodu Road, Ojota, Lagos</t>
  </si>
  <si>
    <t>08034973192</t>
  </si>
  <si>
    <t>4th of November, 2021</t>
  </si>
  <si>
    <t>20/1/2022</t>
  </si>
  <si>
    <t>https://nafdacng.sharepoint.com/sites/PMSLAGOS/Shared Documents/GSDP (GOOD STORAGE AND DISTRIBUTION PRACTICE)/GSDP COMPANY FILES\HERBINCO PHARM LTD</t>
  </si>
  <si>
    <t>DEBINCO &amp; SONS PHARMACEUTICAL CO. LTD</t>
  </si>
  <si>
    <t>No. 66, Awolowo Way, Ikeja,Lagos</t>
  </si>
  <si>
    <t>08068232890</t>
  </si>
  <si>
    <t>https://nafdacng.sharepoint.com/sites/PMSLAGOS/Shared Documents/GSDP (GOOD STORAGE AND DISTRIBUTION PRACTICE)/GSDP COMPANY FILES\DEBINCO &amp; SONS PHARM LTD</t>
  </si>
  <si>
    <t>NEAT-LINE PHARM LTD</t>
  </si>
  <si>
    <t>No. 1, Emmanuel High Street, Ojota-Ogudu Road, Ojota, Lagos</t>
  </si>
  <si>
    <t>08096455345, 08118678702</t>
  </si>
  <si>
    <t>8th of November, 2021</t>
  </si>
  <si>
    <t>https://nafdacng.sharepoint.com/sites/PMSLAGOS/Shared Documents/GSDP (GOOD STORAGE AND DISTRIBUTION PRACTICE)/GSDP COMPANY FILES\NEAT LINE PHARM LTD</t>
  </si>
  <si>
    <t>KRIS DANIELS PHARM LTD</t>
  </si>
  <si>
    <t>No. 2, Waterfront, 1st Avenue, Festac, Lagos</t>
  </si>
  <si>
    <t xml:space="preserve">07030582993 </t>
  </si>
  <si>
    <t>9th of November, 2021</t>
  </si>
  <si>
    <t>https://nafdacng.sharepoint.com/sites/PMSLAGOS/Shared Documents/GSDP (GOOD STORAGE AND DISTRIBUTION PRACTICE)/GSDP COMPANY FILES\KRIS DANIEL PHARM LTD</t>
  </si>
  <si>
    <t>ZEST PHARMA LIMITED</t>
  </si>
  <si>
    <t>No.5, Abiodun Adeleye Street, Okota, Lagos</t>
  </si>
  <si>
    <t xml:space="preserve">08033217706 </t>
  </si>
  <si>
    <t>CAPA submitted on 15th March, 2024</t>
  </si>
  <si>
    <t>https://nafdacng.sharepoint.com/sites/PMSLAGOS/Shared Documents/GSDP (GOOD STORAGE AND DISTRIBUTION PRACTICE)/GSDP COMPANY FILES\ZEST PHARM</t>
  </si>
  <si>
    <t>VACCIPHARM LTD</t>
  </si>
  <si>
    <t xml:space="preserve"> No.30, Raymond Njoku Street, Ikoyi, Lagos</t>
  </si>
  <si>
    <t>11th of November, 2021</t>
  </si>
  <si>
    <t>https://nafdacng.sharepoint.com/sites/PMSLAGOS/Shared Documents/GSDP (GOOD STORAGE AND DISTRIBUTION PRACTICE)/GSDP COMPANY FILES\VACCI PHARM</t>
  </si>
  <si>
    <t>TOTAL = 49</t>
  </si>
  <si>
    <t>GDP INSPECTION CLASSIFICATION DATA BASE AS AT 2022</t>
  </si>
  <si>
    <t>OMPANY FFILE</t>
  </si>
  <si>
    <t>IKON PHARM NIG LTD</t>
  </si>
  <si>
    <t>No. 2, Market Road, Ijanikin, Lagos</t>
  </si>
  <si>
    <t>08033195876; 08037663759</t>
  </si>
  <si>
    <t>22nd March, 2022</t>
  </si>
  <si>
    <t>REMINDER LETTER SHOULD BE SENT</t>
  </si>
  <si>
    <t>https://nafdacng.sharepoint.com/sites/PMSLAGOS/Shared Documents/GSDP (GOOD STORAGE AND DISTRIBUTION PRACTICE)/GSDP COMPANY FILES\IKON PHARM NIG LTD</t>
  </si>
  <si>
    <t>IKON PHARM NIG LTD (BRANCH)</t>
  </si>
  <si>
    <t>Along Igando/Okoafa, Opp C&amp;S Church, Okoafa, Badagry, Lagos</t>
  </si>
  <si>
    <t>08035740038</t>
  </si>
  <si>
    <t>YANKEE PHARM CO.NIG LTD</t>
  </si>
  <si>
    <t>69, Zoglo Road, Badagry, Lagos</t>
  </si>
  <si>
    <t>08145129325</t>
  </si>
  <si>
    <t>CAPA submitted on February 22nd, 2023</t>
  </si>
  <si>
    <t>CAPA VERIFICATIO SHOULD BE SCHEDULED</t>
  </si>
  <si>
    <t>https://nafdacng.sharepoint.com/sites/PMSLAGOS/Shared Documents/GSDP (GOOD STORAGE AND DISTRIBUTION PRACTICE)/GSDP COMPANY FILES\YENKEE PHARM</t>
  </si>
  <si>
    <t>ESTYBEE PHARM LTD</t>
  </si>
  <si>
    <t>Ajara Vetho Chief Port Junction, Badagry, Lagos</t>
  </si>
  <si>
    <t>08130918949</t>
  </si>
  <si>
    <t>CAPA  submitted</t>
  </si>
  <si>
    <t>https://nafdacng.sharepoint.com/sites/PMSLAGOS/Shared Documents/GSDP (GOOD STORAGE AND DISTRIBUTION PRACTICE)/GSDP COMPANY FILES\ESTYBEE PHARM LTD</t>
  </si>
  <si>
    <t>BENATO PHARM LTD</t>
  </si>
  <si>
    <t>No. 31, Turner Street, Mosafejo Bus-Stop, Amukoko, Lagos</t>
  </si>
  <si>
    <t>08029475250</t>
  </si>
  <si>
    <t>23rd March, 2022</t>
  </si>
  <si>
    <t>https://nafdacng.sharepoint.com/sites/PMSLAGOS/Shared Documents/GSDP (GOOD STORAGE AND DISTRIBUTION PRACTICE)/GSDP COMPANY FILES\BARNAETO PHARM</t>
  </si>
  <si>
    <t>TIBRO PHARM CO. LTD</t>
  </si>
  <si>
    <t>35, Olumokun Street, Amukoko, Lagos</t>
  </si>
  <si>
    <t>09023901746</t>
  </si>
  <si>
    <t>High-Risk (C)</t>
  </si>
  <si>
    <t>https://nafdacng.sharepoint.com/sites/PMSLAGOS/Shared Documents/GSDP (GOOD STORAGE AND DISTRIBUTION PRACTICE)/GSDP COMPANY FILES\TIBROS PHARM</t>
  </si>
  <si>
    <t>LIFE POINT PHARM LTD</t>
  </si>
  <si>
    <t>20/21, Alaba, Oro Road, Amukoko, Lagos</t>
  </si>
  <si>
    <t>07033573790</t>
  </si>
  <si>
    <t>https://nafdacng.sharepoint.com/sites/PMSLAGOS/Shared Documents/GSDP (GOOD STORAGE AND DISTRIBUTION PRACTICE)/GSDP COMPANY FILES\LIFE POINT PHARM LTD</t>
  </si>
  <si>
    <t>E.CLEMS PHARMACY</t>
  </si>
  <si>
    <t>34, Shibiri Road, Ilemba, Awori Ojo, Lagos</t>
  </si>
  <si>
    <t>08030635990</t>
  </si>
  <si>
    <t>24th March, 2022</t>
  </si>
  <si>
    <t>GEMINI PHARMACEUTICALS NIGERIA LTD</t>
  </si>
  <si>
    <t>Plot 13, Block A, Industrial Estate Amuwo Odofin, Apapa Oshodi Expressway, Lagos</t>
  </si>
  <si>
    <t>08023535173</t>
  </si>
  <si>
    <t>CAPA submitted on June 15th, 2022</t>
  </si>
  <si>
    <t>https://nafdacng.sharepoint.com/sites/PMSLAGOS/Shared Documents/GSDP (GOOD STORAGE AND DISTRIBUTION PRACTICE)/GSDP COMPANY FILES\GEMININI PHARMACEUTICALS NIG LTD</t>
  </si>
  <si>
    <t>EMZOR PHARMACEUTICAL INDUSTRIES LTD</t>
  </si>
  <si>
    <t>Km 42, Lekki-Epe Expressway, Oribanwa Bus-Stop, Lakowe, Ibeju Lekki, Lagos</t>
  </si>
  <si>
    <t>08034749100</t>
  </si>
  <si>
    <t>26th April, 2022</t>
  </si>
  <si>
    <t>Low-Risk (A)</t>
  </si>
  <si>
    <t>15th may 2022</t>
  </si>
  <si>
    <t>CAPA submitted on February 15th, 2023</t>
  </si>
  <si>
    <t>https://nafdacng.sharepoint.com/sites/PMSLAGOS/Shared Documents/GSDP (GOOD STORAGE AND DISTRIBUTION PRACTICE)/GSDP COMPANY FILES\EMZOR PHARMACEUTICALS</t>
  </si>
  <si>
    <t>SAFCO MEGA SOLUTION LTD</t>
  </si>
  <si>
    <t>Plot 6A, Ogombe Road, Off Lekki Expressway, Lagos</t>
  </si>
  <si>
    <t>08034243222</t>
  </si>
  <si>
    <t>CAPA submitted June 21st, 2022</t>
  </si>
  <si>
    <t>https://nafdacng.sharepoint.com/sites/PMSLAGOS/Shared Documents/GSDP (GOOD STORAGE AND DISTRIBUTION PRACTICE)/GSDP COMPANY FILES\SAFCO MEGA SOLUTION LTD</t>
  </si>
  <si>
    <t>ELFIMO PHARMACY LTD</t>
  </si>
  <si>
    <t>Shop H94, Ikota Shopping Complex, Lekki, Lagos.</t>
  </si>
  <si>
    <t>08022904546</t>
  </si>
  <si>
    <t>18th January 2022</t>
  </si>
  <si>
    <t>CAPA submitted June 10th, 2022</t>
  </si>
  <si>
    <t>https://nafdacng.sharepoint.com/sites/PMSLAGOS/Shared Documents/GSDP (GOOD STORAGE AND DISTRIBUTION PRACTICE)/GSDP COMPANY FILES\ELFIMO PHARMACY LTD</t>
  </si>
  <si>
    <t>ANOBS PHARMACY &amp; STORES LTD</t>
  </si>
  <si>
    <t>1, Karim Str., Shibiri, Ojo, Lagos</t>
  </si>
  <si>
    <t>08032614939;  08033799283</t>
  </si>
  <si>
    <t>June 9th, 2022</t>
  </si>
  <si>
    <t>24/06/22</t>
  </si>
  <si>
    <t>https://nafdacng.sharepoint.com/sites/PMSLAGOS/Shared Documents/GSDP (GOOD STORAGE AND DISTRIBUTION PRACTICE)/GSDP COMPANY FILES\ANOBS PHARMACY AND STORES LIMITED</t>
  </si>
  <si>
    <t>ALL ROUND HEALTH LTD</t>
  </si>
  <si>
    <t>96, Isashi Road, Oluwaseyi B/Stop, Iyana Isashi, Lagos</t>
  </si>
  <si>
    <t>07036371437; 08037162967</t>
  </si>
  <si>
    <t>June 10th, 2022</t>
  </si>
  <si>
    <t>21/09/22</t>
  </si>
  <si>
    <t>CAPA submitted 14th, March, 2023</t>
  </si>
  <si>
    <t>https://nafdacng.sharepoint.com/sites/PMSLAGOS/Shared Documents/GSDP (GOOD STORAGE AND DISTRIBUTION PRACTICE)/GSDP COMPANY FILES\ALL ROUND PHARMACY</t>
  </si>
  <si>
    <t>OCICAN PHARMACY &amp; STORES LTD.</t>
  </si>
  <si>
    <t>38, Kembiri Str.,Okokomaiko, Lagos</t>
  </si>
  <si>
    <t>08060298310; 08166520280</t>
  </si>
  <si>
    <t>The company should formally inform PCN and NAFDAC about the decision to shut down the facility.</t>
  </si>
  <si>
    <t>MEMO SHOULD BE SENT TO PCN</t>
  </si>
  <si>
    <t>https://nafdacng.sharepoint.com/sites/PMSLAGOS/Shared Documents/GSDP (GOOD STORAGE AND DISTRIBUTION PRACTICE)/GSDP COMPANY FILES\OCICAN PHARMACY &amp; STORES</t>
  </si>
  <si>
    <t>ALL SAINTS PHARM &amp; ALLIED PROD. INT’L LTD.</t>
  </si>
  <si>
    <t>16, Kajola Str., Ilogbo, Ajangbadi, Lagos</t>
  </si>
  <si>
    <t>08131673896; 08118665610</t>
  </si>
  <si>
    <t>June 14th, 2022</t>
  </si>
  <si>
    <t>https://nafdacng.sharepoint.com/sites/PMSLAGOS/Shared Documents/GSDP (GOOD STORAGE AND DISTRIBUTION PRACTICE)/GSDP COMPANY FILES\ALL SAINTS PHARM</t>
  </si>
  <si>
    <t xml:space="preserve">ANGANS PHARMACY </t>
  </si>
  <si>
    <t>79, Oba Ogoriola Street, Iba New Site, Iba, Lagos</t>
  </si>
  <si>
    <t>08136648581; 08033728845</t>
  </si>
  <si>
    <t>June 15th, 2022</t>
  </si>
  <si>
    <t>https://nafdacng.sharepoint.com/sites/PMSLAGOS/Shared Documents/GSDP (GOOD STORAGE AND DISTRIBUTION PRACTICE)/GSDP COMPANY FILES\ANGANS PHARMACY</t>
  </si>
  <si>
    <t>CEEMMAX PHARMACEUTICALS LTD</t>
  </si>
  <si>
    <t xml:space="preserve">18, Liasu Street, Igbo-Elerin, Iba, Lagos </t>
  </si>
  <si>
    <t xml:space="preserve">08052058800; 08063883661 </t>
  </si>
  <si>
    <t>https://nafdacng.sharepoint.com/sites/PMSLAGOS/Shared Documents/GSDP (GOOD STORAGE AND DISTRIBUTION PRACTICE)/GSDP COMPANY FILES\CEEMMAX PHARMACEUTICALS LTD</t>
  </si>
  <si>
    <t>HEPHZEBAH PHARM &amp; ALLIED PRODUCTS LTD</t>
  </si>
  <si>
    <t>2, Iyana Isashi Road.Okokomaiko, Lagos</t>
  </si>
  <si>
    <t>07030567572; 08037182557</t>
  </si>
  <si>
    <t>https://nafdacng.sharepoint.com/sites/PMSLAGOS/Shared Documents/GSDP (GOOD STORAGE AND DISTRIBUTION PRACTICE)/GSDP COMPANY FILES\HEPHZEBAH PHARM &amp; ALLIED PRODUCTS LTD</t>
  </si>
  <si>
    <t>MEEK MEDICAL CO. NIG. LTD</t>
  </si>
  <si>
    <t>64a, Ojo Igede Rd., Ojo, Lagos</t>
  </si>
  <si>
    <t>08030541298; 08037251955</t>
  </si>
  <si>
    <t>June 16th, 2022</t>
  </si>
  <si>
    <t>https://nafdacng.sharepoint.com/sites/PMSLAGOS/Shared Documents/GSDP (GOOD STORAGE AND DISTRIBUTION PRACTICE)/GSDP COMPANY FILES\MEEK MEDICAL CO. NIG LTD</t>
  </si>
  <si>
    <t>B-EMMANUEL PHARMACY</t>
  </si>
  <si>
    <t>13, Akinwunmi Str., Mushin, Lagos</t>
  </si>
  <si>
    <t>07069227731;   08037215675</t>
  </si>
  <si>
    <t>June 20th, 2022</t>
  </si>
  <si>
    <t>https://nafdacng.sharepoint.com/sites/PMSLAGOS/Shared Documents/GSDP (GOOD STORAGE AND DISTRIBUTION PRACTICE)/GSDP COMPANY FILES\B-EMMANUEL</t>
  </si>
  <si>
    <t>KRISPHINA PHARMACEUTICAL LTD</t>
  </si>
  <si>
    <t>44, Abiodun Str.,      Mushin, Lagos</t>
  </si>
  <si>
    <t>08064065588; 08179314379; 08179401376</t>
  </si>
  <si>
    <t>https://nafdacng.sharepoint.com/sites/PMSLAGOS/Shared Documents/GSDP (GOOD STORAGE AND DISTRIBUTION PRACTICE)/GSDP COMPANY FILES/KRISPHINA</t>
  </si>
  <si>
    <t>C.U. PEDRO PHARM. NIG. LTD</t>
  </si>
  <si>
    <t>11, Kelani Str., 
Off LUTH Rd, 
Mushin, Lagos</t>
  </si>
  <si>
    <t xml:space="preserve">07033269426; 09064888330 </t>
  </si>
  <si>
    <t>https://nafdacng.sharepoint.com/sites/PMSLAGOS/Shared Documents/GSDP (GOOD STORAGE AND DISTRIBUTION PRACTICE)/GSDP COMPANY FILES\CU PEDRO</t>
  </si>
  <si>
    <t>JUDE THADDY PHARMACY</t>
  </si>
  <si>
    <t>31, Oloje Street, Papa Ajao, Mushin, Lagos</t>
  </si>
  <si>
    <t>08039361119; 08038368689;</t>
  </si>
  <si>
    <t>https://nafdacng.sharepoint.com/sites/PMSLAGOS/Shared Documents/GSDP (GOOD STORAGE AND DISTRIBUTION PRACTICE)/GSDP COMPANY FILES\JUDE THADDY PHARMACY</t>
  </si>
  <si>
    <t>FRANPHINO PHARMACEUTICAL NIG. LTD</t>
  </si>
  <si>
    <t>44, Mosalashi Str., 
Mushin, Lagos</t>
  </si>
  <si>
    <t>08037560698; 08033020738; 08103503805</t>
  </si>
  <si>
    <t>June 21st, 2022</t>
  </si>
  <si>
    <t>https://nafdacng.sharepoint.com/sites/PMSLAGOS/Shared Documents/GSDP (GOOD STORAGE AND DISTRIBUTION PRACTICE)/GSDP COMPANY FILES\FRANPHINO PHARMACEUTICAL NIG LTD</t>
  </si>
  <si>
    <t>CHIDO PHARMACY</t>
  </si>
  <si>
    <t>37, Isolo Road,     Mushin, Lagos</t>
  </si>
  <si>
    <t>09079645535; 08039204656</t>
  </si>
  <si>
    <t>CAPA submitted on 10th February, 2023</t>
  </si>
  <si>
    <t>https://nafdacng.sharepoint.com/sites/PMSLAGOS/Shared Documents/GSDP (GOOD STORAGE AND DISTRIBUTION PRACTICE)/GSDP COMPANY FILES\CHARITY NWAIZU PHARM. CO. NIG. LTD</t>
  </si>
  <si>
    <t>DARUCHI PRODUCTS LTD</t>
  </si>
  <si>
    <t>81, Agege Motor Rd., Idi-Oro, Mushin, Lagos</t>
  </si>
  <si>
    <t>08033151343</t>
  </si>
  <si>
    <t>https://nafdacng.sharepoint.com/sites/PMSLAGOS/Shared Documents/GSDP (GOOD STORAGE AND DISTRIBUTION PRACTICE)/GSDP COMPANY FILES\DARUCH PHARMACY</t>
  </si>
  <si>
    <t>SABIZ NIG. LTD</t>
  </si>
  <si>
    <t>23, Adeyemi Street, Oshodi, Lagos</t>
  </si>
  <si>
    <t xml:space="preserve">07031840002; 08033022906 </t>
  </si>
  <si>
    <t>Sept 5th, 2022</t>
  </si>
  <si>
    <t>27/10/22</t>
  </si>
  <si>
    <t>CAPA submitted on 12th January, 2023</t>
  </si>
  <si>
    <t>https://nafdacng.sharepoint.com/sites/PMSLAGOS/Shared Documents/GSDP (GOOD STORAGE AND DISTRIBUTION PRACTICE)/GSDP COMPANY FILES\SABIZ PHARMACEUTICAL NIG LTD</t>
  </si>
  <si>
    <t>FENOMAS PHARM. NIG. LTD</t>
  </si>
  <si>
    <t>41, Daodu Street, Oshodi, Lagos</t>
  </si>
  <si>
    <t>08029943111; 09030503955</t>
  </si>
  <si>
    <t>https://nafdacng.sharepoint.com/sites/PMSLAGOS/Shared Documents/GSDP (GOOD STORAGE AND DISTRIBUTION PRACTICE)/GSDP COMPANY FILES\FENOMAS PHARMCEUTICAL NIG LTD</t>
  </si>
  <si>
    <t>U-N PHARMA SOLUTION LTD</t>
  </si>
  <si>
    <t>16 Church Street, Jakande Estate, Oke-Afa, Isolo, Lagos</t>
  </si>
  <si>
    <t>07066634629; 08106744910</t>
  </si>
  <si>
    <t>CAPA submitted on 25th November, 2022</t>
  </si>
  <si>
    <t>https://nafdacng.sharepoint.com/sites/PMSLAGOS/Shared Documents/GSDP (GOOD STORAGE AND DISTRIBUTION PRACTICE)/GSDP COMPANY FILES\U-N PHARMA SOLUTION LTD</t>
  </si>
  <si>
    <t>MULTICHARIS PHARM. &amp; CHEM. CO. LTD</t>
  </si>
  <si>
    <t>13, Qudus Folawiyo Str., Off Asiriabo Str., Isolo, Lagos</t>
  </si>
  <si>
    <t xml:space="preserve">08034316978; 08033072447 </t>
  </si>
  <si>
    <t>https://nafdacng.sharepoint.com/sites/PMSLAGOS/Shared Documents/GSDP (GOOD STORAGE AND DISTRIBUTION PRACTICE)/GSDP COMPANY FILES\MULTICHARIS PHARMACY &amp; CHEM</t>
  </si>
  <si>
    <t>ANTHILL INVESTMENTS LTD.</t>
  </si>
  <si>
    <t>3, Adekunle Akala Str., Ajao Est., Lagos</t>
  </si>
  <si>
    <t>NA</t>
  </si>
  <si>
    <t>FACILITY NOT FOUND</t>
  </si>
  <si>
    <t>A.F. UCHENNA PHARMACY LIMITED</t>
  </si>
  <si>
    <t>6, Aderinto Street, Isolo, Lagos</t>
  </si>
  <si>
    <t>07063838092; 08033057113</t>
  </si>
  <si>
    <t>CAPA submitted on January 12th, 2023</t>
  </si>
  <si>
    <t>https://nafdacng.sharepoint.com/sites/PMSLAGOS/Shared Documents/GSDP (GOOD STORAGE AND DISTRIBUTION PRACTICE)/GSDP COMPANY FILES/AF-UCHENNA PHARM</t>
  </si>
  <si>
    <t>MEEKY MOORE PHARM. LTD</t>
  </si>
  <si>
    <t>33, Akanni Showunmi Street, Mafoluku, Lagos.</t>
  </si>
  <si>
    <t>08034154424</t>
  </si>
  <si>
    <t>https://nafdacng.sharepoint.com/sites/PMSLAGOS/Shared Documents/GSDP (GOOD STORAGE AND DISTRIBUTION PRACTICE)/GSDP COMPANY FILES\MEEKY MORE PHARM LTD</t>
  </si>
  <si>
    <t>BRIGHT MEX PHARM. LTD</t>
  </si>
  <si>
    <t>47, Makinde Str., Mafoluku, Lagos</t>
  </si>
  <si>
    <t>08138540522; 08026186745</t>
  </si>
  <si>
    <t>CAPA submitted on December 12th, 2022</t>
  </si>
  <si>
    <t>https://nafdacng.sharepoint.com/sites/PMSLAGOS/Shared Documents/GSDP (GOOD STORAGE AND DISTRIBUTION PRACTICE)/GSDP COMPANY FILES\BRIGHT MEX</t>
  </si>
  <si>
    <t>JTL PHARMACEUTICAL CO. LTD</t>
  </si>
  <si>
    <t xml:space="preserve">8, Okuneye Street, off Pedro, 
Palmgrove, Lagos
</t>
  </si>
  <si>
    <t>08060201188</t>
  </si>
  <si>
    <t>Sept 6th, 2022</t>
  </si>
  <si>
    <t>https://nafdacng.sharepoint.com/sites/PMSLAGOS/Shared Documents/GSDP (GOOD STORAGE AND DISTRIBUTION PRACTICE)/GSDP COMPANY FILES\JTL PHARMACEUTICAL AND CO LTD</t>
  </si>
  <si>
    <t>MDS PHARMA LOGISTICS</t>
  </si>
  <si>
    <t>2, Ajao Rd., Off Adeniyi Jones, Ikeja, Lagos</t>
  </si>
  <si>
    <t>08069755150</t>
  </si>
  <si>
    <t>CAPA submitted on December 5th, 2022</t>
  </si>
  <si>
    <t>https://nafdacng.sharepoint.com/sites/PMSLAGOS/Shared Documents/GSDP (GOOD STORAGE AND DISTRIBUTION PRACTICE)/GSDP COMPANY FILES\MDS PHARMA LOGISTICS</t>
  </si>
  <si>
    <t>KEDOL HEALTH LTD</t>
  </si>
  <si>
    <t xml:space="preserve"> 94, Obafemi Awolowo Way, Ikeja, Lagos</t>
  </si>
  <si>
    <t>08033295298</t>
  </si>
  <si>
    <t>CAPA submitted on February 6th, 2023</t>
  </si>
  <si>
    <t>https://nafdacng.sharepoint.com/sites/PMSLAGOS/Shared Documents/GSDP (GOOD STORAGE AND DISTRIBUTION PRACTICE)/GSDP COMPANY FILES\KEDOL HEALTH PHARMACY</t>
  </si>
  <si>
    <t>ALLWAYS PHARMACY &amp; STORES LTD</t>
  </si>
  <si>
    <t>17, Ikosi Road, Oregun Industrial Est., Ikeja</t>
  </si>
  <si>
    <t>08060543578</t>
  </si>
  <si>
    <t>https://nafdacng.sharepoint.com/sites/PMSLAGOS/Shared Documents/GSDP (GOOD STORAGE AND DISTRIBUTION PRACTICE)/GSDP COMPANY FILES\ALLWAYS PHARMACY</t>
  </si>
  <si>
    <t>ABIROT PHARMA LTD.</t>
  </si>
  <si>
    <t>10, Mojidi Str., Off Unity Rd., Ikeja, Lagos</t>
  </si>
  <si>
    <t>08085599555</t>
  </si>
  <si>
    <t>Sept 7th, 2022</t>
  </si>
  <si>
    <t>Business is no longer in operations.</t>
  </si>
  <si>
    <t>https://nafdacng.sharepoint.com/sites/PMSLAGOS/Shared Documents/GSDP (GOOD STORAGE AND DISTRIBUTION PRACTICE)/GSDP COMPANY FILES\ABIROT</t>
  </si>
  <si>
    <t>AKU-UDO PHARMACY</t>
  </si>
  <si>
    <t>2, Segilola Street, Agege, Lagos</t>
  </si>
  <si>
    <t>08033279522;</t>
  </si>
  <si>
    <t>https://nafdacng.sharepoint.com/sites/PMSLAGOS/Shared Documents/GSDP (GOOD STORAGE AND DISTRIBUTION PRACTICE)/GSDP COMPANY FILES\AKU-UDO PHARMACY</t>
  </si>
  <si>
    <t>CA &amp; JO COMPANY LTD</t>
  </si>
  <si>
    <t>1, Alfa Nla Capitol Road, Agege, Lagos</t>
  </si>
  <si>
    <t>08139106555</t>
  </si>
  <si>
    <t>CAPA submitted on December 13th, 2022</t>
  </si>
  <si>
    <t>https://nafdacng.sharepoint.com/sites/PMSLAGOS/Shared Documents/GSDP (GOOD STORAGE AND DISTRIBUTION PRACTICE)/GSDP COMPANY FILES\CA AND JO PHARMACY</t>
  </si>
  <si>
    <t>JUDEX CHAMP PHARMACY &amp; STORES</t>
  </si>
  <si>
    <t xml:space="preserve">25, Adeyemi Street, 
Agege, Lagos
</t>
  </si>
  <si>
    <t>08033032468</t>
  </si>
  <si>
    <t>https://nafdacng.sharepoint.com/sites/PMSLAGOS/Shared Documents/GSDP (GOOD STORAGE AND DISTRIBUTION PRACTICE)/GSDP COMPANY FILES\JUDEX CHAMP PHARMACY</t>
  </si>
  <si>
    <t>CHARITY NWAIZU PHARM. CO. LTD</t>
  </si>
  <si>
    <t xml:space="preserve">71, Capitol Road, 
Agege, Lagos 
</t>
  </si>
  <si>
    <t>08134337863</t>
  </si>
  <si>
    <t>O.T.S. UNITED NIG. LTD</t>
  </si>
  <si>
    <t xml:space="preserve">2, Ayige Street, 
Orile-Agege, Lagos 
</t>
  </si>
  <si>
    <t>07065201033; 08180985654</t>
  </si>
  <si>
    <t>https://nafdacng.sharepoint.com/sites/PMSLAGOS/Shared Documents/GSDP (GOOD STORAGE AND DISTRIBUTION PRACTICE)/GSDP COMPANY FILES\OTS UNITED NIG LTD</t>
  </si>
  <si>
    <t>AZU PHARMACY LTD</t>
  </si>
  <si>
    <t xml:space="preserve">112, Ipaja Road, 
Alimosho, Lagos 
</t>
  </si>
  <si>
    <t>07033310202</t>
  </si>
  <si>
    <t>Sept 8th, 2022</t>
  </si>
  <si>
    <t>https://nafdacng.sharepoint.com/sites/PMSLAGOS/Shared Documents/GSDP (GOOD STORAGE AND DISTRIBUTION PRACTICE)/GSDP COMPANY FILES\AZU PHARMACY LTD</t>
  </si>
  <si>
    <t>ATIDAM PHARM. LTD</t>
  </si>
  <si>
    <t xml:space="preserve">1, Olayiwola Street, 
Off Charity Bus Stop, 
New Oko-Oba, Lagos
</t>
  </si>
  <si>
    <t>08039510463; 08033378445</t>
  </si>
  <si>
    <t>https://nafdacng.sharepoint.com/sites/PMSLAGOS/Shared Documents/GSDP (GOOD STORAGE AND DISTRIBUTION PRACTICE)/GSDP COMPANY FILES\ATIDAM</t>
  </si>
  <si>
    <t>BOLUKE PHARMACY</t>
  </si>
  <si>
    <t xml:space="preserve">60, Old Abeokuta Motor Road,
Agege, Lagos.
</t>
  </si>
  <si>
    <t>07061902283; 08051312824</t>
  </si>
  <si>
    <t>https://nafdacng.sharepoint.com/sites/PMSLAGOS/Shared Documents/GSDP (GOOD STORAGE AND DISTRIBUTION PRACTICE)/GSDP COMPANY FILES\BOLUKE PHARMACY</t>
  </si>
  <si>
    <t>ONEC PHARM. &amp; CHEM. CO. LTD</t>
  </si>
  <si>
    <t xml:space="preserve">6, Agbado Road,
Iju Ishaga, Agege,
Lagos.
</t>
  </si>
  <si>
    <t>08083886817</t>
  </si>
  <si>
    <t>CAPA submitted on December 6th, 2022</t>
  </si>
  <si>
    <t>https://nafdacng.sharepoint.com/sites/PMSLAGOS/Shared Documents/GSDP (GOOD STORAGE AND DISTRIBUTION PRACTICE)/GSDP COMPANY FILES\ONEC PHARM AND CHEM CO. LTD</t>
  </si>
  <si>
    <t>VICTORIOUS PHARMACY</t>
  </si>
  <si>
    <t xml:space="preserve">21 Old Oko Oba Road,
Orile-Agege, Lagos 
</t>
  </si>
  <si>
    <t>08138045214</t>
  </si>
  <si>
    <t>https://nafdacng.sharepoint.com/sites/PMSLAGOS/Shared Documents/GSDP (GOOD STORAGE AND DISTRIBUTION PRACTICE)/GSDP COMPANY FILES\VICTORIOUS PHARMACY LTD</t>
  </si>
  <si>
    <t>EZEUDO PHARMACY LTD</t>
  </si>
  <si>
    <t xml:space="preserve">54, Ogba Road,
Agege, Lagos
</t>
  </si>
  <si>
    <t>07038043035; 08023069540</t>
  </si>
  <si>
    <t>https://nafdacng.sharepoint.com/sites/PMSLAGOS/Shared Documents/GSDP (GOOD STORAGE AND DISTRIBUTION PRACTICE)/GSDP COMPANY FILES\EZEUDO PHARM LTD</t>
  </si>
  <si>
    <t>MEDITRADE NIG. LTD</t>
  </si>
  <si>
    <t xml:space="preserve">3 Salawu Street,
Olodi Apapa,
Apapa, Lagos.
</t>
  </si>
  <si>
    <t>07069634359</t>
  </si>
  <si>
    <t>Sept 9th, 2022</t>
  </si>
  <si>
    <t>https://nafdacng.sharepoint.com/sites/PMSLAGOS/Shared Documents/GSDP (GOOD STORAGE AND DISTRIBUTION PRACTICE)/GSDP COMPANY FILES\MEDITRADE NIG LTD</t>
  </si>
  <si>
    <t>MERCED PHARM. &amp; STORES</t>
  </si>
  <si>
    <t>36/60 OSHO DRIVE, OLODI APAPA, APAPA, LAGOS</t>
  </si>
  <si>
    <t>07062171433</t>
  </si>
  <si>
    <t>Facility should submit letter that formally informs PCN about their decision to change to a retail facility and notify the Agency officially.</t>
  </si>
  <si>
    <t>NIGERIAN AIRFORCE DRUG MANUFACTURING UNIT</t>
  </si>
  <si>
    <t xml:space="preserve">Airforce Base, Ikeja, Lagos State </t>
  </si>
  <si>
    <t>08035249622</t>
  </si>
  <si>
    <t>Oct 6th, 2022</t>
  </si>
  <si>
    <t>CAPA submitted on 30th January, 2023</t>
  </si>
  <si>
    <t>https://nafdacng.sharepoint.com/sites/PMSLAGOS/Shared Documents/GSDP (GOOD STORAGE AND DISTRIBUTION PRACTICE)/GSDP COMPANY FILES\NIGERIA AIRFORCE DRUG MANUFACTURING UNIT</t>
  </si>
  <si>
    <t>TOTAL = 54</t>
  </si>
  <si>
    <t xml:space="preserve"> </t>
  </si>
  <si>
    <t>GDP INSPECTION CLASSIFICATION DATA BASE AS AT 2023</t>
  </si>
  <si>
    <t>OMPANY FILE</t>
  </si>
  <si>
    <t>MECURE INDUSTRIES LTD</t>
  </si>
  <si>
    <t>Plot 6, Block H, Apapa Oshodi Expressway, Oshodi, Lagos</t>
  </si>
  <si>
    <t>0700632873</t>
  </si>
  <si>
    <t>31st march 2023</t>
  </si>
  <si>
    <t>CAPA Submited</t>
  </si>
  <si>
    <t>CAPA VERIFICATION SHOULD BE SCHEDULED</t>
  </si>
  <si>
    <t>https://nafdacng.sharepoint.com/sites/PMSLAGOS/Shared Documents/GSDP (GOOD STORAGE AND DISTRIBUTION PRACTICE)/GSDP COMPANY FILES\MECURE IND. LTD</t>
  </si>
  <si>
    <t>GENEITH PHARMACEUTICALS</t>
  </si>
  <si>
    <t>12, Adewale Crescent, Oshodi, Lagos</t>
  </si>
  <si>
    <t>08122912281</t>
  </si>
  <si>
    <t>https://nafdacng.sharepoint.com/sites/PMSLAGOS/Shared Documents/GSDP (GOOD STORAGE AND DISTRIBUTION PRACTICE)/GSDP COMPANY FILES\GENEITH PHARM. LTD</t>
  </si>
  <si>
    <t>ONWUADI &amp; SONS LTD</t>
  </si>
  <si>
    <t>11, Achakpo Street, Ajegunle, Lagos</t>
  </si>
  <si>
    <t>08028642459</t>
  </si>
  <si>
    <t>4th April 2023</t>
  </si>
  <si>
    <t>https://nafdacng.sharepoint.com/sites/PMSLAGOS/Shared Documents/GSDP (GOOD STORAGE AND DISTRIBUTION PRACTICE)/GSDP COMPANY FILES\ONWUADI AND SONS LTD</t>
  </si>
  <si>
    <t>MODDY DRUG CO. LTD</t>
  </si>
  <si>
    <t>93, Baale Street, Ajegunle, Lagos</t>
  </si>
  <si>
    <t>0802306320</t>
  </si>
  <si>
    <t>CAPA to be Submited</t>
  </si>
  <si>
    <t>https://nafdacng.sharepoint.com/sites/PMSLAGOS/Shared Documents/GSDP (GOOD STORAGE AND DISTRIBUTION PRACTICE)/GSDP COMPANY FILES\MOODY DRUGS CO. LTD</t>
  </si>
  <si>
    <t xml:space="preserve">JUMENCO PHARMACEUTICAL </t>
  </si>
  <si>
    <t>52, Ladega Street, Ikorodu,Lagos</t>
  </si>
  <si>
    <t>08065232177</t>
  </si>
  <si>
    <t>14/02/2023</t>
  </si>
  <si>
    <t>https://nafdacng.sharepoint.com/sites/PMSLAGOS/Shared Documents/GSDP (GOOD STORAGE AND DISTRIBUTION PRACTICE)/GSDP COMPANY FILES\JUMENCO PHARMACEUTICALS LTD</t>
  </si>
  <si>
    <t>ANOKEM PHARMACEUTICALS</t>
  </si>
  <si>
    <t>58,Eluku Street,Ikorodu, Lagos</t>
  </si>
  <si>
    <t>07017691325</t>
  </si>
  <si>
    <t>https://nafdacng.sharepoint.com/sites/PMSLAGOS/Shared Documents/GSDP (GOOD STORAGE AND DISTRIBUTION PRACTICE)/GSDP COMPANY FILES\ANOKEM PHARM. LTD</t>
  </si>
  <si>
    <t>RALPHONES PHARMACEUTICAL</t>
  </si>
  <si>
    <t>1 Ralphone Lane,Irawo ajegunle,ikorodu,Lagos</t>
  </si>
  <si>
    <t>08037588238</t>
  </si>
  <si>
    <t>https://nafdacng.sharepoint.com/sites/PMSLAGOS/Shared Documents/GSDP (GOOD STORAGE AND DISTRIBUTION PRACTICE)/GSDP COMPANY FILES\RALPHONES PHARMACEUTICAL LTD</t>
  </si>
  <si>
    <t>LUGZ PHARMACEUTICAL</t>
  </si>
  <si>
    <t xml:space="preserve">58,Lagos Rd,Opp UBA,Ikorodu, Lagos </t>
  </si>
  <si>
    <t>08093955361  08148337773</t>
  </si>
  <si>
    <t>https://nafdacng.sharepoint.com/sites/PMSLAGOS/Shared Documents/GSDP (GOOD STORAGE AND DISTRIBUTION PRACTICE)/GSDP COMPANY FILES\LUGZ PHARMACY</t>
  </si>
  <si>
    <t xml:space="preserve">LADAMOS PHARMACY </t>
  </si>
  <si>
    <t>2, Adenaike Alagbe Street , Ikorodu, Lagos</t>
  </si>
  <si>
    <t>08033885195</t>
  </si>
  <si>
    <t xml:space="preserve">High-Risk (C)    </t>
  </si>
  <si>
    <t>They were not issued cd</t>
  </si>
  <si>
    <t>GOODCARE PHARMACEUTICAL</t>
  </si>
  <si>
    <t>11, sawo Road,Agric,Ikorodu,Lagos</t>
  </si>
  <si>
    <t>08064266572</t>
  </si>
  <si>
    <t>15/02/2023</t>
  </si>
  <si>
    <t>https://nafdacng.sharepoint.com/sites/PMSLAGOS/Shared Documents/GSDP (GOOD STORAGE AND DISTRIBUTION PRACTICE)/GSDP COMPANY FILES\GOODCARE</t>
  </si>
  <si>
    <t>PATVICS PHARMACEUTICAL</t>
  </si>
  <si>
    <t>603, Ikorodu Road, Mile 12, Lagos</t>
  </si>
  <si>
    <t>08033927269</t>
  </si>
  <si>
    <t>https://nafdacng.sharepoint.com/sites/PMSLAGOS/Shared Documents/GSDP (GOOD STORAGE AND DISTRIBUTION PRACTICE)/GSDP COMPANY FILES\PATVICS LTD</t>
  </si>
  <si>
    <t>KOJOS PHARMACY</t>
  </si>
  <si>
    <t>5, Oju Emuren Street, Odogunyan, Ikorodu</t>
  </si>
  <si>
    <t>08073823496</t>
  </si>
  <si>
    <t>https://nafdacng.sharepoint.com/sites/PMSLAGOS/Shared Documents/GSDP (GOOD STORAGE AND DISTRIBUTION PRACTICE)/GSDP COMPANY FILES\KOJOS PHARMACY LTD</t>
  </si>
  <si>
    <t>VIXA PHARMACEUTICALS</t>
  </si>
  <si>
    <t>13B, Sunday Jigida street, off celestical way,ogudu, lagos</t>
  </si>
  <si>
    <t>07082004139</t>
  </si>
  <si>
    <t>SWIPHA NIGERIA</t>
  </si>
  <si>
    <t>5, Dopemu road, depemu Lagos</t>
  </si>
  <si>
    <t>08146679976</t>
  </si>
  <si>
    <t>16/02/2023</t>
  </si>
  <si>
    <t>https://nafdacng.sharepoint.com/sites/PMSLAGOS/Shared Documents/GSDP (GOOD STORAGE AND DISTRIBUTION PRACTICE)/GSDP COMPANY FILES\SWIPHA NIG. LTD</t>
  </si>
  <si>
    <t>BJ CHOICE PHARM</t>
  </si>
  <si>
    <t xml:space="preserve">1, Okenube Last Bus Stop, Ikotun Lagos </t>
  </si>
  <si>
    <t>08033204754</t>
  </si>
  <si>
    <t>CAPA  to be Submited</t>
  </si>
  <si>
    <t>https://nafdacng.sharepoint.com/sites/PMSLAGOS/Shared Documents/GSDP (GOOD STORAGE AND DISTRIBUTION PRACTICE)/GSDP COMPANY FILES\BJ CHOICE PHARM. LTD</t>
  </si>
  <si>
    <t>PAKEN VENTURES</t>
  </si>
  <si>
    <t>294, Idimu Road, Ikotun-Egbeda</t>
  </si>
  <si>
    <t>08103961314</t>
  </si>
  <si>
    <t>https://nafdacng.sharepoint.com/sites/PMSLAGOS/Shared Documents/GSDP (GOOD STORAGE AND DISTRIBUTION PRACTICE)/GSDP COMPANY FILES\PAKEN VENTURES LTD</t>
  </si>
  <si>
    <t xml:space="preserve">HENBOSCO PHARMACY </t>
  </si>
  <si>
    <t>195, Abeokuta Exp. Way, Iyana Ipaja</t>
  </si>
  <si>
    <t>08099916512</t>
  </si>
  <si>
    <t>17/02/2023</t>
  </si>
  <si>
    <t>https://nafdacng.sharepoint.com/sites/PMSLAGOS/Shared Documents/GSDP (GOOD STORAGE AND DISTRIBUTION PRACTICE)/GSDP COMPANY FILES\HENBOSCO PHARMACY LTD</t>
  </si>
  <si>
    <t>LYNDUS PHARMACY LTD</t>
  </si>
  <si>
    <t>9 Akesan Rd, Egan, by Nepa, Igando, Alimosho, Lagos</t>
  </si>
  <si>
    <t>08137719998                08037138148</t>
  </si>
  <si>
    <t>21/02/2023</t>
  </si>
  <si>
    <t>https://nafdacng.sharepoint.com/sites/PMSLAGOS/Shared Documents/GSDP (GOOD STORAGE AND DISTRIBUTION PRACTICE)/GSDP COMPANY FILES\LYNDUS PHARMACY LTD</t>
  </si>
  <si>
    <t>ROM CHIDECK PHARM. LTD</t>
  </si>
  <si>
    <t>4, Disusts, Isheri, Oshun, Alem, Lagos .</t>
  </si>
  <si>
    <t>07018687107</t>
  </si>
  <si>
    <t>https://nafdacng.sharepoint.com/sites/PMSLAGOS/Shared%20Documents/GDP%20(GOOD%20DISTRIBUTION%20PRATICE)/GSDP%20COMPANY%20FILES\ROM-CHIDEK</t>
  </si>
  <si>
    <t xml:space="preserve">JUVYWAY PHARMCY CO.LTD </t>
  </si>
  <si>
    <t xml:space="preserve">57,Alimosho Road,Iyana- Ipaja, Lagos </t>
  </si>
  <si>
    <t>08133295836</t>
  </si>
  <si>
    <t>22/02/2023</t>
  </si>
  <si>
    <t>https://nafdacng.sharepoint.com/sites/PMSLAGOS/Shared Documents/GSDP (GOOD STORAGE AND DISTRIBUTION PRACTICE)/GSDP COMPANY FILES\JUVYWAY PHARMACY</t>
  </si>
  <si>
    <t xml:space="preserve">EVERSHINE PHARMACEUTICAL NIG LTD </t>
  </si>
  <si>
    <t xml:space="preserve">41, Amoke Alasala Street, Iyana- Ipaja, Lagos </t>
  </si>
  <si>
    <t>08061290502</t>
  </si>
  <si>
    <t>https://nafdacng.sharepoint.com/sites/PMSLAGOS/Shared Documents/GSDP (GOOD STORAGE AND DISTRIBUTION PRACTICE)/GSDP COMPANY FILES\EVERSHINE PHARMA NIG LTD</t>
  </si>
  <si>
    <t xml:space="preserve">
FRANKEY NIG.LTD </t>
  </si>
  <si>
    <t>9, Victor Fagbami street,Iyana- Ipaja, Lagos .</t>
  </si>
  <si>
    <t>08033012635</t>
  </si>
  <si>
    <t>https://nafdacng.sharepoint.com/sites/PMSLAGOS/Shared Documents/GSDP (GOOD STORAGE AND DISTRIBUTION PRACTICE)/GSDP COMPANY FILES/FRANKCY NIG LTD</t>
  </si>
  <si>
    <t>GOD IS GREAT PHARMACY</t>
  </si>
  <si>
    <t xml:space="preserve">1,Kola Ogunwale, Off Iyana Ipaja Lagos </t>
  </si>
  <si>
    <t>08058520035</t>
  </si>
  <si>
    <t>23/02/2023</t>
  </si>
  <si>
    <t>https://nafdacng.sharepoint.com/sites/PMSLAGOS/Shared Documents/GSDP (GOOD STORAGE AND DISTRIBUTION PRACTICE)/GSDP COMPANY FILES\GOD IS GREAT PHARMACY</t>
  </si>
  <si>
    <t>SOMEC UNITED PHARMACY</t>
  </si>
  <si>
    <t>3,Adebayo Street Iyana Ipaja Lagos</t>
  </si>
  <si>
    <t>07062791634</t>
  </si>
  <si>
    <t>https://nafdacng.sharepoint.com/sites/PMSLAGOS/Shared Documents/GSDP (GOOD STORAGE AND DISTRIBUTION PRACTICE)/GSDP COMPANY FILES/SKY PHARM</t>
  </si>
  <si>
    <t>UNITED ABC PHARMACEUTICAL</t>
  </si>
  <si>
    <t xml:space="preserve">45/47,Ipaja Road, Iyana Ipaja, Lagos </t>
  </si>
  <si>
    <t>08099887692</t>
  </si>
  <si>
    <t>https://nafdacng.sharepoint.com/sites/PMSLAGOS/Shared Documents/GSDP (GOOD STORAGE AND DISTRIBUTION PRACTICE)/GSDP COMPANY FILES\UNITED ABC PHARM</t>
  </si>
  <si>
    <t xml:space="preserve">SA PHARMACY </t>
  </si>
  <si>
    <t>1, Imope Compound, Ikotun, Lagos State</t>
  </si>
  <si>
    <t>08033454283</t>
  </si>
  <si>
    <t>24/02/2023</t>
  </si>
  <si>
    <t>https://nafdacng.sharepoint.com/sites/PMSLAGOS/Shared Documents/GSDP (GOOD STORAGE AND DISTRIBUTION PRACTICE)/GSDP COMPANY FILES\SA PHARMACY</t>
  </si>
  <si>
    <t>RIGHTMATE PHARMACY</t>
  </si>
  <si>
    <t xml:space="preserve">3,Fatimo Street, Ikotun Lagos State </t>
  </si>
  <si>
    <t>08063358238</t>
  </si>
  <si>
    <t xml:space="preserve">Medium-Risk (B)    </t>
  </si>
  <si>
    <t>https://nafdacng.sharepoint.com/sites/PMSLAGOS/Shared Documents/GSDP (GOOD STORAGE AND DISTRIBUTION PRACTICE)/GSDP COMPANY FILES\RIGHTMARES PHARM LTD</t>
  </si>
  <si>
    <t>M. U. SAM VENTURES LTD.</t>
  </si>
  <si>
    <t>Baale compound behind 156, Ipaja Road, Lagos.</t>
  </si>
  <si>
    <t>08180985654</t>
  </si>
  <si>
    <t>28/03/2023</t>
  </si>
  <si>
    <t xml:space="preserve">High-Risk (C) </t>
  </si>
  <si>
    <t>https://nafdacng.sharepoint.com/sites/PMSLAGOS/Shared Documents/GSDP (GOOD STORAGE AND DISTRIBUTION PRACTICE)/GSDP COMPANY FILES\M.U. SAM</t>
  </si>
  <si>
    <t>LIVE BETA PHARMACEUTICALS LTD.</t>
  </si>
  <si>
    <t>147, Dopemu Road, Agege, Lagos.</t>
  </si>
  <si>
    <t>08039636208</t>
  </si>
  <si>
    <t>8th june 2023</t>
  </si>
  <si>
    <t>https://nafdacng.sharepoint.com/sites/PMSLAGOS/Shared Documents/GSDP (GOOD STORAGE AND DISTRIBUTION PRACTICE)/GSDP COMPANY FILES\LIVE BETA PHARM</t>
  </si>
  <si>
    <t>AGU JUDEA PHARM. NIG. LTD.</t>
  </si>
  <si>
    <t>No. 193, Agege Motor road, Iyana Ipaja, Lagos</t>
  </si>
  <si>
    <t>08162478478</t>
  </si>
  <si>
    <t>https://nafdacng.sharepoint.com/sites/PMSLAGOS/Shared Documents/GSDP (GOOD STORAGE AND DISTRIBUTION PRACTICE)/GSDP COMPANY FILES\AGU JUDEA PHARMACEUTICLAS</t>
  </si>
  <si>
    <t>ZIFAM PINNACLE NIG. LTD.</t>
  </si>
  <si>
    <t>227, Ikorodu-Ososun Road, Obanikoro, Lagos</t>
  </si>
  <si>
    <t>08066886883</t>
  </si>
  <si>
    <t>29/03/2023</t>
  </si>
  <si>
    <t>https://nafdacng.sharepoint.com/sites/PMSLAGOS/Shared Documents/GSDP (GOOD STORAGE AND DISTRIBUTION PRACTICE)/GSDP COMPANY FILES\ZIFAM PINNACLES LTD</t>
  </si>
  <si>
    <t>UNITED AFRICA LABORATORY LIMITED</t>
  </si>
  <si>
    <t>9, Tebun Bisiriyu street, shahsha, Lagos.</t>
  </si>
  <si>
    <t>07063877874</t>
  </si>
  <si>
    <t>30/03/2023</t>
  </si>
  <si>
    <t>11th august 2023</t>
  </si>
  <si>
    <t>https://nafdacng.sharepoint.com/sites/PMSLAGOS/Shared Documents/GSDP (GOOD STORAGE AND DISTRIBUTION PRACTICE)/GSDP COMPANY FILES\UNITED AFRICA LABORATORY LTD</t>
  </si>
  <si>
    <t>SANTUS PHARMACY &amp; STORES LTD.</t>
  </si>
  <si>
    <t>11, Sasha road, Akowonjo, Lagos.</t>
  </si>
  <si>
    <t>08051263650</t>
  </si>
  <si>
    <t>29th january 2024</t>
  </si>
  <si>
    <t>DONE</t>
  </si>
  <si>
    <t>https://nafdacng.sharepoint.com/sites/PMSLAGOS/Shared Documents/GSDP (GOOD STORAGE AND DISTRIBUTION PRACTICE)/GSDP COMPANY FILES\SANTUS PHARMACY LTD</t>
  </si>
  <si>
    <t>THINK ETERNITY DRUGS LTD.</t>
  </si>
  <si>
    <t>1, Oguntande street, Shasha, Lagos.</t>
  </si>
  <si>
    <t>08120739721</t>
  </si>
  <si>
    <t>https://nafdacng.sharepoint.com/sites/PMSLAGOS/Shared Documents/GSDP (GOOD STORAGE AND DISTRIBUTION PRACTICE)/GSDP COMPANY FILES\THINK ENTERNITY DRUGS LTD</t>
  </si>
  <si>
    <t>MIVERO PHARM. LTD.</t>
  </si>
  <si>
    <t>244, Agege Motor road, Mushin, Lagos.</t>
  </si>
  <si>
    <t>08161396721</t>
  </si>
  <si>
    <t>30th january 2024</t>
  </si>
  <si>
    <t>https://nafdacng.sharepoint.com/sites/PMSLAGOS/Shared Documents/GSDP (GOOD STORAGE AND DISTRIBUTION PRACTICE)/GSDP COMPANY FILES\MIVERO PHARM</t>
  </si>
  <si>
    <t>R.L. UPRIGHT WAY NIG. LTD.</t>
  </si>
  <si>
    <t>15, Market street, Somolu, Lagos.</t>
  </si>
  <si>
    <t>08162250028</t>
  </si>
  <si>
    <t>https://nafdacng.sharepoint.com/sites/PMSLAGOS/Shared Documents/GSDP (GOOD STORAGE AND DISTRIBUTION PRACTICE)/GSDP COMPANY FILES\R.L UPRIGHTWAY NIG LTD</t>
  </si>
  <si>
    <t>TEACO PHARM. CO. NIG. LTD.</t>
  </si>
  <si>
    <t>50, Akowonjo Road ,Egbeda, Lagos.</t>
  </si>
  <si>
    <t>08033025740</t>
  </si>
  <si>
    <t>https://nafdacng.sharepoint.com/sites/PMSLAGOS/Shared Documents/GSDP (GOOD STORAGE AND DISTRIBUTION PRACTICE)/GSDP COMPANY FILES\TEACO PHARMACY</t>
  </si>
  <si>
    <t>FUNKET NIG. LTD.</t>
  </si>
  <si>
    <t>83, Ikotun-Idumu road, Lagos.</t>
  </si>
  <si>
    <t>08033156922</t>
  </si>
  <si>
    <t>https://nafdacng.sharepoint.com/sites/PMSLAGOS/Shared Documents/GSDP (GOOD STORAGE AND DISTRIBUTION PRACTICE)/GSDP COMPANY FILES\FUNKET NIG. LTD</t>
  </si>
  <si>
    <t>KATCEE-MACKENZIE &amp;ASSOCIATES</t>
  </si>
  <si>
    <t>7, Market Street, Shomolu, Lagos</t>
  </si>
  <si>
    <t>08023649732</t>
  </si>
  <si>
    <t>https://nafdacng.sharepoint.com/sites/PMSLAGOS/Shared Documents/GSDP (GOOD STORAGE AND DISTRIBUTION PRACTICE)/GSDP COMPANY FILES\KATCEE-MACKENZIE LTD</t>
  </si>
  <si>
    <t>DRUG-IT SOLUTIONS LIMITED</t>
  </si>
  <si>
    <t>1, Ileshomi  Street, Mafoluku, Oshodi, Lagos</t>
  </si>
  <si>
    <t>08093346489</t>
  </si>
  <si>
    <t>18/04/2023</t>
  </si>
  <si>
    <t>9th may 2023</t>
  </si>
  <si>
    <t>https://nafdacng.sharepoint.com/sites/PMSLAGOS/Shared Documents/GSDP (GOOD STORAGE AND DISTRIBUTION PRACTICE)/GSDP COMPANY FILES\DRUG IT PHARMACY</t>
  </si>
  <si>
    <t>FAMOUS NIG. LTD.</t>
  </si>
  <si>
    <t>1,Olurunshogo Str., Mushin, Lagos.</t>
  </si>
  <si>
    <t>08035922751</t>
  </si>
  <si>
    <t>19/04/2023</t>
  </si>
  <si>
    <t>https://nafdacng.sharepoint.com/sites/PMSLAGOS/Shared Documents/GSDP (GOOD STORAGE AND DISTRIBUTION PRACTICE)/GSDP COMPANY FILES\FAMOUS CHEMIST LTD</t>
  </si>
  <si>
    <t>ALIMOSHO CHEMIST LTD.</t>
  </si>
  <si>
    <t>47, Alew Ipaja Road, Iyana-Ipaja, Lagos</t>
  </si>
  <si>
    <t>The facility is no longer engaged in the importation or distribution of drugs in the past 5 years.</t>
  </si>
  <si>
    <t>A letter stating that they have stopped distribution was recieved by the directorate.</t>
  </si>
  <si>
    <t>https://nafdacng.sharepoint.com/sites/PMSLAGOS/Shared Documents/GSDP (GOOD STORAGE AND DISTRIBUTION PRACTICE)/GSDP COMPANY FILES\ALIMOSHO CHEMISTS LTD</t>
  </si>
  <si>
    <t>GOD 'S FOUNDATION PHARMA LTD.</t>
  </si>
  <si>
    <t>19, Baale Street, Orile, Iganmu , Lagos</t>
  </si>
  <si>
    <t>08162879574</t>
  </si>
  <si>
    <t>https://nafdacng.sharepoint.com/sites/PMSLAGOS/Shared Documents/GSDP (GOOD STORAGE AND DISTRIBUTION PRACTICE)/GSDP COMPANY FILES\GODS FOUNDATION</t>
  </si>
  <si>
    <t>E.U. EMMASON PHARM. CO.LTD.</t>
  </si>
  <si>
    <t>1, Baale street, Orile, Iganmu, Lagos</t>
  </si>
  <si>
    <t>08144612951</t>
  </si>
  <si>
    <t>https://nafdacng.sharepoint.com/sites/PMSLAGOS/Shared Documents/GSDP (GOOD STORAGE AND DISTRIBUTION PRACTICE)/GSDP COMPANY FILES\E.U EMMASON</t>
  </si>
  <si>
    <t>ANYIWEST PHARMACY LTD.</t>
  </si>
  <si>
    <t>3, Meiran road, shop 10, Merian B/stop. Abeokuta expressway, lagos</t>
  </si>
  <si>
    <t>08037277883</t>
  </si>
  <si>
    <t>https://nafdacng.sharepoint.com/sites/PMSLAGOS/Shared Documents/GSDP (GOOD STORAGE AND DISTRIBUTION PRACTICE)/GSDP COMPANY FILES\ANYI WEST PHARMACY</t>
  </si>
  <si>
    <t>KRANTZ PHARMACEUTICAL &amp; CHEMICALS LTD.</t>
  </si>
  <si>
    <t>17,Muri Bakare street, Idimu, Lagos</t>
  </si>
  <si>
    <t>08033006749</t>
  </si>
  <si>
    <t>https://nafdacng.sharepoint.com/sites/PMSLAGOS/Shared Documents/GSDP (GOOD STORAGE AND DISTRIBUTION PRACTICE)/GSDP COMPANY FILES\KRANTZ PHARMACY</t>
  </si>
  <si>
    <t xml:space="preserve">ALGANDA PHARMACY </t>
  </si>
  <si>
    <t>16, Best time Avenue, start time Estate, Ago palaceway, Lagos</t>
  </si>
  <si>
    <t>08064445412</t>
  </si>
  <si>
    <t>https://nafdacng.sharepoint.com/sites/PMSLAGOS/Shared Documents/GSDP (GOOD STORAGE AND DISTRIBUTION PRACTICE)/GSDP COMPANY FILES\ALGANDA PHARMACEUTICALS</t>
  </si>
  <si>
    <t>CIKASON PHARMACY</t>
  </si>
  <si>
    <t>2/4 Toyin Adebiyi, off Ezeagulu street, Oke afa, lagos.</t>
  </si>
  <si>
    <t>08033846632</t>
  </si>
  <si>
    <t>https://nafdacng.sharepoint.com/sites/PMSLAGOS/Shared Documents/GSDP (GOOD STORAGE AND DISTRIBUTION PRACTICE)/GSDP COMPANY FILES\CIKASON PHARMACY</t>
  </si>
  <si>
    <t>MARY-IYKE PHARMACY &amp; STORES</t>
  </si>
  <si>
    <t>136, Baale Animashaun street, Dalemo, Alakuko, Abule Egba, Lagos</t>
  </si>
  <si>
    <t>08023051074</t>
  </si>
  <si>
    <t>https://nafdacng.sharepoint.com/sites/PMSLAGOS/Shared Documents/GSDP (GOOD STORAGE AND DISTRIBUTION PRACTICE)/GSDP COMPANY FILES\MARY IYKE PHARMACY</t>
  </si>
  <si>
    <t>DRUG STOC E HUB LIMITED</t>
  </si>
  <si>
    <t>China town, taiwo street</t>
  </si>
  <si>
    <t>08087674169</t>
  </si>
  <si>
    <t>30/05/2023</t>
  </si>
  <si>
    <t>NO CAPA ISSUED</t>
  </si>
  <si>
    <t>CONTINOUS MONITORING TO ENSURE COMPLIANCE</t>
  </si>
  <si>
    <t>https://nafdacng.sharepoint.com/sites/PMSLAGOS/Shared Documents/GSDP (GOOD STORAGE AND DISTRIBUTION PRACTICE)/GSDP COMPANY FILES\DRUG STOC EHUB</t>
  </si>
  <si>
    <t>MAC EVENTUS PHARM. CO. LTD.</t>
  </si>
  <si>
    <t xml:space="preserve">23, Yakayo Rd, Oja B/stop, Ojodu, Lagos. </t>
  </si>
  <si>
    <t>08024785424</t>
  </si>
  <si>
    <t>https://nafdacng.sharepoint.com/sites/PMSLAGOS/Shared Documents/GSDP (GOOD STORAGE AND DISTRIBUTION PRACTICE)/GSDP COMPANY FILES\MAC EVENTUS PHARM LTD</t>
  </si>
  <si>
    <t>SAMNTO PHARM. LTD.</t>
  </si>
  <si>
    <t>16b, Tolu road. olodi-Apapa. Lagos</t>
  </si>
  <si>
    <t>08060650657</t>
  </si>
  <si>
    <t>https://nafdacng.sharepoint.com/sites/PMSLAGOS/Shared Documents/GSDP (GOOD STORAGE AND DISTRIBUTION PRACTICE)/GSDP COMPANY FILES\SAMNTO PHARM</t>
  </si>
  <si>
    <t>ALANTRA PHARMACY</t>
  </si>
  <si>
    <t>7, Oyoromi street, off kodesoh street</t>
  </si>
  <si>
    <t>08023595633</t>
  </si>
  <si>
    <t>CHEV PHARMACEUTICALS</t>
  </si>
  <si>
    <t>13, Adeyemi street, Oshodi, Lagos</t>
  </si>
  <si>
    <t>08151488040</t>
  </si>
  <si>
    <t>31/05/2023</t>
  </si>
  <si>
    <t>https://nafdacng.sharepoint.com/sites/PMSLAGOS/Shared Documents/GSDP (GOOD STORAGE AND DISTRIBUTION PRACTICE)/GSDP COMPANY FILES\CHEV PHARMACEUTICALS LTD</t>
  </si>
  <si>
    <t>REMSON INVESTMENT LTD</t>
  </si>
  <si>
    <t>74 Agbado station road Ijaye, Lagos</t>
  </si>
  <si>
    <t>09015418270</t>
  </si>
  <si>
    <t>23/06/23</t>
  </si>
  <si>
    <t>https://nafdacng.sharepoint.com/sites/PMSLAGOS/Shared Documents/GSDP (GOOD STORAGE AND DISTRIBUTION PRACTICE)/GSDP COMPANY FILES\REMSON</t>
  </si>
  <si>
    <t>CITY OF GLORY PHARMACEUTICALS</t>
  </si>
  <si>
    <t>20, Iga Oba compond Ijegun, Lagos</t>
  </si>
  <si>
    <t>08065637705</t>
  </si>
  <si>
    <t>23/6/23</t>
  </si>
  <si>
    <t>https://nafdacng.sharepoint.com/sites/PMSLAGOS/Shared Documents/GSDP (GOOD STORAGE AND DISTRIBUTION PRACTICE)/GSDP COMPANY FILES\CITY OF GLORY PHARM</t>
  </si>
  <si>
    <t>CHRIS NELB PHARM. LTD.</t>
  </si>
  <si>
    <t>6, Karimu street, kirikiri, lagos.</t>
  </si>
  <si>
    <t>08023206178</t>
  </si>
  <si>
    <t>https://nafdacng.sharepoint.com/sites/PMSLAGOS/Shared Documents/GSDP (GOOD STORAGE AND DISTRIBUTION PRACTICE)/GSDP COMPANY FILES\CHRIS NELB PHARMACY</t>
  </si>
  <si>
    <t>SURPLUS PHARMACY LTD.</t>
  </si>
  <si>
    <t>48, Igiolugbin street</t>
  </si>
  <si>
    <t>08085784284</t>
  </si>
  <si>
    <t>14/6/23</t>
  </si>
  <si>
    <t>https://nafdacng.sharepoint.com/sites/PMSLAGOS/Shared Documents/GSDP (GOOD STORAGE AND DISTRIBUTION PRACTICE)/GSDP COMPANY FILES\SURPLUS PHARM</t>
  </si>
  <si>
    <t>JOHN VIKEE PHARM.</t>
  </si>
  <si>
    <t>Igbodo New L/O, Oluwaseyi B/S, Ishashi, Lagos</t>
  </si>
  <si>
    <t>07038054807</t>
  </si>
  <si>
    <t>https://nafdacng.sharepoint.com/sites/PMSLAGOS/Shared Documents/GSDP (GOOD STORAGE AND DISTRIBUTION PRACTICE)/GSDP COMPANY FILES\JOHNVIKEE PHARM</t>
  </si>
  <si>
    <t>DOMINO PHARMACY LTD.</t>
  </si>
  <si>
    <t>Km 48, Badagry Exp. Way, Okokomaiko, Lagos.</t>
  </si>
  <si>
    <t>08033622376</t>
  </si>
  <si>
    <t>https://nafdacng.sharepoint.com/sites/PMSLAGOS/Shared Documents/GSDP (GOOD STORAGE AND DISTRIBUTION PRACTICE)/GSDP COMPANY FILES\DOMINO PHARM</t>
  </si>
  <si>
    <t>HOLEX PHARMACEUTCAL LTD.</t>
  </si>
  <si>
    <t>45, Old Ojo road, A,gboju, Amuwo, Lagos</t>
  </si>
  <si>
    <t>08067392192</t>
  </si>
  <si>
    <t xml:space="preserve">Medium-Risk (B)
</t>
  </si>
  <si>
    <t>https://nafdacng.sharepoint.com/sites/PMSLAGOS/Shared Documents/GSDP (GOOD STORAGE AND DISTRIBUTION PRACTICE)/GSDP COMPANY FILES\HOLEX PHARMACEUTICALS</t>
  </si>
  <si>
    <t>WINDON PHARMACY</t>
  </si>
  <si>
    <t>20, Badagry express way road, Oko</t>
  </si>
  <si>
    <t>08063788228</t>
  </si>
  <si>
    <t>https://nafdacng.sharepoint.com/sites/PMSLAGOS/Shared Documents/GSDP (GOOD STORAGE AND DISTRIBUTION PRACTICE)/GSDP COMPANY FILES\WINDOM PHARMACY</t>
  </si>
  <si>
    <t xml:space="preserve">JOSFEKMART PHARMACY </t>
  </si>
  <si>
    <t>146, Ekoro road, Abule Egba, Lagos.</t>
  </si>
  <si>
    <t>09036389457</t>
  </si>
  <si>
    <t>https://nafdacng.sharepoint.com/sites/PMSLAGOS/Shared Documents/GSDP (GOOD STORAGE AND DISTRIBUTION PRACTICE)/GSDP COMPANY FILES\JOSEFERKMART PHARMACY</t>
  </si>
  <si>
    <t>LINCO STAR PHARMACEUTICALS</t>
  </si>
  <si>
    <t>7/29, Olubumni Alonge st
reet, Pako Aguda B/stop</t>
  </si>
  <si>
    <t>07060841212</t>
  </si>
  <si>
    <t>Medium-Ris
k (B)</t>
  </si>
  <si>
    <t>https://nafdacng.sharepoint.com/sites/PMSLAGOS/Shared Documents/GSDP (GOOD STORAGE AND DISTRIBUTION PRACTICE)/GSDP COMPANY FILES\LINCO STAR PHARM</t>
  </si>
  <si>
    <t>E. EGBESON CHEM. PHARM.</t>
  </si>
  <si>
    <t>61, Egbe road, Ejibo Lagos.</t>
  </si>
  <si>
    <t>07032823116</t>
  </si>
  <si>
    <t>https://nafdacng.sharepoint.com/sites/PMSLAGOS/Shared Documents/GSDP (GOOD STORAGE AND DISTRIBUTION PRACTICE)/GSDP COMPANY FILES\E. EGBESON CHEM PHARM</t>
  </si>
  <si>
    <t>DE GOOD GOD PHARMACY</t>
  </si>
  <si>
    <t>4, Agbo Ille compond lane, Ijegun, lagos</t>
  </si>
  <si>
    <t>08035569255</t>
  </si>
  <si>
    <t>https://nafdacng.sharepoint.com/sites/PMSLAGOS/Shared Documents/GSDP (GOOD STORAGE AND DISTRIBUTION PRACTICE)/GSDP COMPANY FILES\DE GOOD GOD PHARM</t>
  </si>
  <si>
    <t>ALKATRICE PHARMACEUTICALS</t>
  </si>
  <si>
    <t>14, Mosalasi street, Mazama, Kuje-Amuwo</t>
  </si>
  <si>
    <t>09132483301</t>
  </si>
  <si>
    <t>https://nafdacng.sharepoint.com/sites/PMSLAGOS/Shared Documents/GSDP (GOOD STORAGE AND DISTRIBUTION PRACTICE)/GSDP COMPANY FILES\ALKATRICE PHARMACEUTICALS</t>
  </si>
  <si>
    <t>LIVE MORE PHARMACY</t>
  </si>
  <si>
    <t>231, Old Ojo road, Agboju-Amuwo</t>
  </si>
  <si>
    <t>08031939448</t>
  </si>
  <si>
    <t>https://nafdacng.sharepoint.com/sites/PMSLAGOS/Shared Documents/GSDP (GOOD STORAGE AND DISTRIBUTION PRACTICE)/GSDP COMPANY FILES\LIVE MORE PHARMACY</t>
  </si>
  <si>
    <t>UZOKENN PHARMACY</t>
  </si>
  <si>
    <t>268, Ipaja road, Agege, Lagos</t>
  </si>
  <si>
    <t>08033035614</t>
  </si>
  <si>
    <t>22/6/2023</t>
  </si>
  <si>
    <t>https://nafdacng.sharepoint.com/sites/PMSLAGOS/Shared Documents/GSDP (GOOD STORAGE AND DISTRIBUTION PRACTICE)/GSDP COMPANY FILES\UZOKENN PHARMACY</t>
  </si>
  <si>
    <t>EVITA MOORE NIG. LTD.</t>
  </si>
  <si>
    <t>1, Showonuola Street, Alhaja Bus- Stop</t>
  </si>
  <si>
    <t>09093309160</t>
  </si>
  <si>
    <t>16/06/2023</t>
  </si>
  <si>
    <t>https://nafdacng.sharepoint.com/sites/PMSLAGOS/Shared Documents/GSDP (GOOD STORAGE AND DISTRIBUTION PRACTICE)/GSDP COMPANY FILES\EVITA MOORE NIG LTD</t>
  </si>
  <si>
    <t>GLACK PHARMACEUTICALS LTD.</t>
  </si>
  <si>
    <t>22, Stella Osholake street, off international Airport road, Ajao Estate</t>
  </si>
  <si>
    <t>08033040722</t>
  </si>
  <si>
    <t>29/12/24</t>
  </si>
  <si>
    <t>https://nafdacng.sharepoint.com/sites/PMSLAGOS/Shared Documents/GSDP (GOOD STORAGE AND DISTRIBUTION PRACTICE)/GSDP COMPANY FILES\GLACK PHARMECEUTICALS LTD</t>
  </si>
  <si>
    <t>DRUG FIELD PHARMACEUTICALS</t>
  </si>
  <si>
    <t>13, Adeogun Street, Abule- egba, Lagos</t>
  </si>
  <si>
    <t>08033594790</t>
  </si>
  <si>
    <t>27/06/2023</t>
  </si>
  <si>
    <t>Mediu
m-Risk (B)</t>
  </si>
  <si>
    <t>COMPLIANCE WAS NOT ISSUED</t>
  </si>
  <si>
    <t>https://nafdacng.sharepoint.com/sites/PMSLAGOS/Shared Documents/GSDP (GOOD STORAGE AND DISTRIBUTION PRACTICE)/GSDP COMPANY FILES\DRUG FIELD</t>
  </si>
  <si>
    <t>DIVINE LIFT PHARMACEUTICALS</t>
  </si>
  <si>
    <t>107, Ipaja Rd, Agege, Lagos.</t>
  </si>
  <si>
    <t>07036950165</t>
  </si>
  <si>
    <t>https://nafdacng.sharepoint.com/sites/PMSLAGOS/Shared Documents/GSDP (GOOD STORAGE AND DISTRIBUTION PRACTICE)/GSDP COMPANY FILES\DIVINE LIFT PHARMACY</t>
  </si>
  <si>
    <t>A.N. CHIDOZIE PHARMACEUTICALS</t>
  </si>
  <si>
    <t>1a, Ajelogo road, Mile 12, Lagos.</t>
  </si>
  <si>
    <t>0813882640</t>
  </si>
  <si>
    <t>https://nafdacng.sharepoint.com/sites/PMSLAGOS/Shared Documents/GSDP (GOOD STORAGE AND DISTRIBUTION PRACTICE)/GSDP COMPANY FILES\A.N CHIDOZIE PHARMACEUTICAL LTD</t>
  </si>
  <si>
    <t xml:space="preserve">OBITEX DIVINE PHARMACEUTICALS
</t>
  </si>
  <si>
    <t xml:space="preserve">1a Ajelogo Road Mile 12 Lagos
</t>
  </si>
  <si>
    <t>08146376060</t>
  </si>
  <si>
    <t>https://nafdacng.sharepoint.com/sites/PMSLAGOS/Shared Documents/GSDP (GOOD STORAGE AND DISTRIBUTION PRACTICE)/GSDP COMPANY FILES\OBITEX DIVINE PHARMACEUTICALS</t>
  </si>
  <si>
    <t xml:space="preserve">DRUG AMBASSADOR PHARM LTD.
</t>
  </si>
  <si>
    <t xml:space="preserve">Block E, Shop 9 &amp; 10,Prowa Complex Dillion Street Kirikiri Lagos State
</t>
  </si>
  <si>
    <t>09128428211</t>
  </si>
  <si>
    <t>https://nafdacng.sharepoint.com/sites/PMSLAGOS/Shared Documents/GSDP (GOOD STORAGE AND DISTRIBUTION PRACTICE)/GSDP COMPANY FILES\DRUG AMBASADOR  PHARM</t>
  </si>
  <si>
    <t>BLESSED NOEDYKE PHARM. CO</t>
  </si>
  <si>
    <t>21,fadu Avenue, Ejigbo, Lagos</t>
  </si>
  <si>
    <t>08034060316</t>
  </si>
  <si>
    <t>23/1/2023</t>
  </si>
  <si>
    <t>https://nafdacng.sharepoint.com/sites/PMSLAGOS/Shared Documents/GSDP (GOOD STORAGE AND DISTRIBUTION PRACTICE)/GSDP COMPANY FILES\BLESSED NEODYKE PHARM CO</t>
  </si>
  <si>
    <t>ELBE PHARMA.NIG.LTD</t>
  </si>
  <si>
    <t>1A African Church Close,Off Coker Road, Ilupej,Lagos State</t>
  </si>
  <si>
    <t>07031971331</t>
  </si>
  <si>
    <t>21/07/2023</t>
  </si>
  <si>
    <t>https://nafdacng.sharepoint.com/sites/PMSLAGOS/Shared Documents/GSDP (GOOD STORAGE AND DISTRIBUTION PRACTICE)/GSDP COMPANY FILES\ELBE PHARMA. NIG LTD</t>
  </si>
  <si>
    <t>GREENLIFE PHARMA</t>
  </si>
  <si>
    <t xml:space="preserve">3 Nasfat Close,Off Isolo Way, Ajao Estate, Lagos State
</t>
  </si>
  <si>
    <t>08033431338</t>
  </si>
  <si>
    <t>22/07/2023</t>
  </si>
  <si>
    <t>Low-Risk 
(A)</t>
  </si>
  <si>
    <t>16/01/24</t>
  </si>
  <si>
    <t>https://nafdacng.sharepoint.com/sites/PMSLAGOS/Shared Documents/GSDP (GOOD STORAGE AND DISTRIBUTION PRACTICE)/GSDP COMPANY FILES\GREENLIFE PHARM. LTD</t>
  </si>
  <si>
    <t>EMBASSY PHARM</t>
  </si>
  <si>
    <t xml:space="preserve">41,Ademola Street,Off Obafemi Awolowo Road,Ikoyi,Lagos state
</t>
  </si>
  <si>
    <t>08033276868</t>
  </si>
  <si>
    <t>19/07/2023</t>
  </si>
  <si>
    <t>https://nafdacng.sharepoint.com/sites/PMSLAGOS/Shared Documents/GSDP (GOOD STORAGE AND DISTRIBUTION PRACTICE)/GSDP COMPANY FILES\EMBASSY PHARM</t>
  </si>
  <si>
    <t>TEKA PHARMACEUTICALS</t>
  </si>
  <si>
    <t xml:space="preserve">6,Morgan Estate,Phase 2 Ojuodu,Ikeja,Lagos State
</t>
  </si>
  <si>
    <t>07030814453</t>
  </si>
  <si>
    <t>https://nafdacng.sharepoint.com/sites/PMSLAGOS/Shared Documents/GSDP (GOOD STORAGE AND DISTRIBUTION PRACTICE)/GSDP COMPANY FILES\TEKA PHARM</t>
  </si>
  <si>
    <t>CLARION HEALTHCARE</t>
  </si>
  <si>
    <t xml:space="preserve">23,Afolabi Lesi Street,Ilupeju,Lagos State
</t>
  </si>
  <si>
    <t>08022902392</t>
  </si>
  <si>
    <t>31/07/2023</t>
  </si>
  <si>
    <t xml:space="preserve">Low-Risk (A)
</t>
  </si>
  <si>
    <t>27/07/23</t>
  </si>
  <si>
    <t>https://nafdacng.sharepoint.com/sites/PMSLAGOS/Shared Documents/GSDP (GOOD STORAGE AND DISTRIBUTION PRACTICE)/GSDP COMPANY FILES\CLARION HEALTHCARE</t>
  </si>
  <si>
    <t>HUGO DRUGS LIMITED</t>
  </si>
  <si>
    <t xml:space="preserve">62,Falolu Road,Surulere,Lagos
</t>
  </si>
  <si>
    <t>07065593663</t>
  </si>
  <si>
    <t>27/03/23</t>
  </si>
  <si>
    <t>https://nafdacng.sharepoint.com/sites/PMSLAGOS/Shared Documents/GSDP (GOOD STORAGE AND DISTRIBUTION PRACTICE)/GSDP COMPANY FILES\HUGO DRUGS LIMITED</t>
  </si>
  <si>
    <t>MARK PHARMACEUTICALS</t>
  </si>
  <si>
    <t xml:space="preserve">21,Moronui Cresent,Off Adelabu Road Surulere,Lagos,State
</t>
  </si>
  <si>
    <t>08067785840</t>
  </si>
  <si>
    <t>20/07/2023</t>
  </si>
  <si>
    <t>https://nafdacng.sharepoint.com/sites/PMSLAGOS/Shared Documents/GSDP (GOOD STORAGE AND DISTRIBUTION PRACTICE)/GSDP COMPANY FILES\MARK PHARMACEUTICALS</t>
  </si>
  <si>
    <t>DERM PHARMACEUTICALS</t>
  </si>
  <si>
    <t xml:space="preserve">19,Alhaji Salami Street,Aguda,Surulere,Lagos,State
</t>
  </si>
  <si>
    <t>08039532253</t>
  </si>
  <si>
    <t>CAPA CLOSED</t>
  </si>
  <si>
    <t>https://nafdacng.sharepoint.com/sites/PMSLAGOS/Shared Documents/GSDP (GOOD STORAGE AND DISTRIBUTION PRACTICE)/GSDP COMPANY FILES\DERM PHARMACEUTICALS</t>
  </si>
  <si>
    <t>SAGAR VITACEUTICALS</t>
  </si>
  <si>
    <t xml:space="preserve">Plot 2,Ladipoe Oluwole Street,Off Oba Akran Avenue,Ikeja,Lagos State.
</t>
  </si>
  <si>
    <t>08023692457</t>
  </si>
  <si>
    <t xml:space="preserve">High-Risk (C)
</t>
  </si>
  <si>
    <t>https://nafdacng.sharepoint.com/sites/PMSLAGOS/Shared Documents/GSDP (GOOD STORAGE AND DISTRIBUTION PRACTICE)/GSDP COMPANY FILES\SAGAR VITACEAUTICALS NIG LTD</t>
  </si>
  <si>
    <t>VINCO PHARMACEUTICAL</t>
  </si>
  <si>
    <t xml:space="preserve">48,Dupe Otegbola Street Opp,Navy Barracks Sattelite Town,Lagos State
</t>
  </si>
  <si>
    <t>08023534907</t>
  </si>
  <si>
    <t>https://nafdacng.sharepoint.com/sites/PMSLAGOS/Shared Documents/GSDP (GOOD STORAGE AND DISTRIBUTION PRACTICE)/GSDP COMPANY FILES\VINCO PHARM</t>
  </si>
  <si>
    <t>ONIFAM LABORATORIES LTD.</t>
  </si>
  <si>
    <t xml:space="preserve">836,Lagos_Abeokuta Express Way,Lagos State
</t>
  </si>
  <si>
    <t>08036550174</t>
  </si>
  <si>
    <t>https://nafdacng.sharepoint.com/sites/PMSLAGOS/Shared Documents/GSDP (GOOD STORAGE AND DISTRIBUTION PRACTICE)/GSDP COMPANY FILES\ONIFAM LABORATORIES LTD</t>
  </si>
  <si>
    <t>AGARY PHARMACEUTICALS</t>
  </si>
  <si>
    <t>Plot 39C ,Amuwo Odofin Cmm Scheme,Lagos State.</t>
  </si>
  <si>
    <t>07064686455</t>
  </si>
  <si>
    <t>21/08/2023</t>
  </si>
  <si>
    <t>https://nafdacng.sharepoint.com/sites/PMSLAGOS/Shared Documents/GSDP (GOOD STORAGE AND DISTRIBUTION PRACTICE)/GSDP COMPANY FILES\AGARY PHARMACEUTICALS LTD</t>
  </si>
  <si>
    <t>SHALINA HEALTHCARE</t>
  </si>
  <si>
    <t>3/4, Adewunmi Industrial Estate,Oregun,Ikeja,Lagos State</t>
  </si>
  <si>
    <t>08107539933</t>
  </si>
  <si>
    <t>24/08/2023</t>
  </si>
  <si>
    <t>SOP's available</t>
  </si>
  <si>
    <t>https://nafdacng.sharepoint.com/sites/PMSLAGOS/Shared Documents/GSDP (GOOD STORAGE AND DISTRIBUTION PRACTICE)/GSDP COMPANY FILES\SHALINA HEALTHCARE LTD</t>
  </si>
  <si>
    <t>PINNACLE HEALTH PHARM LTD</t>
  </si>
  <si>
    <t xml:space="preserve">8,Douglas Ezemba Avenue Off Alahaji Agbeke Street By Marcity B/stop,Ago Palace Way,Okota,Lagos.
</t>
  </si>
  <si>
    <t>08034707350</t>
  </si>
  <si>
    <t xml:space="preserve">Low-Risk (A)
</t>
  </si>
  <si>
    <t>IMMACULATE CARE PHARMACY</t>
  </si>
  <si>
    <t>8,Itokin Road, Adamo Junction Ikorodu, lagos state.</t>
  </si>
  <si>
    <t>08056132025</t>
  </si>
  <si>
    <t>31/10/23</t>
  </si>
  <si>
    <t>https://nafdacng.sharepoint.com/sites/PMSLAGOS/Shared Documents/GSDP (GOOD STORAGE AND DISTRIBUTION PRACTICE)/GSDP COMPANY FILES\IMMACULATE CARE PHARM</t>
  </si>
  <si>
    <t>COLLIBEX PHARMACY</t>
  </si>
  <si>
    <t xml:space="preserve">1,Gbopa Road, Enu-owa Off Gberigbe Road Ikorodu, Lagos state.
</t>
  </si>
  <si>
    <t>08033222005</t>
  </si>
  <si>
    <t>https://nafdacng.sharepoint.com/sites/PMSLAGOS/Shared Documents/GSDP (GOOD STORAGE AND DISTRIBUTION PRACTICE)/GSDP COMPANY FILES\COLLIBEX PHARM</t>
  </si>
  <si>
    <t>EMMASTEV PHARMACY</t>
  </si>
  <si>
    <t xml:space="preserve">39, Ijede Road, Itamaga Opp. Be Happy Hotel, Ikorodu, Lagos State.
</t>
  </si>
  <si>
    <t>09122355987</t>
  </si>
  <si>
    <t>https://nafdacng.sharepoint.com/sites/PMSLAGOS/Shared Documents/GSDP (GOOD STORAGE AND DISTRIBUTION PRACTICE)/GSDP COMPANY FILES\EMMASTEV PHARM</t>
  </si>
  <si>
    <t>SKY PHARMACEUTICAL</t>
  </si>
  <si>
    <t xml:space="preserve">11, Olusegun,Ogandana Drive, Magodo Lagos State.
</t>
  </si>
  <si>
    <t>08029293318</t>
  </si>
  <si>
    <t>17/10/2023</t>
  </si>
  <si>
    <t>17/10/23</t>
  </si>
  <si>
    <t>https://nafdacng.sharepoint.com/sites/PMSLAGOS/Shared Documents/GSDP (GOOD STORAGE AND DISTRIBUTION PRACTICE)/GSDP COMPANY FILES\SKY PHARM</t>
  </si>
  <si>
    <t>CAPA</t>
  </si>
  <si>
    <t>17/09/2023</t>
  </si>
  <si>
    <t>CAPA Closed</t>
  </si>
  <si>
    <t>AJAO SAMUEL PHARMACY</t>
  </si>
  <si>
    <t xml:space="preserve">4 Fetuga Street, Ladi-Laki, Bariga, Laagos State.
</t>
  </si>
  <si>
    <t>08105196955</t>
  </si>
  <si>
    <t>Low-Ri
sk (A)</t>
  </si>
  <si>
    <t>https://nafdacng.sharepoint.com/sites/PMSLAGOS/Shared Documents/GSDP (GOOD STORAGE AND DISTRIBUTION PRACTICE)/GSDP COMPANY FILES\AJAO SAMUEL</t>
  </si>
  <si>
    <t>MALVEN MEDICS LIMITED</t>
  </si>
  <si>
    <t>4, Ligali Street, Ogudu, Lados State</t>
  </si>
  <si>
    <t>08023811157</t>
  </si>
  <si>
    <t>19/10/2023</t>
  </si>
  <si>
    <t>https://nafdacng.sharepoint.com/sites/PMSLAGOS/Shared Documents/GSDP (GOOD STORAGE AND DISTRIBUTION PRACTICE)/GSDP COMPANY FILES\MALVEN MEDICS LTD</t>
  </si>
  <si>
    <t>TUM TAY COMPANY LIMITED</t>
  </si>
  <si>
    <t>22, Molade Okoya-Thomas Street, Off Adeniyi Jones Avenue, Lagos State.</t>
  </si>
  <si>
    <t>08033348405</t>
  </si>
  <si>
    <t xml:space="preserve">
Satisfactory</t>
  </si>
  <si>
    <t>https://nafdacng.sharepoint.com/sites/PMSLAGOS/Shared Documents/GSDP (GOOD STORAGE AND DISTRIBUTION PRACTICE)/GSDP COMPANY FILES\TUM TAY COMPANY LTD</t>
  </si>
  <si>
    <t>VIBORATH PHARMACY</t>
  </si>
  <si>
    <t xml:space="preserve">4,Vitborah avenue, Awoyaya ibeju-lekki, Lagos state.
</t>
  </si>
  <si>
    <t>16/10/2023</t>
  </si>
  <si>
    <t>https://nafdacng.sharepoint.com/sites/PMSLAGOS/Shared Documents/GSDP (GOOD STORAGE AND DISTRIBUTION PRACTICE)/GSDP COMPANY FILES\VITBORAH PHARMA LTD</t>
  </si>
  <si>
    <t>SAM SUNNY PHARMA &amp; STORE LIMITED</t>
  </si>
  <si>
    <t>183, Ojo Igbede Road, Alangbadi, Lagos</t>
  </si>
  <si>
    <t>08061326919</t>
  </si>
  <si>
    <t>https://nafdacng.sharepoint.com/sites/PMSLAGOS/Shared Documents/GSDP (GOOD STORAGE AND DISTRIBUTION PRACTICE)/GSDP COMPANY FILES\SAM SUNNY PHARM</t>
  </si>
  <si>
    <t>GOD SAINTS PHARMACEUTICALS LIMITED</t>
  </si>
  <si>
    <t>34/35 Soglo Way, Badagry Lagos State</t>
  </si>
  <si>
    <t>08184385203</t>
  </si>
  <si>
    <t>https://nafdacng.sharepoint.com/sites/PMSLAGOS/Shared Documents/GSDP (GOOD STORAGE AND DISTRIBUTION PRACTICE)/GSDP COMPANY FILES\GOD SAINTS PHARMA LTD</t>
  </si>
  <si>
    <t>JUSTINAK PHARMACY</t>
  </si>
  <si>
    <t>1/2 AIT Road,Kola Bus stop,Alagbado,Lagos State.</t>
  </si>
  <si>
    <t>07068291506</t>
  </si>
  <si>
    <t>https://nafdacng.sharepoint.com/sites/PMSLAGOS/Shared Documents/GSDP (GOOD STORAGE AND DISTRIBUTION PRACTICE)/GSDP COMPANY FILES\JUSTINAK PHARMACY</t>
  </si>
  <si>
    <t>INSPIRATION PHARMACY NIG.LIMITED</t>
  </si>
  <si>
    <t>186,Mieran Road ,Ijaye Ojokoro,Lagos State.</t>
  </si>
  <si>
    <t>08090725047</t>
  </si>
  <si>
    <t>https://nafdacng.sharepoint.com/sites/PMSLAGOS/Shared Documents/GSDP (GOOD STORAGE AND DISTRIBUTION PRACTICE)/GSDP COMPANY FILES\INSPIRATION PHARMACY</t>
  </si>
  <si>
    <t>TOTAL = 106</t>
  </si>
  <si>
    <t>GDP INSPECTION CLASSIFICATION DATABASE AS AT  2024</t>
  </si>
  <si>
    <t xml:space="preserve">CAPA  ISSUED DATE </t>
  </si>
  <si>
    <t>Column1</t>
  </si>
  <si>
    <t>Column2</t>
  </si>
  <si>
    <t xml:space="preserve">DI MAGGO PHARMACEUTICALS
</t>
  </si>
  <si>
    <t>1 Egbe Road Ikotun Lagos.</t>
  </si>
  <si>
    <t>Mr. Magnus Ekenyem,08037277196</t>
  </si>
  <si>
    <t>11th March 2024</t>
  </si>
  <si>
    <t xml:space="preserve">Medium Risk </t>
  </si>
  <si>
    <t>28/05/24</t>
  </si>
  <si>
    <t>https://nafdacng.sharepoint.com/sites/PMSLAGOS/Shared Documents/GDP (GOOD DISTRIBUTION PRATICE)/GSDP COMPANY FILES\DI-MAGGIO</t>
  </si>
  <si>
    <t xml:space="preserve">SONYDON AND SONS PHARM NIG. LTD
</t>
  </si>
  <si>
    <t xml:space="preserve">126, Egbe Road Beside Nepa  B/Stop Ejigbo Lagos State.
</t>
  </si>
  <si>
    <t>Mr. Sunday Igwe</t>
  </si>
  <si>
    <t>28/05/25</t>
  </si>
  <si>
    <t>https://nafdacng.sharepoint.com/sites/PMSLAGOS/Shared Documents/GDP (GOOD DISTRIBUTION PRATICE)/GSDP COMPANY FILES\SONYDON &amp; SON</t>
  </si>
  <si>
    <t xml:space="preserve">SOLOCHUCKS PHARMACEUTICALS
</t>
  </si>
  <si>
    <t xml:space="preserve">8 Alli Dogo Street, Badia, Ijora Lagos State.
</t>
  </si>
  <si>
    <t>Pharm. Okolie Adolphus,07063390356</t>
  </si>
  <si>
    <t>12th March 2024</t>
  </si>
  <si>
    <t>28/05/26</t>
  </si>
  <si>
    <t>https://nafdacng.sharepoint.com/sites/PMSLAGOS/Shared Documents/GDP (GOOD DISTRIBUTION PRATICE)/GSDP COMPANY FILES\SOLOCHUKS PHARM</t>
  </si>
  <si>
    <t xml:space="preserve">SLOCHARS PHARMACEUTICALS
</t>
  </si>
  <si>
    <t xml:space="preserve">49 Coker Road Orile Coker Lagos State.
</t>
  </si>
  <si>
    <t>Mr. Damilare Dawodu,08033359934</t>
  </si>
  <si>
    <t>20/3/24</t>
  </si>
  <si>
    <t>https://nafdacng.sharepoint.com/sites/PMSLAGOS/Shared Documents/GDP (GOOD DISTRIBUTION PRATICE)/GSDP COMPANY FILES\SLOCHARS PHARM</t>
  </si>
  <si>
    <t>GRACEJOHNSON LIMITED</t>
  </si>
  <si>
    <t xml:space="preserve">448, OLD OJO ROAD, SATELLITE TOWN LAGOS
</t>
  </si>
  <si>
    <t>Offia Justina O.,08094579401</t>
  </si>
  <si>
    <t>13th March 2024</t>
  </si>
  <si>
    <t>https://nafdacng.sharepoint.com/sites/PMSLAGOS/Shared Documents/GDP (GOOD DISTRIBUTION PRATICE)/GSDP COMPANY FILES\GRACE JOHNSON LTD</t>
  </si>
  <si>
    <t>EL-NOSCO PHARMACY</t>
  </si>
  <si>
    <t xml:space="preserve">62, EKORO ROAD, ABULE-EGBA LAGOS
</t>
  </si>
  <si>
    <t>Pharm Ifeoma Nkemdilim,07031553339</t>
  </si>
  <si>
    <t>14th March 2024</t>
  </si>
  <si>
    <t>https://nafdacng.sharepoint.com/sites/PMSLAGOS/Shared Documents/GDP (GOOD DISTRIBUTION PRATICE)/GSDP COMPANY FILES\EL-NOSCO PHARM</t>
  </si>
  <si>
    <t>S. UMUNNA PHARMACEUTICALS</t>
  </si>
  <si>
    <t xml:space="preserve">26, MEIRAN RD., MEIRAN LAGOS
</t>
  </si>
  <si>
    <t>Pharm Agubor Stantely,08062585880</t>
  </si>
  <si>
    <t>https://nafdacng.sharepoint.com/sites/PMSLAGOS/Shared Documents/GDP (GOOD DISTRIBUTION PRATICE)/GSDP COMPANY FILES\S. UMUNNA PHARM</t>
  </si>
  <si>
    <t>TONIVIC PHARMACY</t>
  </si>
  <si>
    <t>18, DEMURIN STREET, KETU LAGOS</t>
  </si>
  <si>
    <t>Anita Chiwendu,09083549449</t>
  </si>
  <si>
    <t>28/3/24</t>
  </si>
  <si>
    <t>https://nafdacng.sharepoint.com/sites/PMSLAGOS/Shared Documents/GDP (GOOD DISTRIBUTION PRATICE)/GSDP COMPANY FILES\TONIVIC</t>
  </si>
  <si>
    <t>JOEBIZ PHARMACY</t>
  </si>
  <si>
    <t xml:space="preserve">26, Odugate Street, Ikorudu road, Lagos.
</t>
  </si>
  <si>
    <t>Pharm. Edeh Gift,'07034630536</t>
  </si>
  <si>
    <t>18th March 2024</t>
  </si>
  <si>
    <t>https://nafdacng.sharepoint.com/sites/PMSLAGOS/Shared Documents/GDP (GOOD DISTRIBUTION PRATICE)/GSDP COMPANY FILES\JOEBIZ PHARMACY</t>
  </si>
  <si>
    <t>GOODCARE PHARMACEUTICALS LTD (CAPA)</t>
  </si>
  <si>
    <t>111 ISAWO ROAD, AGRIC IKORODU LAGOS</t>
  </si>
  <si>
    <t>CAPA Submitted</t>
  </si>
  <si>
    <t>RALPHONES PHARMACEUTICAL (CAPA)</t>
  </si>
  <si>
    <t>18th Mrach 2024</t>
  </si>
  <si>
    <t>28/5/2024</t>
  </si>
  <si>
    <t>ROYAL PRIESTHOOD LAB LTD.</t>
  </si>
  <si>
    <t>3, ERULE OLABO STR., ODONLA ODONGUNYAN, IKORODU LAGOS</t>
  </si>
  <si>
    <t>Olufunsho Okunewo,08033512909</t>
  </si>
  <si>
    <t>https://nafdacng.sharepoint.com/:f:/s/PMSLAGOS/IgA0Jl4IY1vDR7iQOT0MDq3TAUynKViboBPDh_ABRHjR7sQ?e=A8QmxD</t>
  </si>
  <si>
    <t>MIVERO PHARM LTD (CAPA)</t>
  </si>
  <si>
    <t xml:space="preserve">244,AGEGE MOTOR ROAD, MUSHIN LAGOS </t>
  </si>
  <si>
    <t>19th March 2024</t>
  </si>
  <si>
    <t xml:space="preserve">Low Risk </t>
  </si>
  <si>
    <t>SEC PHARMACY</t>
  </si>
  <si>
    <t xml:space="preserve">135, ITIRE-IJESHA ROAD, SURULERE LAGOS
</t>
  </si>
  <si>
    <t xml:space="preserve">Pharm Kehinde,'08034760477 </t>
  </si>
  <si>
    <t>https://nafdacng.sharepoint.com/sites/PMSLAGOS/Shared Documents/GDP (GOOD DISTRIBUTION PRATICE)/GSDP COMPANY FILES\SEC PHARMACEUTICAL</t>
  </si>
  <si>
    <t>FEDESON PHARMACY</t>
  </si>
  <si>
    <t>147, IJESHA RD., IJESHA LAGOS</t>
  </si>
  <si>
    <t>Pharm Ifeyinwa Morah,09053039212</t>
  </si>
  <si>
    <t>https://nafdacng.sharepoint.com/sites/PMSLAGOS/Shared Documents/GSDP (GOOD STORAGE AND DISTRIBUTION PRACTICE)/GSDP COMPANY FILES\FEDESON PHARM</t>
  </si>
  <si>
    <t>ALATRA PHARMACEUTICALS (CAPA)</t>
  </si>
  <si>
    <t>7,0RIYOMI STREET,OFF KODESOH STREET,IKEJA</t>
  </si>
  <si>
    <t>Nriagu Pius,08023545633</t>
  </si>
  <si>
    <t>15TH May 2024</t>
  </si>
  <si>
    <t>29/05/24</t>
  </si>
  <si>
    <t>https://nafdacng.sharepoint.com/:f:/s/PMSLAGOS/IgDEREDujMUYRZhkrewJEPixAbYbfZ1LbL8qianGZ-plcdU?e=WqHder</t>
  </si>
  <si>
    <t>EZE-SUNICH PHARMACY</t>
  </si>
  <si>
    <t>207, SHIBIRI ROAD, SHIBIRI, EKUNPA</t>
  </si>
  <si>
    <t>Amara Okoye'08063788228</t>
  </si>
  <si>
    <t>20th March 2024</t>
  </si>
  <si>
    <t>https://nafdacng.sharepoint.com/sites/PMSLAGOS/Shared Documents/GDP (GOOD DISTRIBUTION PRATICE)/GSDP COMPANY FILES\EZE-SUNICH PHARM</t>
  </si>
  <si>
    <t>JOMEC PHARM CO.LTD</t>
  </si>
  <si>
    <t xml:space="preserve">865 SURULERE STREET DOPEMU LAGOS
</t>
  </si>
  <si>
    <t>Mr. Ifeanyi Okafor,8033453140</t>
  </si>
  <si>
    <t>6th May 2024</t>
  </si>
  <si>
    <t>21/5/24</t>
  </si>
  <si>
    <t xml:space="preserve">CHUPET PHARMACEUTICAL
</t>
  </si>
  <si>
    <t xml:space="preserve">18/20 OGUNGBESAN STREET COKER SURULERE LAGOS
</t>
  </si>
  <si>
    <t>Pharm. Ngozi Ata,08034028483</t>
  </si>
  <si>
    <t>7th May 2024</t>
  </si>
  <si>
    <t>https://nafdacng.sharepoint.com/sites/PMSLAGOS/Shared Documents/GSDP (GOOD STORAGE AND DISTRIBUTION PRACTICE)/GSDP COMPANY FILES\CHUPET PHARMACEUTICALS</t>
  </si>
  <si>
    <t>SPINE PRODUCT LTD</t>
  </si>
  <si>
    <t>24 AYODELE OKEOWO STREET SOLUYI GBAGADA LAGOS</t>
  </si>
  <si>
    <t>Pharm. Dominica Chiamaka Emezirinwanne,08030998612</t>
  </si>
  <si>
    <t>8th May 2024</t>
  </si>
  <si>
    <t>29/5/24</t>
  </si>
  <si>
    <t>https://nafdacng.sharepoint.com/sites/PMSLAGOS/Shared Documents/GDP (GOOD DISTRIBUTION PRATICE)/GSDP COMPANY FILES\SPINE PRODUCT LTD</t>
  </si>
  <si>
    <t>HOLY TRINTY PHARMACY</t>
  </si>
  <si>
    <t>12/19 ABULE ADALOKO ROAD ABULE-ERA OJO LAGOS</t>
  </si>
  <si>
    <t>Pharm Tina Agbada</t>
  </si>
  <si>
    <t>9th May 2024</t>
  </si>
  <si>
    <t>29/11/24</t>
  </si>
  <si>
    <t>https://nafdacng.sharepoint.com/sites/PMSLAGOS/Shared Documents/GDP (GOOD DISTRIBUTION PRATICE)/GSDP COMPANY FILES\HOLY TRINTY PHARM</t>
  </si>
  <si>
    <t>J.O SARCHMORE PHARMACY</t>
  </si>
  <si>
    <t>118 OLD LAGOS ROAD DEPPER LIFE BIBLE CHURCH AJARA BADAGRY LAGOS</t>
  </si>
  <si>
    <t>Orejekwe Joseph,08146180819</t>
  </si>
  <si>
    <t>https://nafdacng.sharepoint.com/sites/PMSLAGOS/Shared Documents/GDP (GOOD DISTRIBUTION PRATICE)/GSDP COMPANY FILES\J.O SARCHMORE PHARM</t>
  </si>
  <si>
    <t>SUNLIGHT LINKS PHARMACY LTD</t>
  </si>
  <si>
    <t>135 BORNO WAY EBUTA-METTA LAGOS</t>
  </si>
  <si>
    <t>Pharm. Olajide Omilana,07036693454</t>
  </si>
  <si>
    <t>13th May 2024</t>
  </si>
  <si>
    <t>https://nafdacng.sharepoint.com/sites/PMSLAGOS/Shared Documents/GDP (GOOD DISTRIBUTION PRATICE)/GSDP COMPANY FILES\SUNLIGHT LINK PHARMACY</t>
  </si>
  <si>
    <t>AL-TINEZ PHARMACEUTICALS</t>
  </si>
  <si>
    <t>18 JONES STREET EBUTE-METTA LAGOS</t>
  </si>
  <si>
    <t>Pharm. Eze Gift Laz,09033777367</t>
  </si>
  <si>
    <t>13th May  2024</t>
  </si>
  <si>
    <t>https://nafdacng.sharepoint.com/sites/PMSLAGOS/Shared Documents/GDP (GOOD DISTRIBUTION PRATICE)/GSDP COMPANY FILES\AL-TINEZ PHARMA. LTD</t>
  </si>
  <si>
    <t>ROCA PHARMACEUTICAL</t>
  </si>
  <si>
    <t>324 IJU-ISHAGA ROAD IJU LAGOS</t>
  </si>
  <si>
    <t>Pharm. Onyekachi Udeogu,08038569395</t>
  </si>
  <si>
    <t>14th May  2024</t>
  </si>
  <si>
    <t>EMBASSY PHARMACEUTICALS (CAPA)</t>
  </si>
  <si>
    <t>41,Ademola Street,Off Obafemi Awolowo Road,Ikoyi,Lagos state</t>
  </si>
  <si>
    <t>16th May 2024</t>
  </si>
  <si>
    <t>https://nafdacng.sharepoint.com/sites/PMSLAGOS/Shared Documents/GDP (GOOD DISTRIBUTION PRATICE)/GSDP COMPANY FILES\EMBASSY PHARM</t>
  </si>
  <si>
    <t>HILLY PHARMACY</t>
  </si>
  <si>
    <t>2 0DO OBALENDE LAGSO STATE</t>
  </si>
  <si>
    <t>Ogwe Chukwuemeka,08065263178</t>
  </si>
  <si>
    <t>https://nafdacng.sharepoint.com/sites/PMSLAGOS/Shared Documents/GDP (GOOD DISTRIBUTION PRATICE)/GSDP COMPANY FILES\HILLY PHARMACY</t>
  </si>
  <si>
    <t>ZADIP PHARMA NIG. LTD</t>
  </si>
  <si>
    <t>68B, COKER ROAD, ILUPEJU</t>
  </si>
  <si>
    <t xml:space="preserve"> Odugbesan Esther; 08023279017</t>
  </si>
  <si>
    <t>5th August 2024</t>
  </si>
  <si>
    <t>https://nafdacng.sharepoint.com/sites/PMSLAGOS/Shared Documents/GDP (GOOD DISTRIBUTION PRATICE)/GSDP COMPANY FILES\ZADIP PHARMA</t>
  </si>
  <si>
    <t>UNIQUE PHARM LTD</t>
  </si>
  <si>
    <t>3, BLIND CENTRE ROAD, OSHODI-MUSHIN</t>
  </si>
  <si>
    <t>Pharm. Titus Udoh 08034022402</t>
  </si>
  <si>
    <t>7th August 2024</t>
  </si>
  <si>
    <t>15/08/24</t>
  </si>
  <si>
    <t>https://nafdacng.sharepoint.com/sites/PMSLAGOS/Shared Documents/GSDP (GOOD STORAGE AND DISTRIBUTION PRACTICE)/GSDP COMPANY FILES\UNIQUE PHARMACEUTICALS</t>
  </si>
  <si>
    <t>GENERICS &amp; SPECIALITIES LTD</t>
  </si>
  <si>
    <t>9, Dave Anazodo street, Behind Eleganza Company, Ajao Estate, Isolo.</t>
  </si>
  <si>
    <t>Pharm. Cyril Odidika 08033344839</t>
  </si>
  <si>
    <t>8th August 2024</t>
  </si>
  <si>
    <t>27/08/24</t>
  </si>
  <si>
    <t>https://nafdacng.sharepoint.com/sites/PMSLAGOS/Shared Documents/GSDP (GOOD STORAGE AND DISTRIBUTION PRACTICE)/GSDP COMPANY FILES\GENERICS &amp; SPECIALITIES</t>
  </si>
  <si>
    <t xml:space="preserve">INTERPHARM GMBH </t>
  </si>
  <si>
    <r>
      <t>11A, John Olugbo Street, Ikeja</t>
    </r>
    <r>
      <rPr>
        <b/>
        <sz val="12"/>
        <color theme="1"/>
        <rFont val="Times New Roman"/>
        <family val="1"/>
      </rPr>
      <t xml:space="preserve">, </t>
    </r>
    <r>
      <rPr>
        <sz val="12"/>
        <color theme="1"/>
        <rFont val="Times New Roman"/>
        <family val="1"/>
      </rPr>
      <t>Lagos</t>
    </r>
    <r>
      <rPr>
        <b/>
        <sz val="12"/>
        <color theme="1"/>
        <rFont val="Times New Roman"/>
        <family val="1"/>
      </rPr>
      <t xml:space="preserve">                               </t>
    </r>
  </si>
  <si>
    <t>9th August 2024</t>
  </si>
  <si>
    <t>NO CAPA</t>
  </si>
  <si>
    <t>https://nafdacng.sharepoint.com/sites/PMSLAGOS/Shared Documents/GDP (GOOD DISTRIBUTION PRATICE)/GSDP COMPANY FILES\INTERPHARM GMBH</t>
  </si>
  <si>
    <t>AWARD GLOBAL COMPANY LTD (CAPA)</t>
  </si>
  <si>
    <t>13, Olawole Dawodu street, Gbagada</t>
  </si>
  <si>
    <t>Pharm Abel Okechukwu 08065139057</t>
  </si>
  <si>
    <t>12th August 2024</t>
  </si>
  <si>
    <t>15/0824</t>
  </si>
  <si>
    <t>https://nafdacng.sharepoint.com/sites/PMSLAGOS/Shared Documents/GSDP (GOOD STORAGE AND DISTRIBUTION PRACTICE)/GSDP COMPANY FILES\AWARD GLOBAL</t>
  </si>
  <si>
    <t xml:space="preserve">MARCSON HEALTHCARE </t>
  </si>
  <si>
    <t>29, Agric Road, Cele Bus-stop, isawo, Ikorodu.</t>
  </si>
  <si>
    <t>Pharm. Femi Abolarin 08037149817</t>
  </si>
  <si>
    <t>13th August 2024</t>
  </si>
  <si>
    <t>20/08/24</t>
  </si>
  <si>
    <t>https://nafdacng.sharepoint.com/sites/PMSLAGOS/Shared Documents/GSDP (GOOD STORAGE AND DISTRIBUTION PRACTICE)/GSDP COMPANY FILES\MARCSON HEALTHCARE</t>
  </si>
  <si>
    <t xml:space="preserve">PHARMAMAX NIGERIA LTD </t>
  </si>
  <si>
    <t>7/9 Sawyer Crescent, Phase 1, Gbagada</t>
  </si>
  <si>
    <t>Pharm Okoye Martha 07036263207</t>
  </si>
  <si>
    <t>14th August 2024</t>
  </si>
  <si>
    <t>https://nafdacng.sharepoint.com/sites/PMSLAGOS/Shared Documents/GDP (GOOD DISTRIBUTION PRATICE)/GSDP COMPANY FILES/PHARMAMAX NIG. LTD</t>
  </si>
  <si>
    <t>INTERPHARMA INDUSTRIES LTD</t>
  </si>
  <si>
    <t>28/30 Salvation Road, Opebi, Ikeja</t>
  </si>
  <si>
    <t>Pharm Adeyinka Benson</t>
  </si>
  <si>
    <t>16th August 2024</t>
  </si>
  <si>
    <t>16/08/24</t>
  </si>
  <si>
    <t>https://nafdacng.sharepoint.com/sites/PMSLAGOS/Shared Documents/GDP (GOOD DISTRIBUTION PRATICE)/GSDP COMPANY FILES/INTERPHARM GMBH</t>
  </si>
  <si>
    <t>KCH CONSUMER HEALTHCARE LTD</t>
  </si>
  <si>
    <t>23B, Kwame Nkrumah Crown Estate, Lekki-Epe Expressway, Lagos State.</t>
  </si>
  <si>
    <t>Pharm Chris Ukah 08032317625</t>
  </si>
  <si>
    <t>19th August 2024</t>
  </si>
  <si>
    <t>21/08/24</t>
  </si>
  <si>
    <t>https://nafdacng.sharepoint.com/sites/PMSLAGOS/Shared Documents/GSDP (GOOD STORAGE AND DISTRIBUTION PRACTICE)/GSDP COMPANY FILES\KCH CONSUMER</t>
  </si>
  <si>
    <t>XCEL PHARMA LTD</t>
  </si>
  <si>
    <t>9, Olowogbomu street, Ilupeju, Lagos</t>
  </si>
  <si>
    <t>Pharm Steve Okonkwo 08023077320</t>
  </si>
  <si>
    <t>28th August 2024</t>
  </si>
  <si>
    <t>REMINDER LETTER</t>
  </si>
  <si>
    <t>https://nafdacng.sharepoint.com/sites/PMSLAGOS/Shared Documents/GDP (GOOD DISTRIBUTION PRATICE)/GSDP COMPANY FILES\XCEL PHARMA</t>
  </si>
  <si>
    <t>MEDVACC PHARMACY LTD</t>
  </si>
  <si>
    <t>16, Karimu Kotun Street, Victoria Island</t>
  </si>
  <si>
    <t>Gbone Ihukwe 08022245920</t>
  </si>
  <si>
    <t>16th September 2024</t>
  </si>
  <si>
    <t>19/09/24</t>
  </si>
  <si>
    <t>https://nafdacng.sharepoint.com/sites/PMSLAGOS/Shared Documents/GSDP (GOOD STORAGE AND DISTRIBUTION PRACTICE)/GSDP COMPANY FILES\MEDVACC PHARMACY</t>
  </si>
  <si>
    <t>VACCIPHARM LTD (CAPA)</t>
  </si>
  <si>
    <t>30, Raymond Njoku, Ikoyi, Lagos</t>
  </si>
  <si>
    <t>Pharm. Fdekemi Adeyemi 0809455315</t>
  </si>
  <si>
    <t>PLACEWARE NIG. LTD</t>
  </si>
  <si>
    <t>64, Aina street, Ojodu beside trinity school, Lagos.</t>
  </si>
  <si>
    <t>Pharm. Idowu Akinola 08023246113</t>
  </si>
  <si>
    <t>17th September 2024</t>
  </si>
  <si>
    <t>18/09/24</t>
  </si>
  <si>
    <t>https://nafdacng.sharepoint.com/sites/PMSLAGOS/Shared Documents/GDP (GOOD DISTRIBUTION PRATICE)/GSDP COMPANY FILES\PLACEWARE NIG LTD</t>
  </si>
  <si>
    <t xml:space="preserve">SUMMIT HEALTHCARE PHARMACEUTICAL </t>
  </si>
  <si>
    <t>27, Isaac John street, GRA, Ikeja, Lagos</t>
  </si>
  <si>
    <t>Ogugua Benaiah 08037119762</t>
  </si>
  <si>
    <t>18th September 2024</t>
  </si>
  <si>
    <t>https://nafdacng.sharepoint.com/sites/PMSLAGOS/Shared Documents/GDP (GOOD DISTRIBUTION PRATICE)/GSDP COMPANY FILES\SUMMIT HEALTHCARE</t>
  </si>
  <si>
    <t xml:space="preserve">MERIT HEALTHCARE LTD
</t>
  </si>
  <si>
    <t>10, Dele Ashiru street, Ire Akari estate, Isolo</t>
  </si>
  <si>
    <t>Adedamola Adeyanju 08171273639</t>
  </si>
  <si>
    <t>23rd September 2024</t>
  </si>
  <si>
    <t>24/0924</t>
  </si>
  <si>
    <t>https://nafdacng.sharepoint.com/sites/PMSLAGOS/Shared Documents/GDP (GOOD DISTRIBUTION PRATICE)/GSDP COMPANY FILES\MERIT HEALTHCARE</t>
  </si>
  <si>
    <t>EXXON PHARM. LTD</t>
  </si>
  <si>
    <t>Arcee Textile Mill Comp., Plot A, blk 2B , Aswani street, Isolo</t>
  </si>
  <si>
    <t>Pharm Mercy Ndubuisi 07031888548</t>
  </si>
  <si>
    <t>High Risk</t>
  </si>
  <si>
    <t>https://nafdacng.sharepoint.com/sites/PMSLAGOS/Shared Documents/GSDP (GOOD STORAGE AND DISTRIBUTION PRACTICE)/GSDP COMPANY FILES\exxon</t>
  </si>
  <si>
    <t>NEOLIFE INTERNATIONAL LTD.</t>
  </si>
  <si>
    <t>12, Chief Olu Oshunkeye Crescent, Gbagada, Lagos</t>
  </si>
  <si>
    <t>Beatrice Onuoha 08146512653</t>
  </si>
  <si>
    <t>24th September 2024</t>
  </si>
  <si>
    <t>30/09/24</t>
  </si>
  <si>
    <t>https://nafdacng.sharepoint.com/sites/PMSLAGOS/Shared Documents/GDP (GOOD DISTRIBUTION PRATICE)/GSDP COMPANY FILES\NEOLIFE</t>
  </si>
  <si>
    <t>https://nafdacng.sharepoint.com/sites/PMSLAGOS/Shared Documents/GSDP (GOOD STORAGE AND DISTRIBUTION PRACTICE)/GSDP COMPANY FILES/AWARD GLOBAL</t>
  </si>
  <si>
    <t>CHANRAI HEALTHCARE LTD. (CAPA)</t>
  </si>
  <si>
    <t>122-132, Oshodi-apapa express, Isolo, Lagos</t>
  </si>
  <si>
    <t>3rd October, 2024</t>
  </si>
  <si>
    <t>https://nafdacng.sharepoint.com/sites/PMSLAGOS/Shared Documents/GDP (GOOD DISTRIBUTION PRATICE)/GSDP COMPANY FILES\CHANRAI</t>
  </si>
  <si>
    <t>TRICARE PHARM.</t>
  </si>
  <si>
    <t>28, Osolo way, Airport Road, Lagos</t>
  </si>
  <si>
    <t>5th November, 2024</t>
  </si>
  <si>
    <t>https://nafdacng.sharepoint.com/sites/PMSLAGOS/Shared Documents/GDP (GOOD DISTRIBUTION PRATICE)/GSDP COMPANY FILES\TRICARE</t>
  </si>
  <si>
    <t>STERLING BIOPHARM</t>
  </si>
  <si>
    <t>6, Femi Asiwaju Close, Ojodu estate, Ojodu, Lagos</t>
  </si>
  <si>
    <t>https://nafdacng.sharepoint.com/sites/PMSLAGOS/Shared Documents/GSDP (GOOD STORAGE AND DISTRIBUTION PRACTICE)/GSDP COMPANY FILES\STERLING BIOPHARMA</t>
  </si>
  <si>
    <t>SEAGREEN PHARMACEUTICALS</t>
  </si>
  <si>
    <t>3, Okunfolami Str., Anthony Village</t>
  </si>
  <si>
    <t>Rosita Ijeoma 9017749944</t>
  </si>
  <si>
    <t>12th November, 2024</t>
  </si>
  <si>
    <t>https://nafdacng.sharepoint.com/sites/PMSLAGOS/Shared Documents/GSDP (GOOD STORAGE AND DISTRIBUTION PRACTICE)/GSDP COMPANY FILES\Seagreen Pharmaceuticals</t>
  </si>
  <si>
    <t>BRENT CROSS PHARM LTD.</t>
  </si>
  <si>
    <t>9, JOHNSON STR., OFF BODE THOMAS SURULERE</t>
  </si>
  <si>
    <t>Benedict IK 08033936345</t>
  </si>
  <si>
    <t>19th November, 2024</t>
  </si>
  <si>
    <t>CAPA to be Submitted</t>
  </si>
  <si>
    <t>https://nafdacng.sharepoint.com/sites/PMSLAGOS/Shared Documents/GDP (GOOD DISTRIBUTION PRATICE)/GSDP COMPANY FILES\Brent Cross</t>
  </si>
  <si>
    <t>PHARMGATE HEALTHCARE LTD.</t>
  </si>
  <si>
    <t>28, Salawu Onikoyi Str., Ifako, Gbagada</t>
  </si>
  <si>
    <t>Mbonu Charles 0802337610</t>
  </si>
  <si>
    <t>20th November, 2024</t>
  </si>
  <si>
    <t>https://nafdacng.sharepoint.com/sites/PMSLAGOS/Shared Documents/GDP (GOOD DISTRIBUTION PRATICE)/GSDP COMPANY FILES\Pharmgate Healthcare LTD</t>
  </si>
  <si>
    <t>NECTAR HEALTHCARE LTD.</t>
  </si>
  <si>
    <t>16B, Residence Road, Gbagada Phase 2</t>
  </si>
  <si>
    <t>Ifeoma Alptus 08039302111</t>
  </si>
  <si>
    <t>22/11/24</t>
  </si>
  <si>
    <t>https://nafdacng.sharepoint.com/sites/PMSLAGOS/Shared Documents/GDP (GOOD DISTRIBUTION PRATICE)/GSDP COMPANY FILES\NECTAR</t>
  </si>
  <si>
    <t>ZOGGER PHARMA LTD.</t>
  </si>
  <si>
    <t>5B, Akin George Road, Obanikoro</t>
  </si>
  <si>
    <t>Kuti Olusegun 08053274036</t>
  </si>
  <si>
    <t>https://nafdacng.sharepoint.com/sites/PMSLAGOS/Shared Documents/GDP (GOOD DISTRIBUTION PRATICE)/GSDP COMPANY FILES\ZOGGAR PHARMA LTD</t>
  </si>
  <si>
    <t>FAES FARMA NIG. LTD.</t>
  </si>
  <si>
    <t>25D, Ladoke Akintola Str., Ikeja GRA</t>
  </si>
  <si>
    <t>Pharm. Johnbull 08034523215</t>
  </si>
  <si>
    <t>21st November, 2024</t>
  </si>
  <si>
    <t>https://nafdacng.sharepoint.com/sites/PMSLAGOS/Shared Documents/GDP (GOOD DISTRIBUTION PRATICE)/GSDP COMPANY FILES\Faes Farma ltd</t>
  </si>
  <si>
    <t>LYN-EDGE PHARMACEUTICALS</t>
  </si>
  <si>
    <t>Block viii, Plot 23, Orchad Close, Chevron alternative route, Lekki</t>
  </si>
  <si>
    <t>Njoku Uche 07031710888</t>
  </si>
  <si>
    <t>https://nafdacng.sharepoint.com/sites/PMSLAGOS/Shared Documents/GDP (GOOD DISTRIBUTION PRATICE)/GSDP COMPANY FILES\LYN EDGE</t>
  </si>
  <si>
    <t>TETA PHARMACEUTICALS</t>
  </si>
  <si>
    <t>4, OKEHO STR., IREAKARI ESTATE, ISOLO</t>
  </si>
  <si>
    <t>08036655918 Pharm. George Akinruli</t>
  </si>
  <si>
    <t>3rd December, 2024</t>
  </si>
  <si>
    <t>3/12//24</t>
  </si>
  <si>
    <t>https://nafdacng.sharepoint.com/sites/PMSLAGOS/Shared Documents/GSDP (GOOD STORAGE AND DISTRIBUTION PRACTICE)/GSDP COMPANY FILES\TETA PHARMACEUTICALS</t>
  </si>
  <si>
    <t>FEDESON PHARMACY (CAPA)</t>
  </si>
  <si>
    <t>https://nafdacng.sharepoint.com/sites/PMSLAGOS/Shared Documents/GDP (GOOD DISTRIBUTION PRATICE)/GSDP COMPANY FILES\FEDESON PHARM</t>
  </si>
  <si>
    <t>IDEAL EAGLES</t>
  </si>
  <si>
    <t>3, DACOSTA STREET, OFF IWAYA RD, YABA</t>
  </si>
  <si>
    <t>08160823134 Dr. Akinmolayan</t>
  </si>
  <si>
    <t>4th December, 2024</t>
  </si>
  <si>
    <t>https://nafdacng.sharepoint.com/sites/PMSLAGOS/Shared Documents/GDP (GOOD DISTRIBUTION PRATICE)/GSDP COMPANY FILES\IDEAL EAGLES</t>
  </si>
  <si>
    <t>CHARTERHOUSE PHARM. LTD.</t>
  </si>
  <si>
    <t>HSE PLOT 9, BLK, C, CBD, NERDC STR, ALAUSA, IKEJA</t>
  </si>
  <si>
    <t>5th December, 2024</t>
  </si>
  <si>
    <t>https://nafdacng.sharepoint.com/sites/PMSLAGOS/Shared Documents/GSDP (GOOD STORAGE AND DISTRIBUTION PRACTICE)/GSDP COMPANY FILES\Charter House</t>
  </si>
  <si>
    <t xml:space="preserve">CHUPET PHARMACEUTICAL(CAPA)
</t>
  </si>
  <si>
    <t xml:space="preserve">18/20 OGUNGBESAN STR. COKER,SURULERE
</t>
  </si>
  <si>
    <t>08034028483 Pharm. Ngozi</t>
  </si>
  <si>
    <t>10th December, 2024</t>
  </si>
  <si>
    <t>https://nafdacng.sharepoint.com/sites/PMSLAGOS/Shared Documents/GDP (GOOD DISTRIBUTION PRATICE)/GSDP COMPANY FILES\CHUPET PHARMACEUTICALS</t>
  </si>
  <si>
    <t>GBGL PHARM.</t>
  </si>
  <si>
    <t>PLOT 3A, BLK A REDEMPTION CRESCENT, GBAGADA INDUSTRIAL ESTATE</t>
  </si>
  <si>
    <t>07087721482 Dorothy Ughenu</t>
  </si>
  <si>
    <t>https://nafdacng.sharepoint.com/sites/PMSLAGOS/Shared Documents/GSDP (GOOD STORAGE AND DISTRIBUTION PRACTICE)/GSDP COMPANY FILES\GBGL PHARMACEUTICALS</t>
  </si>
  <si>
    <t>GDP INSPECTION CLASSIFICATION DATA BASE AS AT 2025</t>
  </si>
  <si>
    <t>DATE CAPA ISSUED</t>
  </si>
  <si>
    <t>SANTECARE LIMITED</t>
  </si>
  <si>
    <t>55, COKER ROAD, ILUPEJU</t>
  </si>
  <si>
    <t>21/01/2025</t>
  </si>
  <si>
    <t>26th january 2025</t>
  </si>
  <si>
    <t>CAPA TO BE SUBMITTED</t>
  </si>
  <si>
    <t>https://nafdacng.sharepoint.com/sites/PMSLAGOS/Shared Documents/GSDP (GOOD STORAGE AND DISTRIBUTION PRACTICE)/GSDP COMPANY FILES\Santa Care LTD</t>
  </si>
  <si>
    <t>JANE-MADOK PHARMACY &amp; WELLNESS CENTER</t>
  </si>
  <si>
    <t>3, ISHERI OSUN RD., JAKANDE GATE, ISOLO</t>
  </si>
  <si>
    <t>23/01/2025</t>
  </si>
  <si>
    <t>25th january 2025</t>
  </si>
  <si>
    <t>https://nafdacng.sharepoint.com/sites/PMSLAGOS/Shared Documents/GSDP (GOOD STORAGE AND DISTRIBUTION PRACTICE)/GSDP COMPANY FILES\Jane-Madok</t>
  </si>
  <si>
    <t>ROCHE PRODUCTS LIMITED (MEDICAL DEVICES)</t>
  </si>
  <si>
    <t>AGL WAREHOUSE, KILOMETER11, OPPOSITE TOP MOUNTAIN UNIVERSITY, ALONG LAGOS IBADAN EXPRESSWAY, IBAFO</t>
  </si>
  <si>
    <t>23/01/25</t>
  </si>
  <si>
    <t>11th February 2025</t>
  </si>
  <si>
    <t>https://nafdacng.sharepoint.com/sites/PMSLAGOS/Shared Documents/GSDP (GOOD STORAGE AND DISTRIBUTION PRACTICE)/GSDP COMPANY FILES\Roche Products ltd</t>
  </si>
  <si>
    <t>KCH CONSUMER HEALTHCARE LTD. (CAPA)</t>
  </si>
  <si>
    <t>2B KWAME NKRUMAH LANE, CROWN ESTATE, LEKKI-EPE EXPRESSWAY, AJAH</t>
  </si>
  <si>
    <t>28/01/2025</t>
  </si>
  <si>
    <t>28th january 2025</t>
  </si>
  <si>
    <t>MUJID HEALTHCARE LTD</t>
  </si>
  <si>
    <t>PLOT B, GREENLAND ESTATE, AJAH</t>
  </si>
  <si>
    <t>https://nafdacng.sharepoint.com/sites/PMSLAGOS/Shared Documents/GSDP (GOOD STORAGE AND DISTRIBUTION PRACTICE)/GSDP COMPANY FILES\MULTIBASE</t>
  </si>
  <si>
    <t>ISN MEDICAL 40-42 ASSOCIATION AVENUE, ILUPEJU</t>
  </si>
  <si>
    <t>EUROMED LTD</t>
  </si>
  <si>
    <t>18/03/2025</t>
  </si>
  <si>
    <t>25TH MARCH 2025</t>
  </si>
  <si>
    <t>https://nafdacng.sharepoint.com/sites/PMSLAGOS/Shared Documents/GSDP (GOOD STORAGE AND DISTRIBUTION PRACTICE)/GSDP COMPANY FILES\EUROMED</t>
  </si>
  <si>
    <t>GREENLIFE PHARMA CEUTICALS LTD. (CAPA)</t>
  </si>
  <si>
    <t>35A, ASSOCIATION AVENUE, OFF OBANIKORO BUS STOP, ILUPEJU</t>
  </si>
  <si>
    <t>CLOSED</t>
  </si>
  <si>
    <t>DORTEMAG PHARM. &amp; STORES</t>
  </si>
  <si>
    <t>381G, TITILAYO ADEDOYIN STR., OMOLE EST. PHASE 1, OGBA-IKEJA</t>
  </si>
  <si>
    <t>PHARM. SEYE AGBOOLA 0803315214</t>
  </si>
  <si>
    <t>18TH MARCH 2025</t>
  </si>
  <si>
    <t>https://nafdacng.sharepoint.com/sites/PMSLAGOS/Shared Documents/GSDP (GOOD STORAGE AND DISTRIBUTION PRACTICE)/GSDP COMPANY FILES\DORTEMAG</t>
  </si>
  <si>
    <t>HEALTHLINE NIG. LTD</t>
  </si>
  <si>
    <t>29, ADENIYI JONES AVENUE, IKEJA</t>
  </si>
  <si>
    <t>MRS. ITUNU AJAYI 08030678801</t>
  </si>
  <si>
    <t>18TH MRCH 2025</t>
  </si>
  <si>
    <t>https://nafdacng.sharepoint.com/sites/PMSLAGOS/Shared Documents/GSDP (GOOD STORAGE AND DISTRIBUTION PRACTICE)/GSDP COMPANY FILES\HEALTHLINE NIG. LTD</t>
  </si>
  <si>
    <t>GETZPHARMA NIG. LTD</t>
  </si>
  <si>
    <t>PLOT 2, IJA ODOLA CLOSE IKEJA GRA</t>
  </si>
  <si>
    <t>OBEGOLU NNEKA 08165370750</t>
  </si>
  <si>
    <t>https://nafdacng.sharepoint.com/sites/PMSLAGOS/Shared Documents/GSDP (GOOD STORAGE AND DISTRIBUTION PRACTICE)/GSDP COMPANY FILES\GETZ PHARM NIG. LTD</t>
  </si>
  <si>
    <t>SHEPHERD HEALTH &amp; VETERINARY LTD.</t>
  </si>
  <si>
    <t>24, MONTGOMERY RD., YABA</t>
  </si>
  <si>
    <t>JOSEPH ADETUNJI 08037184254</t>
  </si>
  <si>
    <t>19/03/2025</t>
  </si>
  <si>
    <t>19TH MARCH 2025</t>
  </si>
  <si>
    <t>https://nafdacng.sharepoint.com/sites/PMSLAGOS/Shared Documents/GSDP (GOOD STORAGE AND DISTRIBUTION PRACTICE)/GSDP COMPANY FILES\SHEPHERD HEALTH</t>
  </si>
  <si>
    <t>ADCEM PHARMACEUTICALS LTD</t>
  </si>
  <si>
    <t>2, NIWILI CLOSE, IKEJA</t>
  </si>
  <si>
    <t>OKEKE ONYEKACHI 08123915479</t>
  </si>
  <si>
    <t>https://nafdacng.sharepoint.com/sites/PMSLAGOS/Shared Documents/GSDP (GOOD STORAGE AND DISTRIBUTION PRACTICE)/GSDP COMPANY FILES\Adcem</t>
  </si>
  <si>
    <t>ADDMORE PHARMACY</t>
  </si>
  <si>
    <t>251, AGEGE-MOTOR ROAD, MUSHIN</t>
  </si>
  <si>
    <t>BENSON NDULUE 08023019928</t>
  </si>
  <si>
    <t>https://nafdacng.sharepoint.com/sites/PMSLAGOS/Shared Documents/GSDP (GOOD STORAGE AND DISTRIBUTION PRACTICE)/GSDP COMPANY FILES\Addmore</t>
  </si>
  <si>
    <t>AXION PHARMACEUTICALS LTD</t>
  </si>
  <si>
    <t>13, MODUPE STREET, SOMOLU, LAGOS.</t>
  </si>
  <si>
    <t>PHARM. ONYINYE 07061902283</t>
  </si>
  <si>
    <t>20/03/2025</t>
  </si>
  <si>
    <t>https://nafdacng.sharepoint.com/sites/PMSLAGOS/Shared Documents/GSDP (GOOD STORAGE AND DISTRIBUTION PRACTICE)/GSDP COMPANY FILES\Axion</t>
  </si>
  <si>
    <t>MED EXPRESS</t>
  </si>
  <si>
    <t>7A, ADEWALE KOLAWOLE CRESCENT, OFF KUBOYE STR., MARUWA, LEKKI</t>
  </si>
  <si>
    <t>RUEMU OKUNDIA 08033001059</t>
  </si>
  <si>
    <t>SATISFACTORY</t>
  </si>
  <si>
    <t>https://nafdacng.sharepoint.com/sites/PMSLAGOS/Shared Documents/GSDP (GOOD STORAGE AND DISTRIBUTION PRACTICE)/GSDP COMPANY FILES\MEDEXPRESS</t>
  </si>
  <si>
    <t>SOLID ACCORD LTD</t>
  </si>
  <si>
    <t>85B, FEMI KILLA RD., OFF AGO PALACE WAY, OKOTA</t>
  </si>
  <si>
    <t>MR FRANCIS OHALE 08033738531</t>
  </si>
  <si>
    <t>21ST MARCH 2025</t>
  </si>
  <si>
    <t>https://nafdacng.sharepoint.com/sites/PMSLAGOS/Shared Documents/GSDP (GOOD STORAGE AND DISTRIBUTION PRACTICE)/GSDP COMPANY FILES\Solid Accord</t>
  </si>
  <si>
    <t>AQUATIX PHARM. LTD</t>
  </si>
  <si>
    <t>9, DAVE ANAZODO STREET, NEAR CHIVITA COMPANY, AJAO ESTATE</t>
  </si>
  <si>
    <t>MR. PRADEEP CHAUDHARY 08025555568</t>
  </si>
  <si>
    <t>https://nafdacng.sharepoint.com/sites/PMSLAGOS/Shared Documents/GSDP (GOOD STORAGE AND DISTRIBUTION PRACTICE)/GSDP COMPANY FILES\AQUATIX</t>
  </si>
  <si>
    <t>SAI SAGAR</t>
  </si>
  <si>
    <t>2, KAARA STREET.,OFF OSOLO WAY,AJAO ESTATE,LAGOS</t>
  </si>
  <si>
    <t>PHARM. OKEKE UCHE 07055244581</t>
  </si>
  <si>
    <t>https://nafdacng.sharepoint.com/sites/PMSLAGOS/Shared%20Documents/GDP%20(GOOD%20DISTRIBUTION%20PRATICE)/GSDP%20COMPANY%20FILES/ICE%20REMEDIES</t>
  </si>
  <si>
    <t>MAYDON PHARM. &amp; CHEM. CO. LTD.</t>
  </si>
  <si>
    <t>15, WILMER STREET, OFF TOWN PLANNING WAY, ILUPEJU</t>
  </si>
  <si>
    <t>Pharm. PE Orazukile 08034304758</t>
  </si>
  <si>
    <t>15/04/2025</t>
  </si>
  <si>
    <t>5TH MAY 2025</t>
  </si>
  <si>
    <t>https://nafdacng.sharepoint.com/sites/PMSLAGOS/Shared Documents/GSDP (GOOD STORAGE AND DISTRIBUTION PRACTICE)/GSDP COMPANY FILES\MAYDON</t>
  </si>
  <si>
    <t>ALMOND ETHICALS LTD</t>
  </si>
  <si>
    <t>2B, MOJOLA STREET, AJAO ESTATE, ANTHONY VILLAGE LAGOS</t>
  </si>
  <si>
    <t>THEODORE R. OKAFOR 08033324448</t>
  </si>
  <si>
    <t>https://nafdacng.sharepoint.com/sites/PMSLAGOS/Shared%20Documents/GDP%20(GOOD%20DISTRIBUTION%20PRATICE)/GSDP%20COMPANY%20FILES\ALMOND%20ETHICALS</t>
  </si>
  <si>
    <t>EJIMATH PHARMACY LTD.</t>
  </si>
  <si>
    <t>10, ABEOKUTA STREET, OFF ABEOKUTA EXPRESS ROAD, PLEASURE, ALIMOSHO, LAGOS</t>
  </si>
  <si>
    <t>Pharm. (Dr.) Agu Nnamdulu</t>
  </si>
  <si>
    <t>23RD APRIL 2025</t>
  </si>
  <si>
    <t>https://nafdacng.sharepoint.com/sites/PMSLAGOS/Shared Documents/GSDP (GOOD STORAGE AND DISTRIBUTION PRACTICE)/GSDP COMPANY FILES\EJIMATH</t>
  </si>
  <si>
    <t>NAFRO PHARMA NIG. LTD.</t>
  </si>
  <si>
    <t>SUITE B16, AMORI SHOPPING PLAZA, EGBEDA.</t>
  </si>
  <si>
    <t>Abasilim 08033262248</t>
  </si>
  <si>
    <t>https://nafdacng.sharepoint.com/sites/PMSLAGOS/Shared Documents/GSDP (GOOD STORAGE AND DISTRIBUTION PRACTICE)/GSDP COMPANY FILES\NANCIL1</t>
  </si>
  <si>
    <t>THOMPSON &amp; GRACE PHARM. LTD.</t>
  </si>
  <si>
    <t xml:space="preserve">7, MORONU MADUAGWU STR., OFF MASHA, SURULERE
</t>
  </si>
  <si>
    <t>Pharm. Anthony Otaigbe 07060954163</t>
  </si>
  <si>
    <t>16/04/2025</t>
  </si>
  <si>
    <t>https://nafdacng.sharepoint.com/sites/PMSLAGOS/Shared Documents/GSDP (GOOD STORAGE AND DISTRIBUTION PRACTICE)/GSDP COMPANY FILES\Thompson &amp; Grace Pharm</t>
  </si>
  <si>
    <t>GLOBAL ONE WORD HEALTHCARE</t>
  </si>
  <si>
    <t>30B TOWOLAWI, COKER VILLAGE, ORILE IGANMU, SURULERE</t>
  </si>
  <si>
    <t>PHARM. IFE ADETIFA 07033775248</t>
  </si>
  <si>
    <t>24TH APRIL 2025</t>
  </si>
  <si>
    <t>https://nafdacng.sharepoint.com/sites/PMSLAGOS/Shared Documents/GSDP (GOOD STORAGE AND DISTRIBUTION PRACTICE)/GSDP COMPANY FILES\Global One healthcare</t>
  </si>
  <si>
    <t>LABETA DRUGS LTD.</t>
  </si>
  <si>
    <t>16, BADARU STREET, BY MASHA BUSSTOP, SURULERE</t>
  </si>
  <si>
    <t>Elizabeth Amomo 08023263729</t>
  </si>
  <si>
    <t>https://nafdacng.sharepoint.com/sites/PMSLAGOS/Shared Documents/GSDP (GOOD STORAGE AND DISTRIBUTION PRACTICE)/GSDP COMPANY FILES\LABETA</t>
  </si>
  <si>
    <t>MULTIBASE PHARMA IND. NIG. LTD</t>
  </si>
  <si>
    <t>7A, AJIBADE OKE STR., AJAO ESTATE</t>
  </si>
  <si>
    <t>17/04/2025</t>
  </si>
  <si>
    <t>NO CAPA UNTIL IMPORTATION BEGINS</t>
  </si>
  <si>
    <t>GENERICS &amp; SPECIALITIES LTD (CAPA)</t>
  </si>
  <si>
    <t xml:space="preserve">Pharm. Cyril Odidika </t>
  </si>
  <si>
    <t>NANCIL NIG. LTD.</t>
  </si>
  <si>
    <t>1, CEDAR ROAD, OFF OJODU ABIODUN ROAD, OJODU BERGER</t>
  </si>
  <si>
    <t>Pharm. Chizoba Akubue</t>
  </si>
  <si>
    <t>22ND APRIL 2025</t>
  </si>
  <si>
    <t>TETA PHARM. LTD.(CAPA)</t>
  </si>
  <si>
    <t>4, OKEHO STREET, IREAKARI ESTATE, ISOLO</t>
  </si>
  <si>
    <t>Pharm. George Akinsuli</t>
  </si>
  <si>
    <t>VITANE PHARM. NIG. LTD.</t>
  </si>
  <si>
    <t>M.ALATEEKS</t>
  </si>
  <si>
    <t>ORANGE DRUGS LTD.</t>
  </si>
  <si>
    <t>66/68, TOWN PLANNING WAY, ILUPEJU</t>
  </si>
  <si>
    <t>20/05/2025</t>
  </si>
  <si>
    <t>21ST MAY 2025</t>
  </si>
  <si>
    <t>https://nafdacng.sharepoint.com/sites/PMSLAGOS/Shared Documents/GSDP (GOOD STORAGE AND DISTRIBUTION PRACTICE)/GSDP COMPANY FILES\Orange drugs ltd</t>
  </si>
  <si>
    <t>GLOBAL HEALTHCARE LTD</t>
  </si>
  <si>
    <t>12, OLUSOJI IDOWU STREET, OFF ADEKUNLE ODUNLAMI CRESCERNT, ILUPEJU</t>
  </si>
  <si>
    <t>OLADIMEJI GBOTOSO 08033371573</t>
  </si>
  <si>
    <t>https://nafdacng.sharepoint.com/sites/PMSLAGOS/Shared Documents/GSDP (GOOD STORAGE AND DISTRIBUTION PRACTICE)/GSDP COMPANY FILES\Global Healthcare Ltd</t>
  </si>
  <si>
    <t>OXUS PHARMA LTD.</t>
  </si>
  <si>
    <t>20, OGUNAIKE STREET, OFF SHIPEOLU STREET, PALMGROOVE</t>
  </si>
  <si>
    <t>PHARM. EGBUNIKE 08065139357</t>
  </si>
  <si>
    <t>https://nafdacng.sharepoint.com/sites/PMSLAGOS/Shared Documents/GSDP (GOOD STORAGE AND DISTRIBUTION PRACTICE)/GSDP COMPANY FILES\Oxus pharma</t>
  </si>
  <si>
    <t>MICRONOVA PHARM. INDT. LTD</t>
  </si>
  <si>
    <t>PLOT 3, BILLINGS WAY, OREGUN IND ESTATE, IKEJA</t>
  </si>
  <si>
    <t>OGUEF SOLOMON 08033555665</t>
  </si>
  <si>
    <t>26TH MAY 2025</t>
  </si>
  <si>
    <t>https://nafdacng.sharepoint.com/sites/PMSLAGOS/Shared Documents/GSDP (GOOD STORAGE AND DISTRIBUTION PRACTICE)/GSDP COMPANY FILES\Mid century Agro Allied Ventures</t>
  </si>
  <si>
    <t xml:space="preserve">TURNER WRIGHT LTD. </t>
  </si>
  <si>
    <t>15, ADENEKAN SALAKO STR., OGBA, IKEJA</t>
  </si>
  <si>
    <t>PHARM. F. AKINDELE 08033068480</t>
  </si>
  <si>
    <t>25TH MAY 2025</t>
  </si>
  <si>
    <t>https://nafdacng.sharepoint.com/sites/PMSLAGOS/Shared%20Documents/GDP%20(GOOD%20DISTRIBUTION%20PRATICE)/GSDP%20COMPANY%20FILES/TURNER%20WRIGHT%20LTD</t>
  </si>
  <si>
    <t>BRIAN MUNRO LTD</t>
  </si>
  <si>
    <t>25, IZE IYAMU STR., OFF BILLINGSWAY, OREGUN</t>
  </si>
  <si>
    <t>PHARM. OLORUNSOLA BOLUWATIFE 08060378307</t>
  </si>
  <si>
    <t>22/05/2025</t>
  </si>
  <si>
    <t>23RD MAY 2025</t>
  </si>
  <si>
    <t>https://nafdacng.sharepoint.com/sites/PMSLAGOS/Shared Documents/GSDP (GOOD STORAGE AND DISTRIBUTION PRACTICE)/GSDP COMPANY FILES\Brian Munroe</t>
  </si>
  <si>
    <t>SAGAR VITACEUTICALS (CAPA)</t>
  </si>
  <si>
    <t>PLOT 2, LADIPO OLUWOLE STR., OFF AKRAN AVENUE, IKEJA</t>
  </si>
  <si>
    <t>PHARM. AJENIFUJA 08023692457</t>
  </si>
  <si>
    <t>NEIMETH INTERNATIONAL PHARMACEUTICALS PLC</t>
  </si>
  <si>
    <t>PLOT 16, AKANNI DOHERTY LAYOUT, BILLINGS WAY OREGUN INDUSTRIAL ROAD</t>
  </si>
  <si>
    <t>PHARM. ONWUBUYA PHILIP 08085246483</t>
  </si>
  <si>
    <t>EVERSHINE PHARMACEUTICAL NIG. LTD. (CAPA)</t>
  </si>
  <si>
    <t>41, AMOKE ALASALA STREET, IYANA IPAJA, LAGOS.</t>
  </si>
  <si>
    <t>PHARM. CLETHS S.N. 08062744196</t>
  </si>
  <si>
    <t>ASSENE-LABOREX LTD</t>
  </si>
  <si>
    <t>PLT. 2 &amp; 4, BLK. D, IND. SCHEME, APAPA-OSHODI E-WAY</t>
  </si>
  <si>
    <t>PHARM. TIMI ESO 08184544791</t>
  </si>
  <si>
    <t>https://nafdacng.sharepoint.com/sites/PMSLAGOS/Shared Documents/GSDP (GOOD STORAGE AND DISTRIBUTION PRACTICE)/GSDP COMPANY FILES\Assene-LABOREX</t>
  </si>
  <si>
    <t>PEMASON PHARMACY LTD</t>
  </si>
  <si>
    <t>NO. 15, REGINAL PETER CHIDIEBERE STREET, HOPE ESTATE, ISOLO</t>
  </si>
  <si>
    <t>PHARM. OGBANUSI 08034000540</t>
  </si>
  <si>
    <t>https://nafdacng.sharepoint.com/sites/PMSLAGOS/Shared Documents/GSDP (GOOD STORAGE AND DISTRIBUTION PRACTICE)/GSDP COMPANY FILES\PEMASON</t>
  </si>
  <si>
    <t>NKOYO CHEMIST</t>
  </si>
  <si>
    <t>23, AGBONYIN STREET, AGUDA, SURULERE</t>
  </si>
  <si>
    <t>PHARM. CHISOM 08035747466</t>
  </si>
  <si>
    <t>https://nafdacng.sharepoint.com/sites/PMSLAGOS/Shared Documents/GSDP (GOOD STORAGE AND DISTRIBUTION PRACTICE)/GSDP COMPANY FILES/EUROMED</t>
  </si>
  <si>
    <t>EVANS THERAPEUTICS</t>
  </si>
  <si>
    <t>24,ABIMBOLA WAY,ISOLO LAGOS</t>
  </si>
  <si>
    <t>PHARM. ADEMOLA ADEKUNLE</t>
  </si>
  <si>
    <t>19/06/2025</t>
  </si>
  <si>
    <t>24th june 2025</t>
  </si>
  <si>
    <t>https://nafdacng.sharepoint.com/sites/PMSLAGOS/Shared Documents/GSDP (GOOD STORAGE AND DISTRIBUTION PRACTICE)/GSDP COMPANY FILES\EVANS THERAPEUTICS</t>
  </si>
  <si>
    <t>STRIDES LIFESCIENCES LTD</t>
  </si>
  <si>
    <t>CHEMLINE HOUSE 7,OBASA STREET,OFF OBA AKRAN AVENUE,IKEJA</t>
  </si>
  <si>
    <t>PHARM. KELECHI EKE</t>
  </si>
  <si>
    <t>https://nafdacng.sharepoint.com/sites/PMSLAGOS/Shared Documents/GSDP (GOOD STORAGE AND DISTRIBUTION PRACTICE)/GSDP COMPANY FILES\STRIDELIFESCIENCES</t>
  </si>
  <si>
    <t>KUNIMED PHARMACHEM LTD</t>
  </si>
  <si>
    <t>18/20 MORTUNE AVENUE,VALLEY ESTATE,IKEJA</t>
  </si>
  <si>
    <t>PHARM. EZEAMA EMMANUEL</t>
  </si>
  <si>
    <t>https://nafdacng.sharepoint.com/sites/PMSLAGOS/Shared Documents/GSDP (GOOD STORAGE AND DISTRIBUTION PRACTICE)/GSDP COMPANY FILES\KUNIMED1</t>
  </si>
  <si>
    <t>PACMAI INTL LTD</t>
  </si>
  <si>
    <t>4, SHOWEMIMO STREET,BEHIND ION FILLING STATION AFTER ABULE,BEFORE OJO BARRACKS</t>
  </si>
  <si>
    <t>PHARM. GBENGA AJERO</t>
  </si>
  <si>
    <t>20/06/2025</t>
  </si>
  <si>
    <t>High-Risk©</t>
  </si>
  <si>
    <t>30th june 2025</t>
  </si>
  <si>
    <t>https://nafdacng.sharepoint.com/sites/PMSLAGOS/Shared Documents/GSDP (GOOD STORAGE AND DISTRIBUTION PRACTICE)/GSDP COMPANY FILES\Pacmal intl ltd</t>
  </si>
  <si>
    <t>SKIN PHARM LTD</t>
  </si>
  <si>
    <t>230, IDEWU STREET,OLODI APAPA</t>
  </si>
  <si>
    <t>OPARAOCHA MARYEY</t>
  </si>
  <si>
    <t>https://nafdacng.sharepoint.com/sites/PMSLAGOS/Shared Documents/GSDP (GOOD STORAGE AND DISTRIBUTION PRACTICE)/GSDP COMPANY FILES\SKINPHARM</t>
  </si>
  <si>
    <t>AMAKIN PHARMACEUTICALS LTD</t>
  </si>
  <si>
    <t>25, OTUNBA GBADAMOSI/ASADO STREET,OLODI APAPA</t>
  </si>
  <si>
    <t>PHARM MACDONALD A.</t>
  </si>
  <si>
    <t>https://nafdacng.sharepoint.com/sites/PMSLAGOS/Shared Documents/GSDP (GOOD STORAGE AND DISTRIBUTION PRACTICE)/GSDP COMPANY FILES\AMAKIN PHARM</t>
  </si>
  <si>
    <t>MC FORIS PHARM LTD</t>
  </si>
  <si>
    <t>7,APOSTOLIC CHURCH STREET,AJAO ESTATE</t>
  </si>
  <si>
    <t>PHARM ASHIMOLE PRECIOUS</t>
  </si>
  <si>
    <t>25th june 2025</t>
  </si>
  <si>
    <t>https://nafdacng.sharepoint.com/sites/PMSLAGOS/Shared Documents/GSDP (GOOD STORAGE AND DISTRIBUTION PRACTICE)/GSDP COMPANY FILES\MCFORIS Pharm ltd</t>
  </si>
  <si>
    <t>BERLIN PHARM &amp; HEALTHCARE</t>
  </si>
  <si>
    <t>42, COMFORT EBOH,KIRIKIRI INDUSTRIAL AREA,APAPA</t>
  </si>
  <si>
    <t>FELIX ANIKPEA</t>
  </si>
  <si>
    <t>23/06/2025</t>
  </si>
  <si>
    <t>https://nafdacng.sharepoint.com/sites/PMSLAGOS/Shared Documents/GSDP (GOOD STORAGE AND DISTRIBUTION PRACTICE)/GSDP COMPANY FILES\BERLIN PHARM</t>
  </si>
  <si>
    <t>SUITE LIFE PHARMACEUTICALS</t>
  </si>
  <si>
    <t>SUITE LIFE CLOSE,HOPE ESTATE,AGO PALACE,OKOTA</t>
  </si>
  <si>
    <t>MRS JULIUS-IFEANYI UCHE</t>
  </si>
  <si>
    <t>https://nafdacng.sharepoint.com/sites/PMSLAGOS/Shared Documents/GSDP (GOOD STORAGE AND DISTRIBUTION PRACTICE)/GSDP COMPANY FILES\SUITELIFE</t>
  </si>
  <si>
    <t>30B TOLAWI COKER VILLAGE ORILE IGANMU SURULERE</t>
  </si>
  <si>
    <t>PHARM. IFE ADETIFA</t>
  </si>
  <si>
    <t>FRESHBORN INDUSTRIES LTD</t>
  </si>
  <si>
    <t>PLOT 3164, BLOCK 68, MARIAN ROAD,AMUWO ODOFIN</t>
  </si>
  <si>
    <t>PHARM. EBURUO BONIFACE</t>
  </si>
  <si>
    <t>https://nafdacng.sharepoint.com/sites/PMSLAGOS/Shared Documents/GSDP (GOOD STORAGE AND DISTRIBUTION PRACTICE)/GSDP COMPANY FILES\FRESHBORN</t>
  </si>
  <si>
    <t>EMINENT DRUGS LIMITED</t>
  </si>
  <si>
    <t>6B OMONUBI ,OFF OMOLANI STREET,IJESHATEDO-SU</t>
  </si>
  <si>
    <t>PHARM. AKALUGO JUDE</t>
  </si>
  <si>
    <t>https://nafdacng.sharepoint.com/sites/PMSLAGOS/Shared Documents/GSDP (GOOD STORAGE AND DISTRIBUTION PRACTICE)/GSDP COMPANY FILES\EMINENT DRUGS</t>
  </si>
  <si>
    <t>MALVIN MEDICS</t>
  </si>
  <si>
    <t>6, WILMERS STREET,ILUPEJU LAGOS</t>
  </si>
  <si>
    <t>PHARM. PETER OGINI</t>
  </si>
  <si>
    <t>17/07/2025</t>
  </si>
  <si>
    <t>PANGENE BIOTECH</t>
  </si>
  <si>
    <t>64,BAYO OYEWALE STREET,AGO PALACE,OKOTA,LAGOS</t>
  </si>
  <si>
    <t>PHARM. NKESE UYOATA</t>
  </si>
  <si>
    <t>24TH JULY 2025</t>
  </si>
  <si>
    <t>https://nafdacng.sharepoint.com/sites/PMSLAGOS/Shared Documents/GSDP (GOOD STORAGE AND DISTRIBUTION PRACTICE)/GSDP COMPANY FILES\PANGENE BIOTECH</t>
  </si>
  <si>
    <t>CEEMIKE PHARMA LTD</t>
  </si>
  <si>
    <t>41,SHEU HUSSEIN ARIKEKEWUYO ROAD,I/VIEW ESTATE PH2,AMUWO ODOFIN,LAGOS</t>
  </si>
  <si>
    <t>PHARM.EBINUM SUNDAY</t>
  </si>
  <si>
    <t>16/07/2025</t>
  </si>
  <si>
    <t>23RD JULY 2025</t>
  </si>
  <si>
    <t>https://nafdacng.sharepoint.com/sites/PMSLAGOS/Shared Documents/GSDP (GOOD STORAGE AND DISTRIBUTION PRACTICE)/GSDP COMPANY FILES\CEEMIKE</t>
  </si>
  <si>
    <t>TOC PHARMACEUTICALS</t>
  </si>
  <si>
    <t>88,ILAMOYE STREET,IJESHATEDO,LAGOS</t>
  </si>
  <si>
    <t>PHARM. FASASI</t>
  </si>
  <si>
    <t>https://nafdacng.sharepoint.com/sites/PMSLAGOS/Shared Documents/GSDP (GOOD STORAGE AND DISTRIBUTION PRACTICE)/GSDP COMPANY FILES\TOC PHARMACEUTICALS</t>
  </si>
  <si>
    <t>GOLDEN GAZELLE</t>
  </si>
  <si>
    <t>387,AGEGE MOTOR ROAD,MUSHIN, LAGOS</t>
  </si>
  <si>
    <t>PHARM. OKWUAKU MARTINS</t>
  </si>
  <si>
    <t>18/07/2025</t>
  </si>
  <si>
    <t>https://nafdacng.sharepoint.com/sites/PMSLAGOS/Shared Documents/GSDP (GOOD STORAGE AND DISTRIBUTION PRACTICE)/GSDP COMPANY FILES/GOLDEN GAZELLE</t>
  </si>
  <si>
    <t>24,MONTGOMERY ROAD,YABA,LAGOS</t>
  </si>
  <si>
    <t>PHARM ADETUNJI JOSEPH</t>
  </si>
  <si>
    <t>25/08/2025</t>
  </si>
  <si>
    <t>30TH AUGUST 2025</t>
  </si>
  <si>
    <t>https://nafdacng.sharepoint.com/sites/PMSLAGOS/Shared Documents/GSDP (GOOD STORAGE AND DISTRIBUTION PRACTICE)/GSDP COMPANY FILES/SHEPHERD HEALTH</t>
  </si>
  <si>
    <t>TRINITAS APO LIMITED</t>
  </si>
  <si>
    <t>192,BABS ANIMASHAUN STREET, SURULERE LAGOS</t>
  </si>
  <si>
    <t>PHARM EZEAKOR EMEKA</t>
  </si>
  <si>
    <t>https://nafdacng.sharepoint.com/sites/PMSLAGOS/Shared Documents/GSDP (GOOD STORAGE AND DISTRIBUTION PRACTICE)/GSDP COMPANY FILES\TRINITAS</t>
  </si>
  <si>
    <t>RICNOS PHARMA NIG. LTD</t>
  </si>
  <si>
    <t>12A, LASISI AKINWALE STR., COKER ORILE-IGANMU</t>
  </si>
  <si>
    <t>PHARM OGBEDI ONYINYE</t>
  </si>
  <si>
    <t>https://nafdacng.sharepoint.com/sites/PMSLAGOS/Shared Documents/GSDP (GOOD STORAGE AND DISTRIBUTION PRACTICE)/GSDP COMPANY FILES\RICNOS</t>
  </si>
  <si>
    <t xml:space="preserve"> ABTEVIC PHARMACEUTICAL LTD</t>
  </si>
  <si>
    <t>17A, SANNI BALOGUN OFF AGBE ROAD, ABULE EGBA</t>
  </si>
  <si>
    <t>PHARM AYODEJI-ONI OYINDAMOLA</t>
  </si>
  <si>
    <t>https://nafdacng.sharepoint.com/sites/PMSLAGOS/Shared Documents/GSDP (GOOD STORAGE AND DISTRIBUTION PRACTICE)/GSDP COMPANY FILES\Abtevic</t>
  </si>
  <si>
    <t>GLOBAL ORGANICS LIMITED</t>
  </si>
  <si>
    <t>PLOT 868,KM 34,LAGOS-ABEOKUTA EXPRESSWAY, LAGOS</t>
  </si>
  <si>
    <t>LAWRENCE MUSA</t>
  </si>
  <si>
    <t>25TH AUGUST 2025</t>
  </si>
  <si>
    <t>NWACHI HENRY</t>
  </si>
  <si>
    <t>26/08/2025</t>
  </si>
  <si>
    <t>https://nafdacng.sharepoint.com/sites/PMSLAGOS/Shared Documents/GSDP (GOOD STORAGE AND DISTRIBUTION PRACTICE)/GSDP COMPANY FILES/MEDEXPRESS</t>
  </si>
  <si>
    <t>EXPHARLAB LIMITED</t>
  </si>
  <si>
    <t>387, AGEGE MOTOR ROAD, MUSHIN, LAGOS</t>
  </si>
  <si>
    <t>PHARM. DICKSON IKHUORIA</t>
  </si>
  <si>
    <t>2ND SEPTEMBER 2025</t>
  </si>
  <si>
    <t>https://nafdacng.sharepoint.com/sites/PMSLAGOS/Shared Documents/GSDP (GOOD STORAGE AND DISTRIBUTION PRACTICE)/GSDP COMPANY FILES\EXPHARLAB</t>
  </si>
  <si>
    <t>ICE REMEDIES LIMITED</t>
  </si>
  <si>
    <t>12, ADEWOLU KUKU STREET, OFF EMMA ABIMBOLA,COLE STREET, LEKKI PHASE 1, LAGOS</t>
  </si>
  <si>
    <t>MARY JOHN NWOYE</t>
  </si>
  <si>
    <t>NOVO NORDISK PHARMA LTD</t>
  </si>
  <si>
    <t>GIL AUTOMATIONS BUILDING GBOLAHAN LAWAL STREET,CBD, ALAUSA, IKEJA LAGOS</t>
  </si>
  <si>
    <t>JUDE ABONU</t>
  </si>
  <si>
    <t>27/08/2025</t>
  </si>
  <si>
    <t>OLPHARM NIG. LIMITED</t>
  </si>
  <si>
    <t>13, AGBAOKUN STREET,OPEBI</t>
  </si>
  <si>
    <t>OMOWUNMI OKON</t>
  </si>
  <si>
    <t>https://nafdacng.sharepoint.com/sites/PMSLAGOS/Shared Documents/GSDP (GOOD STORAGE AND DISTRIBUTION PRACTICE)/GSDP COMPANY FILES\Olpharm Nigeria Limited</t>
  </si>
  <si>
    <t>1,CEDAR ROAD,NIGERIA CEDAR COMPOUND,OJODU ABIODUN ROAD, OJODU BERGER, LAGOS</t>
  </si>
  <si>
    <t>https://nafdacng.sharepoint.com/sites/PMSLAGOS/Shared Documents/GSDP (GOOD STORAGE AND DISTRIBUTION PRACTICE)/GSDP COMPANY FILES/NANCIL1</t>
  </si>
  <si>
    <t>AGARY PHARMACEUTICALS LTD</t>
  </si>
  <si>
    <t>PLOT C394, AMUWO ODOFIN COMM SCHEME, LAGOS STATE</t>
  </si>
  <si>
    <t>PHARM ICHE VICTOR 07064686455</t>
  </si>
  <si>
    <t>TAYLEK DRUGS CO.</t>
  </si>
  <si>
    <t>PLOT 8,BLOCK M,ABIMBOLA STREET, ISOLO</t>
  </si>
  <si>
    <t>27/08/25</t>
  </si>
  <si>
    <t/>
  </si>
  <si>
    <t>CHILINK PHARM LTD. </t>
  </si>
  <si>
    <t>18A, DAODU STR, OSHODI, LAGOS </t>
  </si>
  <si>
    <t>08035721052 </t>
  </si>
  <si>
    <t>16/09/25</t>
  </si>
  <si>
    <t>30/09/25</t>
  </si>
  <si>
    <t>https://nafdacng.sharepoint.com/sites/PMSLAGOS/Shared Documents/GSDP (GOOD STORAGE AND DISTRIBUTION PRACTICE)/GSDP COMPANY FILES\CHILINK PHARM LTD</t>
  </si>
  <si>
    <t>FAES FARMA NIG LTD (CAPA) </t>
  </si>
  <si>
    <t>25, LADOKE AKINTOLA ST, IKEJA GRA LAGOS </t>
  </si>
  <si>
    <t>N/A </t>
  </si>
  <si>
    <t>https://nafdacng.sharepoint.com/sites/PMSLAGOS/Shared Documents/GSDP (GOOD STORAGE AND DISTRIBUTION PRACTICE)/GSDP COMPANY FILES\Faes Farma ltd</t>
  </si>
  <si>
    <t>CEMCEE PHARM. LTD. </t>
  </si>
  <si>
    <t>58, MUSHIN RD. ISOLO, LAGOS. </t>
  </si>
  <si>
    <t>08069718539 </t>
  </si>
  <si>
    <t>23/O9/25</t>
  </si>
  <si>
    <t>https://nafdacng.sharepoint.com/sites/PMSLAGOS/Shared Documents/GSDP (GOOD STORAGE AND DISTRIBUTION PRACTICE)/GSDP COMPANY FILES\Cemcee</t>
  </si>
  <si>
    <t>LABETA DRUGS LTD (CAPA) </t>
  </si>
  <si>
    <t>125C, OLAITAN ODULARU STREET, SURULERE LAGOS. </t>
  </si>
  <si>
    <t>08023263729 </t>
  </si>
  <si>
    <t>22/09/25</t>
  </si>
  <si>
    <t>PHARMADEAL NIG. LTD </t>
  </si>
  <si>
    <t>1, CRYSTAL GLASS CLOSE, AMUWO-ODOFIN. </t>
  </si>
  <si>
    <t>08038510048 </t>
  </si>
  <si>
    <t>17/09/25</t>
  </si>
  <si>
    <t>19/09/25</t>
  </si>
  <si>
    <t>https://nafdacng.sharepoint.com/sites/PMSLAGOS/Shared Documents/GSDP (GOOD STORAGE AND DISTRIBUTION PRACTICE)/GSDP COMPANY FILES\Pharmadeal nig ltd</t>
  </si>
  <si>
    <t>AMAKIN PHARM (CAPA) </t>
  </si>
  <si>
    <t>25, OTUNBA GBADAMOSI STREET, OLODI APAPA, LAGOS. </t>
  </si>
  <si>
    <t>08032620225 </t>
  </si>
  <si>
    <r>
      <t xml:space="preserve">SEAGREEN PHARMACEUTICALS </t>
    </r>
    <r>
      <rPr>
        <sz val="11"/>
        <color rgb="FF000000"/>
        <rFont val="Times New Roman"/>
        <family val="1"/>
      </rPr>
      <t>(CAPA) </t>
    </r>
  </si>
  <si>
    <t>3, OKUNFOLAMI STREET, ANTHONY VILLAGE, LAGOS. </t>
  </si>
  <si>
    <t>17/09/2025</t>
  </si>
  <si>
    <t>MAYDON PHARMACEUTICAL (CAPA) </t>
  </si>
  <si>
    <t>15, WILMER STREET, OFF TOWN PLANNING WAY, ILUPEJU, LAGOS </t>
  </si>
  <si>
    <t>29/09/25</t>
  </si>
  <si>
    <t>https://nafdacng.sharepoint.com/sites/PMSLAGOS/Shared Documents/GSDP (GOOD STORAGE AND DISTRIBUTION PRACTICE)/GSDP COMPANY FILES/MAYDON</t>
  </si>
  <si>
    <t>EXXON PHARM (CAPA) </t>
  </si>
  <si>
    <t>AREA TEXTILE MILL COMP, PLOT A, BLK 2B, ASWANI STREET, ISOLO, LAGOS. </t>
  </si>
  <si>
    <t>ADCEM (CAPA)</t>
  </si>
  <si>
    <t>2, NILWIL CLOSE, OBA AKRAN AVENUE,IKEJA LAGOS</t>
  </si>
  <si>
    <t xml:space="preserve">N/A </t>
  </si>
  <si>
    <t>21/10/2025</t>
  </si>
  <si>
    <t>JIN SPECTRAL PHARMACEUTICAL</t>
  </si>
  <si>
    <t>BLOCK 4A PLOT 29/31, LINK ROAD, ODOFIN, LAGOS</t>
  </si>
  <si>
    <t>08037878762 </t>
  </si>
  <si>
    <t>24/10/25</t>
  </si>
  <si>
    <t>https://nafdacng.sharepoint.com/sites/PMSLAGOS/Shared Documents/GSDP (GOOD STORAGE AND DISTRIBUTION PRACTICE)/GSDP COMPANY FILES\JIN SPECTRAL PHARMACEUTICAL</t>
  </si>
  <si>
    <t>AFRAB-CHEM LIMITED </t>
  </si>
  <si>
    <t>22, ABIMBOLA STREET, ISOLO, LAGOS</t>
  </si>
  <si>
    <t>08099928893 </t>
  </si>
  <si>
    <t>https://nafdacng.sharepoint.com/sites/PMSLAGOS/Shared%20Documents/GDP%20(GOOD%20DISTRIBUTION%20PRATICE)/GSDP%20COMPANY%20FILES/NKOYO%20CHEMIST</t>
  </si>
  <si>
    <t>ARTEMIS LIFE SCIENCE LTD</t>
  </si>
  <si>
    <t>2EB OPPOSITE OSOLO WAY, ASWANI MARKET OSHODI INDUSTRIAL SCHEME, ISOLO, LAGOS. </t>
  </si>
  <si>
    <t>07087023420 </t>
  </si>
  <si>
    <t>https://nafdacng.sharepoint.com/sites/PMSLAGOS/Shared Documents/GSDP (GOOD STORAGE AND DISTRIBUTION PRACTICE)/GSDP COMPANY FILES\ARTEMIS</t>
  </si>
  <si>
    <t>STANDARD GENERICS LTD</t>
  </si>
  <si>
    <t>7 AGBOR STREET OFF OSOLOWAY AJAO ESTATE LAGOS</t>
  </si>
  <si>
    <t>08033168492 </t>
  </si>
  <si>
    <t>https://nafdacng.sharepoint.com/sites/PMSLAGOS/Shared Documents/GSDP (GOOD STORAGE AND DISTRIBUTION PRACTICE)/GSDP COMPANY FILES\STANDARD GENERICS</t>
  </si>
  <si>
    <t>PHARMABOX VENTURES LIMITED</t>
  </si>
  <si>
    <t>NO.4 OHAFIA STREET, OFF AGO PALACE WAY OKOTA LAGOS</t>
  </si>
  <si>
    <t>07045115225 </t>
  </si>
  <si>
    <t>21/10/25</t>
  </si>
  <si>
    <t>22/10/25</t>
  </si>
  <si>
    <t>https://nafdacng.sharepoint.com/sites/PMSLAGOS/Shared Documents/GSDP (GOOD STORAGE AND DISTRIBUTION PRACTICE)/GSDP COMPANY FILES\PHARMABOX VENTURES LTD</t>
  </si>
  <si>
    <t>JONCO PHARMACEUTICS</t>
  </si>
  <si>
    <t>NO.5 SERIKI CLOSE ALEPERE, KETU.LAGOS</t>
  </si>
  <si>
    <t>08088227984 </t>
  </si>
  <si>
    <t>22/10/2025</t>
  </si>
  <si>
    <t>28/10/25</t>
  </si>
  <si>
    <t>https://nafdacng.sharepoint.com/sites/PMSLAGOS/Shared Documents/GSDP (GOOD STORAGE AND DISTRIBUTION PRACTICE)/GSDP COMPANY FILES\JONCO PHARMACEUTICAL LTD</t>
  </si>
  <si>
    <t>BOUCIA LIMITED</t>
  </si>
  <si>
    <t>1, SERAH AROBIEKE STREET, AMUWO ODOFIN LAGOS </t>
  </si>
  <si>
    <r>
      <t>08028115008</t>
    </r>
    <r>
      <rPr>
        <sz val="12"/>
        <color rgb="FF000000"/>
        <rFont val="WordVisiCarriageReturn_MSFontSe"/>
        <charset val="1"/>
      </rPr>
      <t> </t>
    </r>
  </si>
  <si>
    <t>https://nafdacng.sharepoint.com/sites/PMSLAGOS/Shared Documents/GSDP (GOOD STORAGE AND DISTRIBUTION PRACTICE)/GSDP COMPANY FILES\BOUCIA LIMITED</t>
  </si>
  <si>
    <t>BASIC PHARMACEUTICAL &amp; HERBAL HEALTHCARE LTD</t>
  </si>
  <si>
    <t>24, ODELOLA STREET, SURULERE, LAGOS </t>
  </si>
  <si>
    <t>08060523512 </t>
  </si>
  <si>
    <t>23/10/2025</t>
  </si>
  <si>
    <t>https://nafdacng.sharepoint.com/sites/PMSLAGOS/Shared Documents/GSDP (GOOD STORAGE AND DISTRIBUTION PRACTICE)/GSDP COMPANY FILES\BASIC PHARMACEUTICAL HERBAL HEALTHCARE LIMITED</t>
  </si>
  <si>
    <t>BAZREAL GLOBAL LIMITED </t>
  </si>
  <si>
    <t>2, OGUNYOMI ST. OWORONSHOKI LAGOS </t>
  </si>
  <si>
    <t>08033951167 </t>
  </si>
  <si>
    <t>https://nafdacng.sharepoint.com/sites/PMSLAGOS/Shared Documents/GSDP (GOOD STORAGE AND DISTRIBUTION PRACTICE)/GSDP COMPANY FILES\BAZREAL GLOBAL LIMITED</t>
  </si>
  <si>
    <t>IDEAL EAGLE LIMITED (CAPA) </t>
  </si>
  <si>
    <t>3, DACOSTA STREET, ONIKE, OFF IWAYA ROAD, YABA</t>
  </si>
  <si>
    <t>https://nafdacng.sharepoint.com/sites/PMSLAGOS/Shared Documents/GSDP (GOOD STORAGE AND DISTRIBUTION PRACTICE)/GSDP COMPANY FILES\IDEAL EAGLES</t>
  </si>
  <si>
    <t>THOMPSON AND GRACE (CAPA) </t>
  </si>
  <si>
    <t>7, MORONU MADUAGWU STR., OFF MASHA, SURULERE, LAGO</t>
  </si>
  <si>
    <t>https://nafdacng.sharepoint.com/sites/PMSLAGOS/Shared Documents/GSDP (GOOD STORAGE AND DISTRIBUTION PRACTICE)/GSDP COMPANY FILES/Thompson &amp; Grace Pharm</t>
  </si>
  <si>
    <t>BLUE SUMMIT HEALTH CARE LTD </t>
  </si>
  <si>
    <t>42 COLE STREET OFF OJUELEGBA, LAGOS </t>
  </si>
  <si>
    <t>08037792209 </t>
  </si>
  <si>
    <t>https://nafdacng.sharepoint.com/sites/PMSLAGOS/Shared%20Documents/GDP%20(GOOD%20DISTRIBUTION%20PRATICE)/GSDP%20COMPANY%20FILES/BLUE%20SUMMIT%20HEALTH</t>
  </si>
  <si>
    <t xml:space="preserve">BRIGHTMEX PHARMACY LIMITED </t>
  </si>
  <si>
    <t>NO 47, MAKINDE STREET ,MAFOLUKU OSHODI</t>
  </si>
  <si>
    <t>18/11/2025</t>
  </si>
  <si>
    <t>18/11/25</t>
  </si>
  <si>
    <t>JAWA INTL LIMITED</t>
  </si>
  <si>
    <t>PLOT 6, ABIMBOLA WAY,ISOLO IND ESTATE, LAGOS</t>
  </si>
  <si>
    <t>https://nafdacng.sharepoint.com/sites/PMSLAGOS/Shared Documents/GSDP (GOOD STORAGE AND DISTRIBUTION PRACTICE)/GSDP COMPANY FILES\JAWA INTERNATIONAL LTD</t>
  </si>
  <si>
    <t>CLARION MEDICALS LTD (CAPA)</t>
  </si>
  <si>
    <t>23, AFOLABI LESI STREET, ILUPEJU LAGOS</t>
  </si>
  <si>
    <t>GENEX LIFESCIENCE</t>
  </si>
  <si>
    <t>WAREHOUSE 2, NO 7 SAPARA WILLIAMS STREET, INDUSTRIAL ESTATE, IKEJA LAGOS</t>
  </si>
  <si>
    <t>21/11/25</t>
  </si>
  <si>
    <t>https://nafdacng.sharepoint.com/sites/PMSLAGOS/Shared Documents/GSDP (GOOD STORAGE AND DISTRIBUTION PRACTICE)/GSDP COMPANY FILES\GENEX LIFESCIENCE</t>
  </si>
  <si>
    <t>ARINZESON PHARM CO LTD (CAPA)</t>
  </si>
  <si>
    <t>1, MUIBI STREET, MUSHIN , LAGOS</t>
  </si>
  <si>
    <t>SEPAT PHARM LTD</t>
  </si>
  <si>
    <t>5B, SUNDAY OGUNYADE STREET GBAGADA PHASE 2, LAGOS</t>
  </si>
  <si>
    <t>https://nafdacng.sharepoint.com/sites/PMSLAGOS/Shared Documents/GSDP (GOOD STORAGE AND DISTRIBUTION PRACTICE)/GSDP COMPANY FILES\SEPAT PHARMACEUTICAL LIMITED</t>
  </si>
  <si>
    <t>NUGENIC PHARMACEUTICAL LTD</t>
  </si>
  <si>
    <t>PLOT 1A, BLOCK J, BEDE ALUGBUE STREET, SEAGRAVE ESTATE, LEKKI LAGOS STATE</t>
  </si>
  <si>
    <t>19/11/25</t>
  </si>
  <si>
    <t>25/11/25</t>
  </si>
  <si>
    <t>https://nafdacng.sharepoint.com/sites/PMSLAGOS/Shared Documents/GSDP (GOOD STORAGE AND DISTRIBUTION PRACTICE)/GSDP COMPANY FILES\NUGENIC</t>
  </si>
  <si>
    <t>SAVOCENT PHARMA</t>
  </si>
  <si>
    <t>90, LADIPO STREET, CLEAN JOHN HOUSE, MUSHIN LAGOS</t>
  </si>
  <si>
    <t>20/11/25</t>
  </si>
  <si>
    <t>25/11/2025</t>
  </si>
  <si>
    <t>https://nafdacng.sharepoint.com/sites/PMSLAGOS/Shared Documents/GSDP (GOOD STORAGE AND DISTRIBUTION PRACTICE)/GSDP COMPANY FILES\SAVOCENT PHARMA</t>
  </si>
  <si>
    <t>KENIX PHARMACY</t>
  </si>
  <si>
    <t>78/80 COMMUNITY ROAD, OFF AGO PALACE</t>
  </si>
  <si>
    <t>26/11/25</t>
  </si>
  <si>
    <t>https://nafdacng.sharepoint.com/sites/PMSLAGOS/Shared Documents/GSDP (GOOD STORAGE AND DISTRIBUTION PRACTICE)/GSDP COMPANY FILES\KENIX PHARMACY</t>
  </si>
  <si>
    <t xml:space="preserve">CA &amp; JO (CAPA) </t>
  </si>
  <si>
    <t xml:space="preserve">ALFA NLA CAPITOL ROAD, AGEGE LAGOS </t>
  </si>
  <si>
    <t>20/11/2025</t>
  </si>
  <si>
    <t>21/11/2025</t>
  </si>
  <si>
    <t>ABTEVIC (CAPA)</t>
  </si>
  <si>
    <t>71A, SANNI BALOGUN , ABULE EGBA</t>
  </si>
  <si>
    <t>JAWA NIG LTD</t>
  </si>
  <si>
    <t>PLOT 6, ABIMBOLA WAY, ISOLO IND ESTATE</t>
  </si>
  <si>
    <t>CEVI</t>
  </si>
  <si>
    <t>Low Risk (A)</t>
  </si>
  <si>
    <t>Jawa Int;l Nig Ltd</t>
  </si>
  <si>
    <t>PANGENE BIOTECH PVT LTD</t>
  </si>
  <si>
    <t>64, BAYO OYEWALE STREET, AGO PALACE</t>
  </si>
  <si>
    <t>Medium Risk(B)</t>
  </si>
  <si>
    <t>Pangene Biotech PVT Ltd</t>
  </si>
  <si>
    <t>EMINENT DRUGS</t>
  </si>
  <si>
    <t>36, ODOGBOLU STREET, OFF ADETOLA STREET, AGUDA SURULERE LAGOS</t>
  </si>
  <si>
    <t>High Risk(C)</t>
  </si>
  <si>
    <t>EMINENT DRUGS PHARMACEUTICALS LTD</t>
  </si>
  <si>
    <t>ZIFAM PINNACLE NIG LTD</t>
  </si>
  <si>
    <t>30,ILUPEJU BY-PASS, BESIDE 1ST BANK , ILUPEJU</t>
  </si>
  <si>
    <t>ZIFAM PINNACLE NIGERIA LTD</t>
  </si>
  <si>
    <t>CHARTERHOUSE PHARM</t>
  </si>
  <si>
    <t>HSE PLOT 9, BLK C,CBD, NERDC STREET, ALAUSA IKEJA ,LAGOS</t>
  </si>
  <si>
    <t>CHARTERHOUSE</t>
  </si>
  <si>
    <t>PLOT 16, AKANI DOHERTY LAYOUT, BILLINGS WAY, INDUSTRIAL ROAD, OREGUN,IKEJA</t>
  </si>
  <si>
    <t>NEIMETH</t>
  </si>
  <si>
    <t>16T,RAMAT CRESENT, OGUDU</t>
  </si>
  <si>
    <t>EUROMED</t>
  </si>
  <si>
    <t>HILLY PHARM LTD</t>
  </si>
  <si>
    <t>2, ODO STREET, OBALENDE, LAGOS STATE</t>
  </si>
  <si>
    <t>S &amp; S DUKE PHARM CO. LTD</t>
  </si>
  <si>
    <t>3, ADEBA ROAD,LAKOWE, IBEJU-LEKKI, LAGOS</t>
  </si>
  <si>
    <t>S&amp;S DUKE PHARMACEUTICALSCOLTD</t>
  </si>
  <si>
    <t>BENPAT PHARMACY</t>
  </si>
  <si>
    <t>32, LAGOS ROAD,EPE LAGOS</t>
  </si>
  <si>
    <t>KORLYNS PHARMACEUTICALS</t>
  </si>
  <si>
    <t>31B,ADEYEMI ADEOYE STREET, WASIMI PEACE ESTATE,OPPOSITE HEALTHCETER MARYLAND</t>
  </si>
  <si>
    <t>GSDP</t>
  </si>
  <si>
    <t>Korlyns Pharmacy</t>
  </si>
  <si>
    <t>69,OLD ABEOKUTA MOTOR ROAD, AGEGE,LAGOS</t>
  </si>
  <si>
    <t>Boluke Pharmacy</t>
  </si>
  <si>
    <t>HERBINCO PHARMACY LTD</t>
  </si>
  <si>
    <t>410,IKORODU ROAD, OJOTA,LAGOS</t>
  </si>
  <si>
    <t>Herbinco Pharmacy</t>
  </si>
  <si>
    <t>LINCO STAR PHARMACY</t>
  </si>
  <si>
    <t>7/29, OLUBUNMI ALONGE STREET, PAKO AGUDA B/STOP, SURULERE</t>
  </si>
  <si>
    <t>CONVERTED TO RETAIL PHARMACY</t>
  </si>
  <si>
    <t>MEMO SHOULD BE WRITTEN TO PCN</t>
  </si>
  <si>
    <t>ONWUADI AND SONS LTD</t>
  </si>
  <si>
    <t>11, ACHAKPO STREET, AJEGUNLE, LAGOS</t>
  </si>
  <si>
    <t>08028642459/08134148891</t>
  </si>
  <si>
    <t>ONWUADI AND SONS LIMITED</t>
  </si>
  <si>
    <t>DE-LAW PHARMACY</t>
  </si>
  <si>
    <t>67, ISHAGA ROAD, OPP LUTH, SURULERE,LAGOS</t>
  </si>
  <si>
    <t>SAM-SUNNY PHARMA AND STORE LTD</t>
  </si>
  <si>
    <t>183, OJO IGBEDE ROAD, AJANGBADI, LAGOS</t>
  </si>
  <si>
    <t>Sam Sunny Pharmacy &amp; Stores</t>
  </si>
  <si>
    <t>24, ABIMBOLA STREET, ISOLO LAGOS</t>
  </si>
  <si>
    <t>Evans Therapeutics Limited</t>
  </si>
  <si>
    <t>AJARA VETHO, CHIEF POT JUNCTION,BADAGRY</t>
  </si>
  <si>
    <t>Estybee Pharma Ltd</t>
  </si>
  <si>
    <t>37, ISOLO ROAD, MUSHIN LAGOS</t>
  </si>
  <si>
    <t>FAMOUS NIG CHEMIST</t>
  </si>
  <si>
    <t>1, OLORUNSOGO STREET, VIA AYANTUGA STREET, MUSHIN, LAGOS</t>
  </si>
  <si>
    <t>FAMOUS PHARMACY</t>
  </si>
  <si>
    <t>CHEV INTERNATIONAL LTD</t>
  </si>
  <si>
    <t>13, ADEYEMI STREET, OSHODI, LAGOS</t>
  </si>
  <si>
    <t>CHEV PHARMACY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</si>
</sst>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mmmm\ d\,\ yyyy;@"/>
    <numFmt numFmtId="165" formatCode="[$-F800]dddd\,\ mmmm\ dd\,\ yyyy"/>
  </numFmts>
  <fonts count="39">
    <font>
      <sz val="11"/>
      <name val="Aptos Narrow"/>
    </font>
    <font>
      <sz val="11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1"/>
      <color rgb="FF00000A"/>
      <name val="Times New Roman"/>
      <family val="1"/>
    </font>
    <font>
      <sz val="11"/>
      <color rgb="FF000000"/>
      <name val="Times New Roman"/>
      <family val="1"/>
    </font>
    <font>
      <b/>
      <sz val="16"/>
      <color theme="1"/>
      <name val="Times New Roman"/>
      <family val="1"/>
    </font>
    <font>
      <sz val="11"/>
      <color rgb="FF222222"/>
      <name val="Times New Roman"/>
      <family val="1"/>
    </font>
    <font>
      <i/>
      <sz val="11"/>
      <color rgb="FF222222"/>
      <name val="Times New Roman"/>
      <family val="1"/>
    </font>
    <font>
      <sz val="14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1"/>
      <name val="Arial"/>
      <family val="2"/>
    </font>
    <font>
      <sz val="12"/>
      <color rgb="FF000000"/>
      <name val="Times New Roman"/>
      <charset val="1"/>
    </font>
    <font>
      <sz val="12"/>
      <color rgb="FF000000"/>
      <name val="Aptos Display"/>
      <charset val="1"/>
    </font>
    <font>
      <sz val="12"/>
      <color rgb="FF000000"/>
      <name val="WordVisiCarriageReturn_MSFontSe"/>
      <charset val="1"/>
    </font>
    <font>
      <sz val="11"/>
      <name val="Times New Roman"/>
    </font>
    <font>
      <sz val="11"/>
      <color rgb="FFFF0000"/>
      <name val="Aptos Narrow"/>
    </font>
    <font>
      <b/>
      <sz val="11"/>
      <name val="Times New Roman"/>
    </font>
    <font>
      <sz val="11"/>
      <color rgb="FF242424"/>
      <name val="Aptos Narrow"/>
      <charset val="1"/>
    </font>
    <font>
      <u/>
      <sz val="11"/>
      <color theme="10"/>
      <name val="Aptos Narrow"/>
    </font>
    <font>
      <sz val="11"/>
      <color rgb="FF9C5700"/>
      <name val="Aptos Narrow"/>
      <scheme val="minor"/>
    </font>
    <font>
      <b/>
      <sz val="12"/>
      <name val="Times New Roman"/>
    </font>
    <font>
      <sz val="11"/>
      <color rgb="FF616161"/>
      <name val="Segoe UI"/>
      <charset val="1"/>
    </font>
    <font>
      <u/>
      <sz val="11"/>
      <color theme="1"/>
      <name val="Aptos Narrow"/>
      <family val="2"/>
      <scheme val="minor"/>
    </font>
    <font>
      <u/>
      <sz val="11"/>
      <color rgb="FF000000"/>
      <name val="Aptos Narrow"/>
    </font>
    <font>
      <u val="double"/>
      <sz val="11"/>
      <color theme="1"/>
      <name val="Aptos Narrow"/>
      <family val="2"/>
      <scheme val="minor"/>
    </font>
    <font>
      <sz val="12"/>
      <color rgb="FF000000"/>
      <name val="Times New Roman"/>
      <family val="1"/>
      <charset val="1"/>
    </font>
    <font>
      <sz val="11"/>
      <color rgb="FF000000"/>
      <name val="Arial"/>
      <family val="2"/>
      <charset val="1"/>
    </font>
    <font>
      <b/>
      <sz val="12"/>
      <color rgb="FFFFFFFF"/>
      <name val="Times New Roman"/>
      <family val="1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u/>
      <sz val="11"/>
      <color rgb="FF467886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EA72E"/>
        <bgColor rgb="FF4EA72E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4EA72E"/>
      </top>
      <bottom/>
      <diagonal/>
    </border>
    <border>
      <left/>
      <right/>
      <top style="thin">
        <color rgb="FF4EA72E"/>
      </top>
      <bottom/>
      <diagonal/>
    </border>
  </borders>
  <cellStyleXfs count="3"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" borderId="0" applyNumberFormat="0" applyBorder="0" applyAlignment="0" applyProtection="0"/>
  </cellStyleXfs>
  <cellXfs count="22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1" xfId="0" applyFont="1" applyBorder="1" applyAlignment="1">
      <alignment wrapText="1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3" fillId="0" borderId="1" xfId="0" applyFont="1" applyBorder="1" applyAlignment="1">
      <alignment wrapText="1"/>
    </xf>
    <xf numFmtId="0" fontId="16" fillId="0" borderId="0" xfId="0" applyFont="1" applyAlignment="1">
      <alignment horizontal="left" vertical="top" wrapText="1"/>
    </xf>
    <xf numFmtId="0" fontId="0" fillId="0" borderId="0" xfId="0" applyAlignment="1">
      <alignment vertical="center" wrapText="1"/>
    </xf>
    <xf numFmtId="0" fontId="22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4" xfId="0" applyFont="1" applyBorder="1" applyAlignment="1">
      <alignment horizontal="left" wrapText="1"/>
    </xf>
    <xf numFmtId="49" fontId="1" fillId="0" borderId="4" xfId="0" applyNumberFormat="1" applyFont="1" applyBorder="1" applyAlignment="1">
      <alignment wrapText="1"/>
    </xf>
    <xf numFmtId="0" fontId="1" fillId="0" borderId="4" xfId="0" applyFont="1" applyBorder="1" applyAlignment="1"/>
    <xf numFmtId="0" fontId="1" fillId="0" borderId="4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horizontal="left" vertical="center" wrapText="1"/>
    </xf>
    <xf numFmtId="0" fontId="1" fillId="0" borderId="4" xfId="0" applyFont="1" applyBorder="1" applyAlignment="1">
      <alignment wrapText="1"/>
    </xf>
    <xf numFmtId="49" fontId="1" fillId="0" borderId="4" xfId="0" applyNumberFormat="1" applyFont="1" applyBorder="1" applyAlignment="1"/>
    <xf numFmtId="0" fontId="1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left" wrapText="1"/>
    </xf>
    <xf numFmtId="0" fontId="5" fillId="0" borderId="4" xfId="0" applyFont="1" applyBorder="1" applyAlignment="1">
      <alignment horizontal="left" vertical="center" wrapText="1"/>
    </xf>
    <xf numFmtId="0" fontId="23" fillId="0" borderId="4" xfId="0" applyFont="1" applyBorder="1">
      <alignment vertical="center"/>
    </xf>
    <xf numFmtId="0" fontId="5" fillId="0" borderId="4" xfId="0" applyFont="1" applyBorder="1" applyAlignment="1">
      <alignment wrapText="1"/>
    </xf>
    <xf numFmtId="0" fontId="1" fillId="0" borderId="4" xfId="0" applyFont="1" applyBorder="1" applyAlignment="1">
      <alignment horizontal="left" vertical="center"/>
    </xf>
    <xf numFmtId="0" fontId="9" fillId="0" borderId="4" xfId="0" applyFont="1" applyBorder="1">
      <alignment vertical="center"/>
    </xf>
    <xf numFmtId="0" fontId="9" fillId="0" borderId="4" xfId="0" applyFont="1" applyBorder="1" applyAlignment="1">
      <alignment horizontal="left" wrapText="1"/>
    </xf>
    <xf numFmtId="0" fontId="9" fillId="0" borderId="4" xfId="0" applyFont="1" applyBorder="1" applyAlignment="1">
      <alignment horizontal="left"/>
    </xf>
    <xf numFmtId="15" fontId="1" fillId="0" borderId="4" xfId="0" applyNumberFormat="1" applyFont="1" applyBorder="1" applyAlignment="1">
      <alignment wrapText="1"/>
    </xf>
    <xf numFmtId="0" fontId="9" fillId="0" borderId="4" xfId="0" applyFont="1" applyBorder="1" applyAlignment="1">
      <alignment wrapText="1"/>
    </xf>
    <xf numFmtId="49" fontId="9" fillId="0" borderId="4" xfId="0" applyNumberFormat="1" applyFont="1" applyBorder="1" applyAlignment="1">
      <alignment horizontal="left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left" vertical="center"/>
    </xf>
    <xf numFmtId="49" fontId="5" fillId="0" borderId="4" xfId="0" applyNumberFormat="1" applyFont="1" applyBorder="1" applyAlignment="1">
      <alignment wrapText="1"/>
    </xf>
    <xf numFmtId="0" fontId="9" fillId="0" borderId="4" xfId="0" applyFont="1" applyBorder="1" applyAlignment="1">
      <alignment vertical="center" wrapText="1"/>
    </xf>
    <xf numFmtId="0" fontId="6" fillId="0" borderId="5" xfId="0" applyFont="1" applyBorder="1">
      <alignment vertical="center"/>
    </xf>
    <xf numFmtId="0" fontId="6" fillId="0" borderId="5" xfId="0" applyFont="1" applyBorder="1" applyAlignment="1">
      <alignment vertical="center" wrapText="1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wrapText="1"/>
    </xf>
    <xf numFmtId="0" fontId="6" fillId="0" borderId="7" xfId="0" applyFont="1" applyBorder="1">
      <alignment vertical="center"/>
    </xf>
    <xf numFmtId="0" fontId="1" fillId="0" borderId="8" xfId="0" applyFont="1" applyBorder="1" applyAlignment="1">
      <alignment vertical="top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6" fillId="0" borderId="10" xfId="0" applyFont="1" applyBorder="1" applyAlignment="1">
      <alignment vertical="center" wrapText="1"/>
    </xf>
    <xf numFmtId="0" fontId="1" fillId="0" borderId="11" xfId="0" applyFont="1" applyBorder="1" applyAlignment="1">
      <alignment wrapText="1"/>
    </xf>
    <xf numFmtId="0" fontId="5" fillId="0" borderId="11" xfId="0" applyFont="1" applyBorder="1" applyAlignment="1">
      <alignment wrapText="1"/>
    </xf>
    <xf numFmtId="49" fontId="5" fillId="0" borderId="11" xfId="0" applyNumberFormat="1" applyFont="1" applyBorder="1" applyAlignment="1">
      <alignment wrapText="1"/>
    </xf>
    <xf numFmtId="165" fontId="1" fillId="0" borderId="4" xfId="0" applyNumberFormat="1" applyFont="1" applyBorder="1" applyAlignment="1"/>
    <xf numFmtId="0" fontId="24" fillId="0" borderId="0" xfId="0" applyFont="1" applyAlignment="1">
      <alignment vertical="center" wrapText="1"/>
    </xf>
    <xf numFmtId="14" fontId="1" fillId="0" borderId="4" xfId="0" applyNumberFormat="1" applyFont="1" applyBorder="1" applyAlignment="1">
      <alignment horizontal="left" vertical="center" wrapText="1"/>
    </xf>
    <xf numFmtId="14" fontId="25" fillId="0" borderId="0" xfId="0" applyNumberFormat="1" applyFont="1">
      <alignment vertical="center"/>
    </xf>
    <xf numFmtId="17" fontId="0" fillId="0" borderId="0" xfId="0" applyNumberFormat="1">
      <alignment vertical="center"/>
    </xf>
    <xf numFmtId="0" fontId="16" fillId="0" borderId="4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6" fillId="0" borderId="4" xfId="0" applyFont="1" applyBorder="1" applyAlignment="1">
      <alignment vertical="center" wrapText="1"/>
    </xf>
    <xf numFmtId="0" fontId="0" fillId="0" borderId="4" xfId="0" applyBorder="1">
      <alignment vertical="center"/>
    </xf>
    <xf numFmtId="0" fontId="17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7" fillId="0" borderId="4" xfId="0" applyFont="1" applyBorder="1">
      <alignment vertical="center"/>
    </xf>
    <xf numFmtId="14" fontId="0" fillId="0" borderId="4" xfId="0" applyNumberFormat="1" applyBorder="1">
      <alignment vertical="center"/>
    </xf>
    <xf numFmtId="0" fontId="17" fillId="0" borderId="4" xfId="0" applyFont="1" applyBorder="1" applyAlignment="1">
      <alignment vertical="center" wrapText="1" readingOrder="1"/>
    </xf>
    <xf numFmtId="0" fontId="16" fillId="0" borderId="4" xfId="0" applyFont="1" applyBorder="1" applyAlignment="1">
      <alignment vertical="center" wrapText="1" readingOrder="1"/>
    </xf>
    <xf numFmtId="0" fontId="19" fillId="0" borderId="4" xfId="0" applyFont="1" applyBorder="1">
      <alignment vertical="center"/>
    </xf>
    <xf numFmtId="0" fontId="20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6" xfId="0" applyBorder="1" applyAlignment="1">
      <alignment vertical="center" wrapText="1"/>
    </xf>
    <xf numFmtId="0" fontId="0" fillId="0" borderId="8" xfId="0" applyBorder="1">
      <alignment vertical="center"/>
    </xf>
    <xf numFmtId="15" fontId="1" fillId="0" borderId="4" xfId="0" applyNumberFormat="1" applyFont="1" applyBorder="1" applyAlignment="1">
      <alignment horizontal="left" vertical="center" wrapText="1"/>
    </xf>
    <xf numFmtId="0" fontId="26" fillId="0" borderId="0" xfId="1">
      <alignment vertical="center"/>
    </xf>
    <xf numFmtId="0" fontId="26" fillId="0" borderId="0" xfId="1" applyFill="1" applyAlignment="1"/>
    <xf numFmtId="0" fontId="26" fillId="0" borderId="0" xfId="1" applyBorder="1" applyAlignment="1">
      <alignment wrapText="1"/>
    </xf>
    <xf numFmtId="0" fontId="26" fillId="0" borderId="0" xfId="1" applyBorder="1">
      <alignment vertical="center"/>
    </xf>
    <xf numFmtId="0" fontId="26" fillId="0" borderId="0" xfId="1" applyNumberFormat="1" applyBorder="1" applyAlignment="1">
      <alignment wrapText="1"/>
    </xf>
    <xf numFmtId="0" fontId="0" fillId="0" borderId="0" xfId="0" applyAlignment="1"/>
    <xf numFmtId="0" fontId="10" fillId="0" borderId="4" xfId="0" applyFont="1" applyBorder="1" applyAlignment="1"/>
    <xf numFmtId="0" fontId="1" fillId="0" borderId="6" xfId="0" applyFont="1" applyBorder="1" applyAlignment="1">
      <alignment horizontal="left" wrapText="1"/>
    </xf>
    <xf numFmtId="49" fontId="1" fillId="0" borderId="6" xfId="0" applyNumberFormat="1" applyFont="1" applyBorder="1" applyAlignment="1"/>
    <xf numFmtId="0" fontId="1" fillId="0" borderId="6" xfId="0" applyFont="1" applyBorder="1" applyAlignment="1"/>
    <xf numFmtId="0" fontId="1" fillId="0" borderId="6" xfId="0" applyFont="1" applyBorder="1" applyAlignment="1">
      <alignment horizontal="left" vertical="center"/>
    </xf>
    <xf numFmtId="14" fontId="25" fillId="0" borderId="4" xfId="0" applyNumberFormat="1" applyFont="1" applyBorder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11" xfId="0" applyFont="1" applyBorder="1">
      <alignment vertical="center"/>
    </xf>
    <xf numFmtId="0" fontId="1" fillId="0" borderId="12" xfId="0" applyFont="1" applyBorder="1" applyAlignment="1">
      <alignment wrapText="1"/>
    </xf>
    <xf numFmtId="0" fontId="26" fillId="0" borderId="0" xfId="1" applyAlignment="1"/>
    <xf numFmtId="0" fontId="6" fillId="0" borderId="13" xfId="0" applyFont="1" applyBorder="1" applyAlignment="1">
      <alignment vertical="center" wrapText="1"/>
    </xf>
    <xf numFmtId="17" fontId="1" fillId="0" borderId="11" xfId="0" applyNumberFormat="1" applyFont="1" applyBorder="1" applyAlignment="1">
      <alignment wrapText="1"/>
    </xf>
    <xf numFmtId="16" fontId="1" fillId="0" borderId="11" xfId="0" applyNumberFormat="1" applyFont="1" applyBorder="1" applyAlignment="1">
      <alignment wrapText="1"/>
    </xf>
    <xf numFmtId="0" fontId="27" fillId="0" borderId="0" xfId="2" applyFill="1"/>
    <xf numFmtId="0" fontId="1" fillId="0" borderId="3" xfId="0" applyFont="1" applyBorder="1">
      <alignment vertical="center"/>
    </xf>
    <xf numFmtId="0" fontId="3" fillId="0" borderId="1" xfId="0" applyFont="1" applyBorder="1" applyAlignment="1">
      <alignment wrapText="1"/>
    </xf>
    <xf numFmtId="0" fontId="1" fillId="0" borderId="1" xfId="0" quotePrefix="1" applyFont="1" applyBorder="1" applyAlignment="1"/>
    <xf numFmtId="14" fontId="3" fillId="0" borderId="1" xfId="0" applyNumberFormat="1" applyFont="1" applyBorder="1" applyAlignment="1">
      <alignment wrapText="1"/>
    </xf>
    <xf numFmtId="0" fontId="1" fillId="0" borderId="1" xfId="0" applyFont="1" applyBorder="1" applyAlignment="1"/>
    <xf numFmtId="0" fontId="26" fillId="0" borderId="0" xfId="1" applyFill="1">
      <alignment vertical="center"/>
    </xf>
    <xf numFmtId="0" fontId="1" fillId="0" borderId="1" xfId="0" applyFont="1" applyBorder="1" applyAlignment="1">
      <alignment wrapText="1"/>
    </xf>
    <xf numFmtId="0" fontId="1" fillId="0" borderId="1" xfId="0" quotePrefix="1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14" fontId="1" fillId="0" borderId="1" xfId="0" applyNumberFormat="1" applyFont="1" applyBorder="1" applyAlignment="1"/>
    <xf numFmtId="49" fontId="1" fillId="0" borderId="1" xfId="0" applyNumberFormat="1" applyFont="1" applyBorder="1" applyAlignment="1"/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6" fillId="0" borderId="5" xfId="0" applyFont="1" applyBorder="1" applyAlignment="1">
      <alignment horizontal="left" vertical="top" wrapText="1"/>
    </xf>
    <xf numFmtId="0" fontId="16" fillId="0" borderId="14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/>
    </xf>
    <xf numFmtId="0" fontId="16" fillId="0" borderId="14" xfId="0" applyFont="1" applyBorder="1" applyAlignment="1">
      <alignment horizontal="left" vertical="top"/>
    </xf>
    <xf numFmtId="0" fontId="16" fillId="0" borderId="5" xfId="1" applyFont="1" applyFill="1" applyBorder="1" applyAlignment="1">
      <alignment horizontal="left" vertical="top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/>
    </xf>
    <xf numFmtId="0" fontId="16" fillId="0" borderId="4" xfId="1" applyFont="1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14" fontId="16" fillId="0" borderId="4" xfId="0" applyNumberFormat="1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16" fillId="0" borderId="8" xfId="0" applyFont="1" applyBorder="1" applyAlignment="1">
      <alignment horizontal="left" vertical="top" wrapText="1"/>
    </xf>
    <xf numFmtId="0" fontId="16" fillId="0" borderId="11" xfId="0" applyFont="1" applyBorder="1" applyAlignment="1">
      <alignment horizontal="left" vertical="top" wrapText="1"/>
    </xf>
    <xf numFmtId="16" fontId="16" fillId="0" borderId="4" xfId="0" applyNumberFormat="1" applyFont="1" applyBorder="1" applyAlignment="1">
      <alignment horizontal="left" vertical="top" wrapText="1"/>
    </xf>
    <xf numFmtId="0" fontId="14" fillId="0" borderId="8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17" fontId="16" fillId="0" borderId="4" xfId="0" applyNumberFormat="1" applyFont="1" applyBorder="1" applyAlignment="1">
      <alignment horizontal="left" vertical="top" wrapText="1"/>
    </xf>
    <xf numFmtId="17" fontId="16" fillId="0" borderId="11" xfId="0" applyNumberFormat="1" applyFont="1" applyBorder="1" applyAlignment="1">
      <alignment horizontal="left" vertical="top" wrapText="1"/>
    </xf>
    <xf numFmtId="0" fontId="16" fillId="0" borderId="0" xfId="1" applyFont="1" applyBorder="1" applyAlignment="1">
      <alignment horizontal="left" vertical="top" wrapText="1"/>
    </xf>
    <xf numFmtId="0" fontId="16" fillId="0" borderId="0" xfId="0" applyFont="1" applyAlignment="1">
      <alignment horizontal="left" vertical="center"/>
    </xf>
    <xf numFmtId="0" fontId="16" fillId="0" borderId="0" xfId="1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top" wrapText="1"/>
    </xf>
    <xf numFmtId="0" fontId="16" fillId="0" borderId="6" xfId="1" applyFont="1" applyFill="1" applyBorder="1" applyAlignment="1">
      <alignment horizontal="left" vertical="top" wrapText="1"/>
    </xf>
    <xf numFmtId="14" fontId="16" fillId="0" borderId="6" xfId="0" applyNumberFormat="1" applyFon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28" fillId="0" borderId="0" xfId="0" applyFont="1" applyAlignment="1">
      <alignment vertical="center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6" fillId="0" borderId="0" xfId="1" applyAlignment="1">
      <alignment horizontal="left" vertical="top" wrapText="1"/>
    </xf>
    <xf numFmtId="0" fontId="27" fillId="0" borderId="0" xfId="2" applyFill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 wrapText="1"/>
    </xf>
    <xf numFmtId="17" fontId="0" fillId="0" borderId="0" xfId="0" applyNumberForma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 readingOrder="1"/>
    </xf>
    <xf numFmtId="0" fontId="1" fillId="0" borderId="4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 readingOrder="1"/>
    </xf>
    <xf numFmtId="0" fontId="19" fillId="0" borderId="4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" fontId="0" fillId="0" borderId="0" xfId="0" applyNumberFormat="1">
      <alignment vertical="center"/>
    </xf>
    <xf numFmtId="16" fontId="0" fillId="0" borderId="4" xfId="0" applyNumberFormat="1" applyBorder="1">
      <alignment vertical="center"/>
    </xf>
    <xf numFmtId="0" fontId="26" fillId="0" borderId="4" xfId="1" applyFill="1" applyBorder="1" applyAlignment="1">
      <alignment horizontal="left" vertical="top" wrapText="1"/>
    </xf>
    <xf numFmtId="0" fontId="26" fillId="0" borderId="4" xfId="1" applyBorder="1">
      <alignment vertical="center"/>
    </xf>
    <xf numFmtId="0" fontId="26" fillId="0" borderId="4" xfId="1" applyFill="1" applyBorder="1" applyAlignment="1"/>
    <xf numFmtId="0" fontId="26" fillId="0" borderId="6" xfId="1" applyFill="1" applyBorder="1" applyAlignment="1"/>
    <xf numFmtId="0" fontId="0" fillId="0" borderId="4" xfId="0" applyBorder="1" applyAlignment="1"/>
    <xf numFmtId="0" fontId="26" fillId="0" borderId="4" xfId="1" applyBorder="1" applyAlignment="1"/>
    <xf numFmtId="14" fontId="29" fillId="0" borderId="0" xfId="0" applyNumberFormat="1" applyFont="1">
      <alignment vertical="center"/>
    </xf>
    <xf numFmtId="0" fontId="30" fillId="0" borderId="0" xfId="1" applyFont="1" applyFill="1" applyAlignment="1"/>
    <xf numFmtId="0" fontId="0" fillId="0" borderId="0" xfId="0" applyAlignment="1">
      <alignment horizontal="right" vertical="center"/>
    </xf>
    <xf numFmtId="0" fontId="0" fillId="0" borderId="10" xfId="0" applyBorder="1" applyAlignment="1">
      <alignment horizontal="right" vertical="center"/>
    </xf>
    <xf numFmtId="17" fontId="0" fillId="0" borderId="11" xfId="0" applyNumberFormat="1" applyBorder="1" applyAlignment="1">
      <alignment horizontal="right" vertical="center"/>
    </xf>
    <xf numFmtId="16" fontId="0" fillId="0" borderId="11" xfId="0" applyNumberFormat="1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1" fillId="3" borderId="3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49" fontId="4" fillId="3" borderId="1" xfId="0" applyNumberFormat="1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17" fontId="0" fillId="3" borderId="0" xfId="0" applyNumberFormat="1" applyFill="1" applyAlignment="1">
      <alignment horizontal="left" vertical="top" wrapText="1"/>
    </xf>
    <xf numFmtId="0" fontId="26" fillId="3" borderId="0" xfId="1" applyFill="1" applyAlignment="1">
      <alignment horizontal="left" vertical="top" wrapText="1"/>
    </xf>
    <xf numFmtId="0" fontId="31" fillId="0" borderId="0" xfId="1" applyFont="1" applyAlignment="1">
      <alignment horizontal="left" vertical="top" wrapText="1"/>
    </xf>
    <xf numFmtId="0" fontId="32" fillId="0" borderId="0" xfId="1" applyFont="1" applyFill="1" applyAlignment="1"/>
    <xf numFmtId="0" fontId="26" fillId="0" borderId="4" xfId="1" applyFill="1" applyBorder="1">
      <alignment vertical="center"/>
    </xf>
    <xf numFmtId="0" fontId="4" fillId="4" borderId="1" xfId="0" applyFont="1" applyFill="1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top" wrapText="1"/>
    </xf>
    <xf numFmtId="0" fontId="26" fillId="0" borderId="4" xfId="1" applyBorder="1" applyAlignment="1">
      <alignment horizontal="left" vertical="top"/>
    </xf>
    <xf numFmtId="165" fontId="1" fillId="0" borderId="4" xfId="0" applyNumberFormat="1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165" fontId="5" fillId="0" borderId="4" xfId="0" applyNumberFormat="1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/>
    </xf>
    <xf numFmtId="165" fontId="1" fillId="0" borderId="4" xfId="0" applyNumberFormat="1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4" xfId="0" applyFont="1" applyBorder="1">
      <alignment vertical="center"/>
    </xf>
    <xf numFmtId="0" fontId="18" fillId="0" borderId="4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4" xfId="0" applyFont="1" applyBorder="1" applyAlignment="1">
      <alignment vertical="center" readingOrder="1"/>
    </xf>
    <xf numFmtId="0" fontId="17" fillId="0" borderId="4" xfId="0" applyFont="1" applyBorder="1" applyAlignment="1">
      <alignment horizontal="left" vertical="top" readingOrder="1"/>
    </xf>
    <xf numFmtId="0" fontId="16" fillId="0" borderId="4" xfId="0" applyFont="1" applyBorder="1" applyAlignment="1">
      <alignment vertical="center" readingOrder="1"/>
    </xf>
    <xf numFmtId="0" fontId="1" fillId="0" borderId="4" xfId="0" applyFont="1" applyBorder="1" applyAlignment="1">
      <alignment horizontal="left" vertical="top"/>
    </xf>
    <xf numFmtId="0" fontId="16" fillId="0" borderId="4" xfId="0" applyFont="1" applyBorder="1" applyAlignment="1">
      <alignment horizontal="left" vertical="top" readingOrder="1"/>
    </xf>
    <xf numFmtId="0" fontId="16" fillId="0" borderId="4" xfId="0" applyFont="1" applyBorder="1" applyAlignment="1">
      <alignment horizontal="left" vertical="top"/>
    </xf>
    <xf numFmtId="0" fontId="19" fillId="0" borderId="4" xfId="0" applyFont="1" applyBorder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35" fillId="5" borderId="4" xfId="0" applyFont="1" applyFill="1" applyBorder="1">
      <alignment vertical="center"/>
    </xf>
    <xf numFmtId="0" fontId="35" fillId="5" borderId="4" xfId="0" applyFont="1" applyFill="1" applyBorder="1" applyAlignment="1">
      <alignment horizontal="left" vertical="top" wrapText="1"/>
    </xf>
    <xf numFmtId="0" fontId="35" fillId="5" borderId="4" xfId="0" applyFont="1" applyFill="1" applyBorder="1" applyAlignment="1">
      <alignment vertical="center" wrapText="1"/>
    </xf>
    <xf numFmtId="0" fontId="36" fillId="5" borderId="4" xfId="0" applyFont="1" applyFill="1" applyBorder="1" applyAlignment="1">
      <alignment vertical="center" wrapText="1"/>
    </xf>
    <xf numFmtId="0" fontId="36" fillId="5" borderId="11" xfId="0" applyFont="1" applyFill="1" applyBorder="1" applyAlignment="1">
      <alignment horizontal="right" vertical="center" wrapText="1"/>
    </xf>
    <xf numFmtId="0" fontId="37" fillId="0" borderId="4" xfId="0" applyFont="1" applyBorder="1">
      <alignment vertical="center"/>
    </xf>
    <xf numFmtId="0" fontId="37" fillId="0" borderId="4" xfId="0" applyFont="1" applyBorder="1" applyAlignment="1">
      <alignment vertical="center" wrapText="1"/>
    </xf>
    <xf numFmtId="14" fontId="37" fillId="0" borderId="4" xfId="0" applyNumberFormat="1" applyFont="1" applyBorder="1" applyAlignment="1">
      <alignment vertical="center" wrapText="1"/>
    </xf>
    <xf numFmtId="165" fontId="37" fillId="0" borderId="11" xfId="0" applyNumberFormat="1" applyFont="1" applyBorder="1" applyAlignment="1">
      <alignment horizontal="right" vertical="center" wrapText="1"/>
    </xf>
    <xf numFmtId="0" fontId="38" fillId="0" borderId="15" xfId="1" applyFont="1" applyFill="1" applyBorder="1" applyAlignment="1">
      <alignment wrapText="1"/>
    </xf>
    <xf numFmtId="0" fontId="38" fillId="0" borderId="15" xfId="1" applyFont="1" applyFill="1" applyBorder="1" applyAlignment="1">
      <alignment vertical="center" wrapText="1"/>
    </xf>
    <xf numFmtId="165" fontId="37" fillId="0" borderId="4" xfId="0" applyNumberFormat="1" applyFont="1" applyBorder="1" applyAlignment="1">
      <alignment vertical="center" wrapText="1"/>
    </xf>
    <xf numFmtId="0" fontId="38" fillId="0" borderId="4" xfId="1" applyFont="1" applyFill="1" applyBorder="1" applyAlignment="1">
      <alignment vertical="center" wrapText="1"/>
    </xf>
    <xf numFmtId="0" fontId="33" fillId="0" borderId="16" xfId="0" applyFont="1" applyBorder="1" applyAlignment="1">
      <alignment vertical="center" wrapText="1"/>
    </xf>
    <xf numFmtId="0" fontId="34" fillId="0" borderId="16" xfId="0" applyFont="1" applyBorder="1" applyAlignment="1">
      <alignment vertical="center" wrapText="1"/>
    </xf>
    <xf numFmtId="0" fontId="37" fillId="0" borderId="4" xfId="0" applyFont="1" applyBorder="1" applyAlignment="1">
      <alignment horizontal="left" vertical="center" wrapText="1"/>
    </xf>
    <xf numFmtId="14" fontId="37" fillId="0" borderId="4" xfId="0" applyNumberFormat="1" applyFont="1" applyBorder="1">
      <alignment vertical="center"/>
    </xf>
    <xf numFmtId="165" fontId="37" fillId="0" borderId="11" xfId="0" applyNumberFormat="1" applyFont="1" applyBorder="1" applyAlignment="1">
      <alignment horizontal="right" vertical="center"/>
    </xf>
    <xf numFmtId="0" fontId="38" fillId="0" borderId="4" xfId="1" applyFont="1" applyFill="1" applyBorder="1" applyAlignment="1">
      <alignment vertical="center"/>
    </xf>
    <xf numFmtId="0" fontId="37" fillId="0" borderId="4" xfId="0" applyFont="1" applyBorder="1" applyAlignment="1">
      <alignment horizontal="left" vertical="center"/>
    </xf>
    <xf numFmtId="165" fontId="37" fillId="0" borderId="4" xfId="0" applyNumberFormat="1" applyFont="1" applyBorder="1">
      <alignment vertical="center"/>
    </xf>
    <xf numFmtId="0" fontId="37" fillId="0" borderId="4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top" wrapText="1"/>
    </xf>
  </cellXfs>
  <cellStyles count="3">
    <cellStyle name="Hyperlink" xfId="1" builtinId="8"/>
    <cellStyle name="Neutral" xfId="2" builtinId="28"/>
    <cellStyle name="Normal" xfId="0" builtinId="0"/>
  </cellStyles>
  <dxfs count="121">
    <dxf>
      <numFmt numFmtId="0" formatCode="General"/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[$-F800]dddd\,\ mmmm\ dd\,\ yyyy"/>
      <fill>
        <patternFill patternType="none"/>
      </fill>
      <alignment horizontal="right" wrapText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[$-F800]dddd\,\ mmmm\ dd\,\ yyyy"/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m/d/yyyy"/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top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wrapText="0"/>
    </dxf>
    <dxf>
      <font>
        <color rgb="FFFFFFFF"/>
      </font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right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0" formatCode="General"/>
      <alignment horizontal="left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rgb="FFFFFF00"/>
        </patternFill>
      </fill>
    </dxf>
    <dxf>
      <fill>
        <patternFill patternType="none">
          <fgColor indexed="64"/>
          <bgColor rgb="FFFFFF00"/>
        </patternFill>
      </fill>
    </dxf>
    <dxf>
      <fill>
        <patternFill patternType="none">
          <fgColor indexed="64"/>
          <bgColor rgb="FFFFFF00"/>
        </patternFill>
      </fill>
    </dxf>
    <dxf>
      <fill>
        <patternFill patternType="none">
          <fgColor indexed="64"/>
          <bgColor rgb="FFFFFF00"/>
        </patternFill>
      </fill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9" formatCode="m/d/yyyy"/>
      <fill>
        <patternFill patternType="none">
          <fgColor indexed="64"/>
          <bgColor rgb="FFFFFF0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rgb="FFFFFF0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rgb="FFFFFF0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 patternType="none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0" formatCode="General"/>
      <alignment horizontal="general" vertical="bottom" textRotation="0" wrapText="1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30" formatCode="@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top" wrapText="1"/>
    </dxf>
    <dxf>
      <alignment horizontal="left" vertical="top" wrapText="1"/>
    </dxf>
    <dxf>
      <alignment horizontal="left" vertical="top" wrapText="1"/>
    </dxf>
    <dxf>
      <alignment horizontal="left" vertical="top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top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top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top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top" wrapText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alignment horizontal="left" vertical="top"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4EA72E"/>
        </left>
      </border>
    </dxf>
    <dxf>
      <border>
        <left style="thin">
          <color rgb="FF4EA72E"/>
        </left>
      </border>
    </dxf>
    <dxf>
      <border>
        <top style="thin">
          <color rgb="FF4EA72E"/>
        </top>
      </border>
    </dxf>
    <dxf>
      <border>
        <top style="thin">
          <color rgb="FF4EA72E"/>
        </top>
      </border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EA72E"/>
        </top>
      </border>
    </dxf>
    <dxf>
      <font>
        <b/>
        <color rgb="FFFFFFFF"/>
      </font>
      <fill>
        <patternFill patternType="solid">
          <fgColor rgb="FF4EA72E"/>
          <bgColor rgb="FF4EA72E"/>
        </patternFill>
      </fill>
    </dxf>
    <dxf>
      <font>
        <color rgb="FF000000"/>
      </font>
      <border>
        <left style="thin">
          <color rgb="FF4EA72E"/>
        </left>
        <right style="thin">
          <color rgb="FF4EA72E"/>
        </right>
        <top style="thin">
          <color rgb="FF4EA72E"/>
        </top>
        <bottom style="thin">
          <color rgb="FF4EA72E"/>
        </bottom>
      </border>
    </dxf>
  </dxfs>
  <tableStyles count="1" defaultTableStyle="TableStyleMedium2" defaultPivotStyle="PivotStyleLight16">
    <tableStyle name="TableStyleLight14 2" pivot="0" count="9" xr9:uid="{9B9F5388-23CE-40F9-B28C-C03314764543}">
      <tableStyleElement type="wholeTable" dxfId="120"/>
      <tableStyleElement type="headerRow" dxfId="119"/>
      <tableStyleElement type="totalRow" dxfId="118"/>
      <tableStyleElement type="firstColumn" dxfId="117"/>
      <tableStyleElement type="lastColumn" dxfId="116"/>
      <tableStyleElement type="firstRowStripe" dxfId="115"/>
      <tableStyleElement type="secondRowStripe" dxfId="114"/>
      <tableStyleElement type="firstColumnStripe" dxfId="113"/>
      <tableStyleElement type="secondColumnStripe" dxfId="1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64E671-5C78-446C-A54B-0234046E04FF}" name="Table5" displayName="Table5" ref="A2:N51" totalsRowShown="0" headerRowDxfId="109" dataDxfId="108" tableBorderDxfId="107">
  <autoFilter ref="A2:N51" xr:uid="{6064E671-5C78-446C-A54B-0234046E04FF}">
    <filterColumn colId="5">
      <filters>
        <filter val="11th of November, 2021"/>
        <filter val="1st of November, 2021"/>
        <filter val="3rd of November, 2021"/>
        <filter val="4th of November, 2021"/>
        <filter val="8th of November, 2021"/>
        <filter val="9th of November, 2021"/>
      </filters>
    </filterColumn>
  </autoFilter>
  <tableColumns count="14">
    <tableColumn id="1" xr3:uid="{3166D618-CBB9-41C0-85CC-DA6301CD4EC1}" name="S/N" dataDxfId="106"/>
    <tableColumn id="2" xr3:uid="{29514028-3B58-4731-B184-49CAA2254EC1}" name="NAME OF MANUFACTURER" dataDxfId="105"/>
    <tableColumn id="3" xr3:uid="{D733F168-B22A-4A2F-8B72-D54F8901EB47}" name="LOCATION ADDRESS" dataDxfId="104"/>
    <tableColumn id="4" xr3:uid="{C5E0EC6A-7721-4DD6-A69D-616ECC4F2570}" name="CONTACT" dataDxfId="103"/>
    <tableColumn id="5" xr3:uid="{F3E22A02-28C0-4995-8CC3-DD18D754B6EE}" name="TYPE OF LAST INSPECTION" dataDxfId="102"/>
    <tableColumn id="6" xr3:uid="{86BD95F7-B9D3-4603-B08D-94B31C2490C5}" name="DATE OF LAST INSPECTION" dataDxfId="101"/>
    <tableColumn id="7" xr3:uid="{C4FF6104-A345-4325-ADAB-73B8B3A8E9FC}" name="FINDINGS" dataDxfId="100"/>
    <tableColumn id="8" xr3:uid="{F186A18E-7B0D-4451-99F3-209D12443994}" name="CAPA ISSUED DATE" dataDxfId="99"/>
    <tableColumn id="17" xr3:uid="{7C3EA491-E584-4633-8D95-E9C87E145B65}" name="CAPA SUBMITTED" dataDxfId="98"/>
    <tableColumn id="9" xr3:uid="{F40D1DE7-2FCF-4919-8F99-E302D17B2DB7}" name="CONCLUSION" dataDxfId="97"/>
    <tableColumn id="10" xr3:uid="{3BF47A11-8454-4700-B95F-2BBBF8F66AF7}" name="REMARKS" dataDxfId="96"/>
    <tableColumn id="12" xr3:uid="{56323AF3-5116-4D7E-903B-12125D5A220B}" name="EXPECTED DATE OF INSPECTION" dataDxfId="95"/>
    <tableColumn id="13" xr3:uid="{CC09FBAA-E910-40FA-B26F-49D7FCAA54D3}" name="CC" dataDxfId="94"/>
    <tableColumn id="14" xr3:uid="{BF73F90A-9C19-4455-B9F6-3DF7940C9467}" name="COMPANY FILE" dataDxfId="93" dataCellStyle="Hyperlink">
      <calculatedColumnFormula>IF(M3="","",HYPERLINK(M3,B3))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609B3A-073E-4418-81BE-BE9D7FD06908}" name="Table3" displayName="Table3" ref="A2:N60" totalsRowShown="0" headerRowDxfId="90" headerRowBorderDxfId="88" tableBorderDxfId="89" totalsRowBorderDxfId="87">
  <autoFilter ref="A2:N60" xr:uid="{C4609B3A-073E-4418-81BE-BE9D7FD06908}"/>
  <sortState xmlns:xlrd2="http://schemas.microsoft.com/office/spreadsheetml/2017/richdata2" ref="A3:N60">
    <sortCondition ref="A2:A60"/>
  </sortState>
  <tableColumns count="14">
    <tableColumn id="1" xr3:uid="{CDE12554-056F-4629-AF9D-5DA2EDC7ED40}" name="S/N" dataDxfId="86"/>
    <tableColumn id="2" xr3:uid="{4BDF177D-A95E-46C3-8637-4D540F0277E4}" name="NAME OF MANUFACTURER" dataDxfId="85"/>
    <tableColumn id="3" xr3:uid="{8438452D-CC82-487B-BECC-2BA3CC9F4828}" name="LOCATION ADDRESS" dataDxfId="84"/>
    <tableColumn id="4" xr3:uid="{39653122-0CE3-431C-951D-E504B20EE458}" name="CONTACT" dataDxfId="83"/>
    <tableColumn id="5" xr3:uid="{A14424F2-F28F-4CF4-9C30-5B0E7539DFB3}" name="TYPE OF LAST INSPECTION" dataDxfId="82"/>
    <tableColumn id="6" xr3:uid="{D0E8957C-E20F-4841-8832-678745CE25C5}" name="DATE OF LAST INSPECTION" dataDxfId="81"/>
    <tableColumn id="7" xr3:uid="{A64ACCAE-0EAF-48DD-9CC0-0A00081D51C7}" name="FINDINGS" dataDxfId="80"/>
    <tableColumn id="8" xr3:uid="{2BF706C0-B180-485C-A123-B4A00B98F501}" name="CAPA ISSUED DATE" dataDxfId="79"/>
    <tableColumn id="9" xr3:uid="{55BF7362-98B4-4B11-A0A9-5D88625FEFC0}" name="CAPA SUBMITTED" dataDxfId="78"/>
    <tableColumn id="10" xr3:uid="{503CAFB4-FEFA-4259-B72C-0C733E737B3B}" name="CONCLUSION" dataDxfId="77"/>
    <tableColumn id="11" xr3:uid="{97D92032-B9A9-42D6-A30A-62182E5A7FE8}" name="REMARKS" dataDxfId="76">
      <calculatedColumnFormula>IF(I3="YES","CAPA VERIFICATION SHOULD BE SCHEDULED",IF(I3="NO","REMINDER LETTER SHOULD BE SENT",""))</calculatedColumnFormula>
    </tableColumn>
    <tableColumn id="13" xr3:uid="{94DC1F71-E026-4A3E-990A-564F320F50B2}" name="EXPECTED DATE OF INSPECTION" dataDxfId="75"/>
    <tableColumn id="12" xr3:uid="{23B4BD65-38E4-4304-A0DA-86B3B04052D9}" name="COMPANY FILE" dataDxfId="74"/>
    <tableColumn id="14" xr3:uid="{3BE4B6D8-4F6A-4FB2-B876-DD4C305F2933}" name="OMPANY FFILE" dataDxfId="73">
      <calculatedColumnFormula>IF(M3="","",HYPERLINK(M3,B3))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DD647D-1817-4B8C-9217-E328EB7C1FAE}" name="Table1" displayName="Table1" ref="A2:N108" totalsRowShown="0" headerRowDxfId="70" dataDxfId="69" tableBorderDxfId="68">
  <autoFilter ref="A2:N108" xr:uid="{97DD647D-1817-4B8C-9217-E328EB7C1FAE}"/>
  <sortState xmlns:xlrd2="http://schemas.microsoft.com/office/spreadsheetml/2017/richdata2" ref="A3:N108">
    <sortCondition ref="A2:A108"/>
  </sortState>
  <tableColumns count="14">
    <tableColumn id="1" xr3:uid="{F02D3EAB-8F70-421C-9640-1D49D0BEFEBF}" name="S/N" dataDxfId="67"/>
    <tableColumn id="2" xr3:uid="{473F57B5-AD54-4B36-B33B-B1848B0ACFC2}" name="NAME OF MANUFACTURER" dataDxfId="66"/>
    <tableColumn id="3" xr3:uid="{6FF2AE93-34E1-4691-A78D-04DCF4AED1B3}" name="LOCATION ADDRESS" dataDxfId="65"/>
    <tableColumn id="4" xr3:uid="{8C5CB276-5CF6-4D0B-9ADF-12B020EB0B98}" name="CONTACT" dataDxfId="64"/>
    <tableColumn id="5" xr3:uid="{D18DB6E7-6314-4464-933B-0D817E0A2E02}" name="TYPE OF LAST INSPECTION" dataDxfId="63"/>
    <tableColumn id="6" xr3:uid="{05F51CB6-1D25-4A72-9258-E154E7CA134D}" name="DATE OF LAST INSPECTION" dataDxfId="62"/>
    <tableColumn id="7" xr3:uid="{C3ACA399-3B98-4479-A2D5-1C4DF85D1FFA}" name="FINDINGS" dataDxfId="61"/>
    <tableColumn id="8" xr3:uid="{D6698E3B-185D-4D20-9B9E-62EDAD79097D}" name="CAPA ISSUED DATE" dataDxfId="60"/>
    <tableColumn id="9" xr3:uid="{1E0DFB3A-5EE3-4CC9-85CE-82FA14B59ACC}" name="CAPA SUBMITTED" dataDxfId="59"/>
    <tableColumn id="10" xr3:uid="{E0BEF292-FEDE-4A14-A5D0-88FB68F1519C}" name="CONCLUSION" dataDxfId="58"/>
    <tableColumn id="11" xr3:uid="{EEB8B058-78C0-485E-9482-2B2005BA9717}" name="REMARKS" dataDxfId="57"/>
    <tableColumn id="12" xr3:uid="{AA6C9562-491A-4A65-A216-F5F0A199F768}" name="EXPECTED DATE OF INSPECTION" dataDxfId="56"/>
    <tableColumn id="13" xr3:uid="{8DE2567F-E44C-4D72-892E-DE17A84A686E}" name="OMPANY FILE" dataDxfId="55"/>
    <tableColumn id="14" xr3:uid="{21D69334-FA2B-44E2-837C-38227DCF49F2}" name="COMPANY FILE" dataDxfId="54">
      <calculatedColumnFormula>IF(M3="","",HYPERLINK(M3,B3))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561F3E-EC2E-4070-8F77-5B49FD5934CA}" name="Table2" displayName="Table2" ref="A3:N64" totalsRowShown="0" headerRowDxfId="51" dataDxfId="50">
  <autoFilter ref="A3:N64" xr:uid="{8C561F3E-EC2E-4070-8F77-5B49FD5934CA}">
    <filterColumn colId="9">
      <filters>
        <filter val="CAPA  submitted"/>
        <filter val="CAPA Submitted"/>
      </filters>
    </filterColumn>
  </autoFilter>
  <sortState xmlns:xlrd2="http://schemas.microsoft.com/office/spreadsheetml/2017/richdata2" ref="A4:N64">
    <sortCondition ref="A3:A64"/>
  </sortState>
  <tableColumns count="14">
    <tableColumn id="1" xr3:uid="{0E88D394-AB70-4040-B7AB-555696451C66}" name="S/N" dataDxfId="49"/>
    <tableColumn id="2" xr3:uid="{AA902835-53D9-4AE5-BCA5-CB29D8D46B76}" name="NAME OF MANUFACTURER" dataDxfId="48"/>
    <tableColumn id="3" xr3:uid="{7695B1A2-6B4C-4076-BFC0-A7B092377DF4}" name="LOCATION ADDRESS" dataDxfId="47"/>
    <tableColumn id="4" xr3:uid="{ABFDBA7E-7C2D-4C33-93CB-3C897823E79A}" name="CONTACT" dataDxfId="46"/>
    <tableColumn id="5" xr3:uid="{2E0DBD38-B70F-488E-A64A-134D8206B24B}" name="TYPE OF LAST INSPECTION" dataDxfId="45"/>
    <tableColumn id="6" xr3:uid="{BC6CD900-F8EE-4C21-9C63-976CC6A35E62}" name="DATE OF LAST INSPECTION" dataDxfId="44"/>
    <tableColumn id="7" xr3:uid="{CB00F586-C983-4756-BD58-D8710C53F764}" name="FINDINGS" dataDxfId="43"/>
    <tableColumn id="8" xr3:uid="{9CC63961-C79D-473E-9A4E-C3F095484039}" name="CAPA  ISSUED DATE " dataDxfId="42"/>
    <tableColumn id="9" xr3:uid="{A0EBC0A7-9DBF-49A5-B147-0F2B83518889}" name="CAPA SUBMITTED" dataDxfId="41"/>
    <tableColumn id="10" xr3:uid="{3CCEAE7D-3C1F-4CE3-9FA8-4578D849011A}" name="CONCLUSION" dataDxfId="40"/>
    <tableColumn id="11" xr3:uid="{5CB467D6-6F3A-4500-BFEB-8325ABAF67BF}" name="REMARKS" dataDxfId="39">
      <calculatedColumnFormula>IF(I4="YES","CAPA VERIFICATION SHOULD BE SCHEDULED",IF(I4="NO","REMINDER LETTER SHOULD BE SENT",""))</calculatedColumnFormula>
    </tableColumn>
    <tableColumn id="12" xr3:uid="{05AB97DC-803A-4E85-90D3-1DFA54717FFD}" name="EXPECTED DATE OF INSPECTION" dataDxfId="38"/>
    <tableColumn id="13" xr3:uid="{B2CF90F7-5BEC-4EEC-8D2D-488DB311E93C}" name="Column1" dataDxfId="37"/>
    <tableColumn id="14" xr3:uid="{E64FCDB6-BD4C-4BA6-B942-58753B61211E}" name="Column2" dataDxfId="36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F6EA8A-118D-4BA2-95A6-03B3B1DF5221}" name="Table4" displayName="Table4" ref="A2:N108" totalsRowShown="0" headerRowDxfId="35" headerRowBorderDxfId="33" tableBorderDxfId="34" totalsRowBorderDxfId="32">
  <autoFilter ref="A2:N108" xr:uid="{FBF6EA8A-118D-4BA2-95A6-03B3B1DF5221}"/>
  <tableColumns count="14">
    <tableColumn id="1" xr3:uid="{F2F1E5AB-CAC7-409A-9785-9882625E89ED}" name="S/N" dataDxfId="31"/>
    <tableColumn id="2" xr3:uid="{5880CBFF-817C-4A71-B39E-407219A09B73}" name="NAME OF MANUFACTURER" dataDxfId="30"/>
    <tableColumn id="3" xr3:uid="{E23983E7-F19B-445B-9A08-0B4B1B8F592F}" name="LOCATION ADDRESS" dataDxfId="29"/>
    <tableColumn id="4" xr3:uid="{8E2A6320-9552-4E27-8B6F-61968ABAA495}" name="CONTACT" dataDxfId="28"/>
    <tableColumn id="5" xr3:uid="{7685BF47-1D6A-452F-9EB4-109214EE907A}" name="TYPE OF LAST INSPECTION" dataDxfId="27"/>
    <tableColumn id="6" xr3:uid="{D9765C10-33C6-44E4-9360-1CF6431C668E}" name="DATE OF LAST INSPECTION" dataDxfId="26"/>
    <tableColumn id="7" xr3:uid="{05B5A22B-41E1-4692-B304-0EB4F43FB622}" name="FINDINGS" dataDxfId="25"/>
    <tableColumn id="8" xr3:uid="{D95E5216-DA9A-4D7D-93DE-B95099B3DE74}" name="DATE CAPA ISSUED" dataDxfId="24"/>
    <tableColumn id="9" xr3:uid="{EFF25D91-65DE-4B1D-96FB-67523CAD67AE}" name="CAPA SUBMITTED" dataDxfId="23"/>
    <tableColumn id="10" xr3:uid="{44315DB2-5F6F-4759-9B7E-2107D94FA8E3}" name="CONCLUSION" dataDxfId="22"/>
    <tableColumn id="11" xr3:uid="{DF4A1964-0CF7-4F83-92BB-8B6423CEC895}" name="REMARKS" dataDxfId="21">
      <calculatedColumnFormula>IF(I3="YES","CAPA VERIFICATION SHOULD BE SCHEDULED",IF(I3="NO","REMINDER LETTER SHOULD BE SENT",""))</calculatedColumnFormula>
    </tableColumn>
    <tableColumn id="12" xr3:uid="{F303B653-CA7E-4104-ABC2-8E88322F54E3}" name="EXPECTED DATE OF INSPECTION" dataDxfId="20"/>
    <tableColumn id="14" xr3:uid="{8C885221-7022-4C73-89C9-94A7C97AC159}" name="CC" dataDxfId="19"/>
    <tableColumn id="15" xr3:uid="{A41FF538-9DCA-494D-ACB3-9994B123A3B0}" name="COMPANY FILE" dataDxfId="18">
      <calculatedColumnFormula>IF(M3="","",HYPERLINK(M3,B3))</calculatedColumnFormula>
    </tableColumn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0C9BB28-FEB8-45CB-827E-7BB23A36F045}" name="Table48" displayName="Table48" ref="A1:M107" totalsRowShown="0" headerRowDxfId="17" dataDxfId="16" headerRowBorderDxfId="14" tableBorderDxfId="15" totalsRowBorderDxfId="13">
  <autoFilter ref="A1:M107" xr:uid="{20C9BB28-FEB8-45CB-827E-7BB23A36F045}"/>
  <tableColumns count="13">
    <tableColumn id="1" xr3:uid="{CFD70B15-A5E6-4D35-8A77-879EBCC612CC}" name="S/N" dataDxfId="12">
      <calculatedColumnFormula>ROW() - ROW(Table48[[#Headers],[S/N]])</calculatedColumnFormula>
    </tableColumn>
    <tableColumn id="2" xr3:uid="{571FEBD7-B61F-4055-A3E2-37997FF15354}" name="NAME OF MANUFACTURER" dataDxfId="11"/>
    <tableColumn id="3" xr3:uid="{D6BC203F-4E31-4572-ACF4-5AE800858B76}" name="LOCATION ADDRESS" dataDxfId="10"/>
    <tableColumn id="4" xr3:uid="{69FF9BEA-D14D-4D93-AC68-5FE988F8EEB3}" name="CONTACT" dataDxfId="9"/>
    <tableColumn id="5" xr3:uid="{A5D1A3DD-8358-49BF-ACE1-187B108923BC}" name="TYPE OF LAST INSPECTION" dataDxfId="8"/>
    <tableColumn id="6" xr3:uid="{2B23F85D-4BB8-40F2-8E90-703EAB1C319E}" name="DATE OF LAST INSPECTION" dataDxfId="7"/>
    <tableColumn id="7" xr3:uid="{773626A9-8155-468C-9FF9-B72461369C42}" name="FINDINGS" dataDxfId="6"/>
    <tableColumn id="8" xr3:uid="{A7CC0270-BF49-4013-ACB2-F2BC52D005A5}" name="DATE CAPA ISSUED" dataDxfId="5"/>
    <tableColumn id="9" xr3:uid="{9C438A24-76CA-46BB-A48D-DDCCDBBBBEA5}" name="CAPA SUBMITTED" dataDxfId="4"/>
    <tableColumn id="10" xr3:uid="{D1E289AD-1DBA-4760-AE1C-648046F385CD}" name="CONCLUSION" dataDxfId="3">
      <calculatedColumnFormula>IF(I2="YES","CAPA VERIFICATION SHOULD BE SCHEDULED",IF(I2="NO","REMINDER LETTER SHOULD BE SENT",""))</calculatedColumnFormula>
    </tableColumn>
    <tableColumn id="11" xr3:uid="{1CD47E96-75FE-4681-B9E3-1DAC051BE920}" name="REMARKS" dataDxfId="2">
      <calculatedColumnFormula>IF(I2="YES","CAPA SUBMITTED",IF(I2="NO","CAPA YET TO BE SUBMITTED",""))</calculatedColumnFormula>
    </tableColumn>
    <tableColumn id="12" xr3:uid="{634BFC85-8D98-4CF7-AD6B-31CA5F5E9D3D}" name="EXPECTED DATE OF INSPECTION" dataDxfId="1">
      <calculatedColumnFormula>IF(G2="Low Risk (A)",EDATE(F2,24),
IF(G2="Medium Risk(B)",EDATE(F2,12),
IF(G2="High Risk(C)",EDATE(F2,6),"")))</calculatedColumnFormula>
    </tableColumn>
    <tableColumn id="15" xr3:uid="{26DF59DB-6365-463A-B87F-A7C2596B8A6D}" name="COMPANY FIL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../../../../../:f:/s/PMSLAGOS/IgByqnnyW17bT5dDRDD5EQ1_AV3BeNZbTj3cp2SvCSplF4k?e=AEdNJT" TargetMode="External"/><Relationship Id="rId1" Type="http://schemas.openxmlformats.org/officeDocument/2006/relationships/hyperlink" Target="GSDP%20COMPANY%20FILES/ADLER%20PRODUCT%20LTD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../GSDP%20COMPANY%20FILES/KRISPHINA" TargetMode="External"/><Relationship Id="rId7" Type="http://schemas.openxmlformats.org/officeDocument/2006/relationships/table" Target="../tables/table2.xml"/><Relationship Id="rId2" Type="http://schemas.openxmlformats.org/officeDocument/2006/relationships/hyperlink" Target="../GSDP%20COMPANY%20FILES/AKU-UDO%20PHARMACY" TargetMode="External"/><Relationship Id="rId1" Type="http://schemas.openxmlformats.org/officeDocument/2006/relationships/hyperlink" Target="../GSDP%20COMPANY%20FILES/ABIROT" TargetMode="External"/><Relationship Id="rId6" Type="http://schemas.openxmlformats.org/officeDocument/2006/relationships/hyperlink" Target="../GSDP%20COMPANY%20FILES/AF-UCHENNA%20PHARM" TargetMode="External"/><Relationship Id="rId5" Type="http://schemas.openxmlformats.org/officeDocument/2006/relationships/hyperlink" Target="../GSDP%20COMPANY%20FILES/KRISPHINA" TargetMode="External"/><Relationship Id="rId4" Type="http://schemas.openxmlformats.org/officeDocument/2006/relationships/hyperlink" Target="../GSDP%20COMPANY%20FILES/KRISPHINA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/GSDP%20COMPANY%20FILES/AJAO%20SAMUEL" TargetMode="External"/><Relationship Id="rId3" Type="http://schemas.openxmlformats.org/officeDocument/2006/relationships/hyperlink" Target="GSDP%20COMPANY%20FILES/AGARY%20PHARMACEUTICALS%20LTD" TargetMode="External"/><Relationship Id="rId7" Type="http://schemas.openxmlformats.org/officeDocument/2006/relationships/hyperlink" Target="../GSDP%20COMPANY%20FILES/ROM-CHIDEK" TargetMode="External"/><Relationship Id="rId2" Type="http://schemas.openxmlformats.org/officeDocument/2006/relationships/hyperlink" Target="GSDP%20COMPANY%20FILES/AGU%20JUDEA%20PHARMACEUTICLAS" TargetMode="External"/><Relationship Id="rId1" Type="http://schemas.openxmlformats.org/officeDocument/2006/relationships/hyperlink" Target="GSDP%20COMPANY%20FILES/A.N%20CHIDOZIE%20PHARMACEUTICAL%20LTD" TargetMode="External"/><Relationship Id="rId6" Type="http://schemas.openxmlformats.org/officeDocument/2006/relationships/hyperlink" Target="../GSDP%20COMPANY%20FILES/FRANKCY%20NIG%20LTD" TargetMode="External"/><Relationship Id="rId11" Type="http://schemas.openxmlformats.org/officeDocument/2006/relationships/table" Target="../tables/table3.xml"/><Relationship Id="rId5" Type="http://schemas.openxmlformats.org/officeDocument/2006/relationships/hyperlink" Target="../GSDP%20COMPANY%20FILES/FRANKCY%20NIG%20LTD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../GSDP%20COMPANY%20FILES/SKY%20PHARM" TargetMode="External"/><Relationship Id="rId9" Type="http://schemas.openxmlformats.org/officeDocument/2006/relationships/hyperlink" Target="../GSDP%20COMPANY%20FILES/GOODCARE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../GSDP%20COMPANY%20FILES/SPINE%20PRODUCT%20LTD" TargetMode="External"/><Relationship Id="rId3" Type="http://schemas.openxmlformats.org/officeDocument/2006/relationships/hyperlink" Target="../GSDP%20COMPANY%20FILES/INTERPHARM%20GMBH" TargetMode="External"/><Relationship Id="rId7" Type="http://schemas.openxmlformats.org/officeDocument/2006/relationships/hyperlink" Target="../GSDP%20COMPANY%20FILES/GOODCARE" TargetMode="External"/><Relationship Id="rId2" Type="http://schemas.openxmlformats.org/officeDocument/2006/relationships/hyperlink" Target="../../../../../:f:/s/PMSLAGOS/IgDEREDujMUYRZhkrewJEPixAbYbfZ1LbL8qianGZ-plcdU?e=WqHder" TargetMode="External"/><Relationship Id="rId1" Type="http://schemas.openxmlformats.org/officeDocument/2006/relationships/hyperlink" Target="../../../../../:f:/s/PMSLAGOS/IgA0Jl4IY1vDR7iQOT0MDq3TAUynKViboBPDh_ABRHjR7sQ?e=A8QmxD" TargetMode="External"/><Relationship Id="rId6" Type="http://schemas.openxmlformats.org/officeDocument/2006/relationships/hyperlink" Target="../GSDP%20COMPANY%20FILES/DI-MAGGIO" TargetMode="External"/><Relationship Id="rId11" Type="http://schemas.openxmlformats.org/officeDocument/2006/relationships/table" Target="../tables/table4.xml"/><Relationship Id="rId5" Type="http://schemas.openxmlformats.org/officeDocument/2006/relationships/hyperlink" Target="../GSDP%20COMPANY%20FILES/AWARD%20GLOBAL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../GSDP%20COMPANY%20FILES/PHARMAMAX%20NIG.%20LTD" TargetMode="External"/><Relationship Id="rId9" Type="http://schemas.openxmlformats.org/officeDocument/2006/relationships/hyperlink" Target="../../GDP%20(GOOD%20DISTRIBUTION%20PRATICE)/GSDP%20COMPANY%20FILES/SLOCHARS%20PHAR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../GSDP%20COMPANY%20FILES/ICE%20REMEDIES" TargetMode="External"/><Relationship Id="rId13" Type="http://schemas.openxmlformats.org/officeDocument/2006/relationships/hyperlink" Target="../GSDP%20COMPANY%20FILES/GOLDEN%20GAZELLE" TargetMode="External"/><Relationship Id="rId18" Type="http://schemas.openxmlformats.org/officeDocument/2006/relationships/hyperlink" Target="../GSDP%20COMPANY%20FILES/Assene-LABOREX" TargetMode="External"/><Relationship Id="rId26" Type="http://schemas.openxmlformats.org/officeDocument/2006/relationships/printerSettings" Target="../printerSettings/printerSettings3.bin"/><Relationship Id="rId3" Type="http://schemas.openxmlformats.org/officeDocument/2006/relationships/hyperlink" Target="GSDP%20COMPANY%20FILES/AGARY%20PHARMACEUTICALS%20LTD" TargetMode="External"/><Relationship Id="rId21" Type="http://schemas.openxmlformats.org/officeDocument/2006/relationships/hyperlink" Target="../GSDP%20COMPANY%20FILES/ARTEMIS" TargetMode="External"/><Relationship Id="rId7" Type="http://schemas.openxmlformats.org/officeDocument/2006/relationships/hyperlink" Target="../GSDP%20COMPANY%20FILES/EXPHARLAB" TargetMode="External"/><Relationship Id="rId12" Type="http://schemas.openxmlformats.org/officeDocument/2006/relationships/hyperlink" Target="../GSDP%20COMPANY%20FILES/SHEPHERD%20HEALTH" TargetMode="External"/><Relationship Id="rId17" Type="http://schemas.openxmlformats.org/officeDocument/2006/relationships/hyperlink" Target="../GSDP%20COMPANY%20FILES/Thompson%20%26%20Grace%20Pharm" TargetMode="External"/><Relationship Id="rId25" Type="http://schemas.openxmlformats.org/officeDocument/2006/relationships/hyperlink" Target="../../GDP%20(GOOD%20DISTRIBUTION%20PRATICE)/GSDP%20COMPANY%20FILES/HEALTHLINE%20NIG.%20LTD" TargetMode="External"/><Relationship Id="rId2" Type="http://schemas.openxmlformats.org/officeDocument/2006/relationships/hyperlink" Target="GSDP%20COMPANY%20FILES/Addmore" TargetMode="External"/><Relationship Id="rId16" Type="http://schemas.openxmlformats.org/officeDocument/2006/relationships/hyperlink" Target="../GSDP%20COMPANY%20FILES/MAYDON" TargetMode="External"/><Relationship Id="rId20" Type="http://schemas.openxmlformats.org/officeDocument/2006/relationships/hyperlink" Target="../GSDP%20COMPANY%20FILES/NKOYO%20CHEMIST" TargetMode="External"/><Relationship Id="rId1" Type="http://schemas.openxmlformats.org/officeDocument/2006/relationships/hyperlink" Target="GSDP%20COMPANY%20FILES/Abtevic" TargetMode="External"/><Relationship Id="rId6" Type="http://schemas.openxmlformats.org/officeDocument/2006/relationships/hyperlink" Target="../GSDP%20COMPANY%20FILES/BLUE%20SUMMIT%20HEALTH" TargetMode="External"/><Relationship Id="rId11" Type="http://schemas.openxmlformats.org/officeDocument/2006/relationships/hyperlink" Target="../GSDP%20COMPANY%20FILES/EUROMED" TargetMode="External"/><Relationship Id="rId24" Type="http://schemas.openxmlformats.org/officeDocument/2006/relationships/hyperlink" Target="../../GDP%20(GOOD%20DISTRIBUTION%20PRATICE)/GSDP%20COMPANY%20FILES/KCH%20CONSUMER" TargetMode="External"/><Relationship Id="rId5" Type="http://schemas.openxmlformats.org/officeDocument/2006/relationships/hyperlink" Target="../GSDP%20COMPANY%20FILES/ALMOND%20ETHICALS" TargetMode="External"/><Relationship Id="rId15" Type="http://schemas.openxmlformats.org/officeDocument/2006/relationships/hyperlink" Target="../GSDP%20COMPANY%20FILES/NANCIL1" TargetMode="External"/><Relationship Id="rId23" Type="http://schemas.openxmlformats.org/officeDocument/2006/relationships/hyperlink" Target="../GSDP%20COMPANY%20FILES/NUGENIC" TargetMode="External"/><Relationship Id="rId10" Type="http://schemas.openxmlformats.org/officeDocument/2006/relationships/hyperlink" Target="../GSDP%20COMPANY%20FILES/TURNER%20WRIGHT%20LTD" TargetMode="External"/><Relationship Id="rId19" Type="http://schemas.openxmlformats.org/officeDocument/2006/relationships/hyperlink" Target="../GSDP%20COMPANY%20FILES/PEMASON" TargetMode="External"/><Relationship Id="rId4" Type="http://schemas.openxmlformats.org/officeDocument/2006/relationships/hyperlink" Target="../GSDP%20COMPANY%20FILES/MULTIBASE" TargetMode="External"/><Relationship Id="rId9" Type="http://schemas.openxmlformats.org/officeDocument/2006/relationships/hyperlink" Target="../GSDP%20COMPANY%20FILES/ICE%20REMEDIES" TargetMode="External"/><Relationship Id="rId14" Type="http://schemas.openxmlformats.org/officeDocument/2006/relationships/hyperlink" Target="../GSDP%20COMPANY%20FILES/MEDEXPRESS" TargetMode="External"/><Relationship Id="rId22" Type="http://schemas.openxmlformats.org/officeDocument/2006/relationships/hyperlink" Target="../GSDP%20COMPANY%20FILES/STANDARD%20GENERICS" TargetMode="External"/><Relationship Id="rId27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:f:/s/PMSLAGOS/IgAgg73ofN5WR7389kH2yFG8AcSqFUfkFHyjnJg-lcYVWRQ?e=t8sFHv" TargetMode="External"/><Relationship Id="rId13" Type="http://schemas.openxmlformats.org/officeDocument/2006/relationships/hyperlink" Target="../../../../../:f:/s/PMSLAGOS/IgD_7HIxb70uTamWwinVmUzXAVobPcucp_7jRXs0LsWU6Ug?e=MdJ4Pl" TargetMode="External"/><Relationship Id="rId18" Type="http://schemas.openxmlformats.org/officeDocument/2006/relationships/hyperlink" Target="../../../../../:f:/s/PMSLAGOS/IgC-PDWnpcM-QYUuwl9Ep0IPASzZhJ-9s88DJg6WknOpxzc?e=4ilKA8" TargetMode="External"/><Relationship Id="rId3" Type="http://schemas.openxmlformats.org/officeDocument/2006/relationships/hyperlink" Target="../../../../../:f:/s/PMSLAGOS/IgDxrtercoevR56HmLKQ4XSEAT1-5JhbuUOwpBjMtdGZCYM?e=JXHTNU" TargetMode="External"/><Relationship Id="rId21" Type="http://schemas.openxmlformats.org/officeDocument/2006/relationships/hyperlink" Target="../../../../../:f:/s/PMSLAGOS/IgBK8SOvQmwuTIY7OlTCsKMfAYXH2hDaKVsoEhhnX5pAyjI?e=y1VeWt" TargetMode="External"/><Relationship Id="rId7" Type="http://schemas.openxmlformats.org/officeDocument/2006/relationships/hyperlink" Target="../../../../../:f:/s/PMSLAGOS/IgBcDJDTiS_0RaajjFPxnnWGAYeyCHy3nbvVG8IRsOGcuAc?e=poO3mF" TargetMode="External"/><Relationship Id="rId12" Type="http://schemas.openxmlformats.org/officeDocument/2006/relationships/hyperlink" Target="../../../../../:f:/s/PMSLAGOS/IgDlImsxd92oRJe3sw9BrNkEAWb3aq-6QOLq393OcVX5Qy4?e=L9bkxm" TargetMode="External"/><Relationship Id="rId17" Type="http://schemas.openxmlformats.org/officeDocument/2006/relationships/hyperlink" Target="../../../../../:f:/s/PMSLAGOS/IgBKhCDHGwtSRJpzkECwMYanARqRPjcW6tjPqsac9pjTWXI?e=qz4giL" TargetMode="External"/><Relationship Id="rId2" Type="http://schemas.openxmlformats.org/officeDocument/2006/relationships/hyperlink" Target="../../../../../:f:/s/PMSLAGOS/IgBnsKO2JD10SbgSHgy4U7LAAfW8F_s0gZdBVZ83Hvmxs10?e=CH3cBw" TargetMode="External"/><Relationship Id="rId16" Type="http://schemas.openxmlformats.org/officeDocument/2006/relationships/hyperlink" Target="../../../../../:f:/s/PMSLAGOS/IgCzq5CPFKpcQ6BhhL4t_YFyAY7BPqsb4xEOwm2eZKjBlOo?e=Saj7sh" TargetMode="External"/><Relationship Id="rId20" Type="http://schemas.openxmlformats.org/officeDocument/2006/relationships/hyperlink" Target="../../../../../:f:/s/PMSLAGOS/IgBNTrE7avRDR4mPGHl70TJVAYxgHs82sC33fxQJB8yr2TY?e=ORHboT" TargetMode="External"/><Relationship Id="rId1" Type="http://schemas.openxmlformats.org/officeDocument/2006/relationships/hyperlink" Target="../../../../../:f:/s/PMSLAGOS/IgDhopYhtQRrRZZbPpAo_ttfAWGQNnWdseLqtEM1fFTvaDM?e=adT0jr" TargetMode="External"/><Relationship Id="rId6" Type="http://schemas.openxmlformats.org/officeDocument/2006/relationships/hyperlink" Target="../../../../../:f:/s/PMSLAGOS/IgAKnGm86g5tR6sQAhIer8kYAR0B5pgJHizuzcF8neRD_08?e=s5qA9P" TargetMode="External"/><Relationship Id="rId11" Type="http://schemas.openxmlformats.org/officeDocument/2006/relationships/hyperlink" Target="../../../../../:f:/s/PMSLAGOS/IgBwrhwoG-roSrCxbgeSY4MAAUMMwkiV2GkLhiyK0S9M6gA?e=zNF52k" TargetMode="External"/><Relationship Id="rId5" Type="http://schemas.openxmlformats.org/officeDocument/2006/relationships/hyperlink" Target="../../../../../:f:/s/PMSLAGOS/IgAZCIq_FW9YQY_NzxoPSh3BAVuSsUq5a08TjuWokIGr0Vs?e=3exKdN" TargetMode="External"/><Relationship Id="rId15" Type="http://schemas.openxmlformats.org/officeDocument/2006/relationships/hyperlink" Target="../../../../../:f:/s/PMSLAGOS/IgCc9LqamzVWRJHknXriph_WAZiaFWnmwFbIltu1D1vkUN4?e=46kzzz" TargetMode="External"/><Relationship Id="rId10" Type="http://schemas.openxmlformats.org/officeDocument/2006/relationships/hyperlink" Target="../../../../../:f:/s/PMSLAGOS/IgAHRE_ahEHAQoC2uXtRQ4mXAXzYyVj_lYcswKvVon99dzs?e=OjWUWY" TargetMode="External"/><Relationship Id="rId19" Type="http://schemas.openxmlformats.org/officeDocument/2006/relationships/hyperlink" Target="../../../../../:f:/s/PMSLAGOS/IgAZyThYmTc2TZMbh952xMjGAULmhhxY9jTKkFjLyYi6iog?e=yAzYqQ" TargetMode="External"/><Relationship Id="rId4" Type="http://schemas.openxmlformats.org/officeDocument/2006/relationships/hyperlink" Target="../../../../../:f:/s/PMSLAGOS/IgBDYXDXyUpTQYYIK7RzvfmJAVWeged0tDi2YvKMwpDysPc?e=mmJ2D5" TargetMode="External"/><Relationship Id="rId9" Type="http://schemas.openxmlformats.org/officeDocument/2006/relationships/hyperlink" Target="../../../../../:f:/s/PMSLAGOS/IgCZRHq-Zef7TbU8Pc68H5eyAesZNcFK-Scntftol8qHfFg?e=i8aaD4" TargetMode="External"/><Relationship Id="rId14" Type="http://schemas.openxmlformats.org/officeDocument/2006/relationships/hyperlink" Target="../../../../../:f:/s/PMSLAGOS/IgCCiWcGVrfxSbkuWLudqIlzAZIIkU1CWhYfsL6U10neX58?e=IaEyoo" TargetMode="External"/><Relationship Id="rId22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2"/>
  <sheetViews>
    <sheetView tabSelected="1" topLeftCell="B1" workbookViewId="0">
      <pane xSplit="1" topLeftCell="F43" activePane="topRight" state="frozen"/>
      <selection pane="topRight" activeCell="N44" sqref="N44"/>
    </sheetView>
  </sheetViews>
  <sheetFormatPr defaultColWidth="8.85546875" defaultRowHeight="14.45"/>
  <cols>
    <col min="1" max="1" width="7" customWidth="1"/>
    <col min="2" max="2" width="31.7109375" customWidth="1"/>
    <col min="3" max="3" width="25" hidden="1" customWidth="1"/>
    <col min="4" max="4" width="14.85546875" hidden="1" customWidth="1"/>
    <col min="5" max="5" width="17.7109375" hidden="1" customWidth="1"/>
    <col min="6" max="6" width="20.42578125" customWidth="1"/>
    <col min="7" max="7" width="16.5703125" hidden="1" customWidth="1"/>
    <col min="8" max="9" width="18.7109375" hidden="1" customWidth="1"/>
    <col min="10" max="10" width="17.140625" hidden="1" customWidth="1"/>
    <col min="11" max="11" width="22.7109375" style="8" hidden="1" customWidth="1"/>
    <col min="12" max="12" width="16" hidden="1" customWidth="1"/>
    <col min="13" max="13" width="8.85546875" hidden="1" customWidth="1"/>
    <col min="14" max="14" width="20.140625" customWidth="1"/>
  </cols>
  <sheetData>
    <row r="1" spans="1:15" ht="17.45">
      <c r="A1" s="222" t="s">
        <v>0</v>
      </c>
      <c r="B1" s="222"/>
      <c r="C1" s="222"/>
      <c r="D1" s="222"/>
      <c r="E1" s="222"/>
      <c r="F1" s="222"/>
      <c r="G1" s="222"/>
      <c r="H1" s="222"/>
      <c r="I1" s="222"/>
      <c r="J1" s="222"/>
    </row>
    <row r="2" spans="1:15" ht="63.75" customHeight="1">
      <c r="A2" s="14" t="s">
        <v>1</v>
      </c>
      <c r="B2" s="4" t="s">
        <v>2</v>
      </c>
      <c r="C2" s="4" t="s">
        <v>3</v>
      </c>
      <c r="D2" s="3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132" t="s">
        <v>11</v>
      </c>
      <c r="L2" s="132" t="s">
        <v>12</v>
      </c>
      <c r="M2" s="132" t="s">
        <v>13</v>
      </c>
      <c r="N2" s="132" t="s">
        <v>14</v>
      </c>
      <c r="O2" s="132"/>
    </row>
    <row r="3" spans="1:15" s="135" customFormat="1" ht="288" hidden="1">
      <c r="A3" s="137">
        <v>1</v>
      </c>
      <c r="B3" s="178" t="s">
        <v>15</v>
      </c>
      <c r="C3" s="134" t="s">
        <v>16</v>
      </c>
      <c r="D3" s="133" t="s">
        <v>17</v>
      </c>
      <c r="E3" s="138" t="s">
        <v>18</v>
      </c>
      <c r="F3" s="134" t="s">
        <v>19</v>
      </c>
      <c r="G3" s="138" t="s">
        <v>20</v>
      </c>
      <c r="H3" s="141">
        <v>44434</v>
      </c>
      <c r="I3" s="138" t="s">
        <v>21</v>
      </c>
      <c r="J3" s="134" t="s">
        <v>22</v>
      </c>
      <c r="K3" s="135" t="s">
        <v>23</v>
      </c>
      <c r="L3" s="142">
        <v>44682</v>
      </c>
      <c r="M3" s="135" t="s">
        <v>24</v>
      </c>
      <c r="N3" s="139" t="str">
        <f t="shared" ref="N3:N34" si="0">IF(M3="","",HYPERLINK(M3,B3))</f>
        <v>CHANRAI HEALTHCARE LTD</v>
      </c>
    </row>
    <row r="4" spans="1:15" s="135" customFormat="1" ht="331.15" hidden="1">
      <c r="A4" s="137">
        <v>2</v>
      </c>
      <c r="B4" s="134" t="s">
        <v>25</v>
      </c>
      <c r="C4" s="134" t="s">
        <v>26</v>
      </c>
      <c r="D4" s="133" t="s">
        <v>27</v>
      </c>
      <c r="E4" s="138" t="s">
        <v>18</v>
      </c>
      <c r="F4" s="134" t="s">
        <v>19</v>
      </c>
      <c r="G4" s="138" t="s">
        <v>20</v>
      </c>
      <c r="H4" s="141">
        <v>44434</v>
      </c>
      <c r="I4" s="138" t="s">
        <v>28</v>
      </c>
      <c r="J4" s="134" t="s">
        <v>29</v>
      </c>
      <c r="K4" s="135" t="s">
        <v>30</v>
      </c>
      <c r="L4" s="142">
        <v>44682</v>
      </c>
      <c r="M4" s="135" t="s">
        <v>31</v>
      </c>
      <c r="N4" s="139" t="str">
        <f t="shared" si="0"/>
        <v>PHILLIPS PHARMACEUTICALS NIGERIA LTD.</v>
      </c>
    </row>
    <row r="5" spans="1:15" s="135" customFormat="1" ht="28.9" hidden="1">
      <c r="A5" s="137">
        <v>3</v>
      </c>
      <c r="B5" s="134" t="s">
        <v>32</v>
      </c>
      <c r="C5" s="134" t="s">
        <v>33</v>
      </c>
      <c r="D5" s="133" t="s">
        <v>34</v>
      </c>
      <c r="E5" s="138" t="s">
        <v>18</v>
      </c>
      <c r="F5" s="134" t="s">
        <v>35</v>
      </c>
      <c r="G5" s="138" t="s">
        <v>20</v>
      </c>
      <c r="H5" s="138"/>
      <c r="I5" s="138" t="s">
        <v>28</v>
      </c>
      <c r="J5" s="134" t="s">
        <v>29</v>
      </c>
      <c r="K5" s="135" t="s">
        <v>30</v>
      </c>
      <c r="L5" s="142">
        <v>44713</v>
      </c>
      <c r="M5" s="74" t="s">
        <v>36</v>
      </c>
      <c r="N5" s="175" t="str">
        <f t="shared" si="0"/>
        <v>CHI PHARMACEUTICALS</v>
      </c>
    </row>
    <row r="6" spans="1:15" s="135" customFormat="1" ht="331.15" hidden="1">
      <c r="A6" s="137">
        <v>4</v>
      </c>
      <c r="B6" s="178" t="s">
        <v>37</v>
      </c>
      <c r="C6" s="134" t="s">
        <v>38</v>
      </c>
      <c r="D6" s="133" t="s">
        <v>39</v>
      </c>
      <c r="E6" s="138" t="s">
        <v>18</v>
      </c>
      <c r="F6" s="134" t="s">
        <v>40</v>
      </c>
      <c r="G6" s="138" t="s">
        <v>20</v>
      </c>
      <c r="H6" s="141">
        <v>44434</v>
      </c>
      <c r="I6" s="138" t="s">
        <v>21</v>
      </c>
      <c r="J6" s="134" t="s">
        <v>41</v>
      </c>
      <c r="K6" s="135" t="s">
        <v>23</v>
      </c>
      <c r="L6" s="142">
        <v>44682</v>
      </c>
      <c r="M6" s="135" t="s">
        <v>42</v>
      </c>
      <c r="N6" s="139" t="str">
        <f t="shared" si="0"/>
        <v>DE-LAW PHARMACEUTICALS</v>
      </c>
    </row>
    <row r="7" spans="1:15" s="135" customFormat="1" ht="316.89999999999998" hidden="1">
      <c r="A7" s="137">
        <v>5</v>
      </c>
      <c r="B7" s="178" t="s">
        <v>43</v>
      </c>
      <c r="C7" s="134" t="s">
        <v>44</v>
      </c>
      <c r="D7" s="133" t="s">
        <v>45</v>
      </c>
      <c r="E7" s="138" t="s">
        <v>18</v>
      </c>
      <c r="F7" s="134" t="s">
        <v>46</v>
      </c>
      <c r="G7" s="138" t="s">
        <v>20</v>
      </c>
      <c r="H7" s="141">
        <v>44434</v>
      </c>
      <c r="I7" s="138" t="s">
        <v>21</v>
      </c>
      <c r="J7" s="134" t="s">
        <v>47</v>
      </c>
      <c r="K7" s="135" t="s">
        <v>23</v>
      </c>
      <c r="L7" s="142">
        <v>44682</v>
      </c>
      <c r="M7" s="135" t="s">
        <v>48</v>
      </c>
      <c r="N7" s="139" t="str">
        <f t="shared" si="0"/>
        <v>JMD PHARMALINKS LIMITED</v>
      </c>
    </row>
    <row r="8" spans="1:15" s="135" customFormat="1" ht="331.15" hidden="1">
      <c r="A8" s="137">
        <v>6</v>
      </c>
      <c r="B8" s="134" t="s">
        <v>49</v>
      </c>
      <c r="C8" s="134" t="s">
        <v>50</v>
      </c>
      <c r="D8" s="133" t="s">
        <v>51</v>
      </c>
      <c r="E8" s="138" t="s">
        <v>18</v>
      </c>
      <c r="F8" s="134" t="s">
        <v>40</v>
      </c>
      <c r="G8" s="138" t="s">
        <v>20</v>
      </c>
      <c r="H8" s="141">
        <v>44434</v>
      </c>
      <c r="I8" s="138" t="s">
        <v>28</v>
      </c>
      <c r="J8" s="134" t="s">
        <v>29</v>
      </c>
      <c r="K8" s="135" t="s">
        <v>30</v>
      </c>
      <c r="L8" s="142">
        <v>44682</v>
      </c>
      <c r="M8" s="135" t="s">
        <v>52</v>
      </c>
      <c r="N8" s="139" t="str">
        <f t="shared" si="0"/>
        <v>NEMITT PHARMACEUTICALS LIMITED</v>
      </c>
    </row>
    <row r="9" spans="1:15" s="135" customFormat="1" ht="331.15" hidden="1">
      <c r="A9" s="137">
        <v>7</v>
      </c>
      <c r="B9" s="134" t="s">
        <v>53</v>
      </c>
      <c r="C9" s="134" t="s">
        <v>54</v>
      </c>
      <c r="D9" s="133" t="s">
        <v>55</v>
      </c>
      <c r="E9" s="138" t="s">
        <v>18</v>
      </c>
      <c r="F9" s="134" t="s">
        <v>40</v>
      </c>
      <c r="G9" s="138" t="s">
        <v>20</v>
      </c>
      <c r="H9" s="141">
        <v>44434</v>
      </c>
      <c r="I9" s="138" t="s">
        <v>28</v>
      </c>
      <c r="J9" s="134" t="s">
        <v>29</v>
      </c>
      <c r="K9" s="135" t="s">
        <v>30</v>
      </c>
      <c r="L9" s="142">
        <v>44682</v>
      </c>
      <c r="M9" s="135" t="s">
        <v>56</v>
      </c>
      <c r="N9" s="139" t="str">
        <f t="shared" si="0"/>
        <v>PHARMFORTE NETWORK LTD.</v>
      </c>
    </row>
    <row r="10" spans="1:15" s="135" customFormat="1" ht="360" hidden="1">
      <c r="A10" s="137">
        <v>8</v>
      </c>
      <c r="B10" s="134" t="s">
        <v>57</v>
      </c>
      <c r="C10" s="134" t="s">
        <v>58</v>
      </c>
      <c r="D10" s="133" t="s">
        <v>59</v>
      </c>
      <c r="E10" s="138" t="s">
        <v>18</v>
      </c>
      <c r="F10" s="134" t="s">
        <v>60</v>
      </c>
      <c r="G10" s="138" t="s">
        <v>20</v>
      </c>
      <c r="H10" s="141">
        <v>44403</v>
      </c>
      <c r="I10" s="138" t="s">
        <v>28</v>
      </c>
      <c r="J10" s="134" t="s">
        <v>29</v>
      </c>
      <c r="K10" s="135" t="s">
        <v>30</v>
      </c>
      <c r="L10" s="142">
        <v>44713</v>
      </c>
      <c r="M10" s="135" t="s">
        <v>61</v>
      </c>
      <c r="N10" s="139" t="str">
        <f t="shared" si="0"/>
        <v>WORLDWIDE COMMERCIAL VENTURES LTD.</v>
      </c>
    </row>
    <row r="11" spans="1:15" s="135" customFormat="1" ht="316.89999999999998" hidden="1">
      <c r="A11" s="137">
        <v>9</v>
      </c>
      <c r="B11" s="178" t="s">
        <v>62</v>
      </c>
      <c r="C11" s="134" t="s">
        <v>63</v>
      </c>
      <c r="D11" s="133" t="s">
        <v>64</v>
      </c>
      <c r="E11" s="138" t="s">
        <v>18</v>
      </c>
      <c r="F11" s="134" t="s">
        <v>60</v>
      </c>
      <c r="G11" s="138" t="s">
        <v>20</v>
      </c>
      <c r="H11" s="141">
        <v>44434</v>
      </c>
      <c r="I11" s="138" t="s">
        <v>21</v>
      </c>
      <c r="J11" s="134" t="s">
        <v>65</v>
      </c>
      <c r="K11" s="135" t="s">
        <v>30</v>
      </c>
      <c r="L11" s="142">
        <v>44713</v>
      </c>
      <c r="M11" s="135" t="s">
        <v>66</v>
      </c>
      <c r="N11" s="139" t="str">
        <f t="shared" si="0"/>
        <v>ZOLON HEALTHCARE LTD.</v>
      </c>
    </row>
    <row r="12" spans="1:15" s="135" customFormat="1" ht="28.9" hidden="1">
      <c r="A12" s="137">
        <v>10</v>
      </c>
      <c r="B12" s="134" t="s">
        <v>67</v>
      </c>
      <c r="C12" s="134" t="s">
        <v>68</v>
      </c>
      <c r="D12" s="133" t="s">
        <v>69</v>
      </c>
      <c r="E12" s="138" t="s">
        <v>18</v>
      </c>
      <c r="F12" s="134" t="s">
        <v>60</v>
      </c>
      <c r="G12" s="138" t="s">
        <v>20</v>
      </c>
      <c r="H12" s="138"/>
      <c r="I12" s="138" t="s">
        <v>28</v>
      </c>
      <c r="J12" s="134" t="s">
        <v>29</v>
      </c>
      <c r="K12" s="135" t="s">
        <v>30</v>
      </c>
      <c r="L12" s="142">
        <v>44713</v>
      </c>
      <c r="N12" s="139" t="str">
        <f t="shared" si="0"/>
        <v/>
      </c>
    </row>
    <row r="13" spans="1:15" s="135" customFormat="1" ht="316.89999999999998" hidden="1">
      <c r="A13" s="137">
        <v>11</v>
      </c>
      <c r="B13" s="134" t="s">
        <v>70</v>
      </c>
      <c r="C13" s="134" t="s">
        <v>71</v>
      </c>
      <c r="D13" s="133" t="s">
        <v>72</v>
      </c>
      <c r="E13" s="138" t="s">
        <v>18</v>
      </c>
      <c r="F13" s="134" t="s">
        <v>60</v>
      </c>
      <c r="G13" s="138" t="s">
        <v>20</v>
      </c>
      <c r="H13" s="141">
        <v>44434</v>
      </c>
      <c r="I13" s="138" t="s">
        <v>28</v>
      </c>
      <c r="J13" s="134" t="s">
        <v>29</v>
      </c>
      <c r="K13" s="135" t="s">
        <v>30</v>
      </c>
      <c r="L13" s="142">
        <v>44713</v>
      </c>
      <c r="M13" s="135" t="s">
        <v>73</v>
      </c>
      <c r="N13" s="139" t="str">
        <f t="shared" si="0"/>
        <v>CUS CYRUS DRUGS &amp; MEDICALS LTD. PHARM &amp; CHEM CO. LTD</v>
      </c>
    </row>
    <row r="14" spans="1:15" s="135" customFormat="1" ht="316.89999999999998" hidden="1">
      <c r="A14" s="137">
        <v>12</v>
      </c>
      <c r="B14" s="178" t="s">
        <v>74</v>
      </c>
      <c r="C14" s="134" t="s">
        <v>75</v>
      </c>
      <c r="D14" s="133" t="s">
        <v>76</v>
      </c>
      <c r="E14" s="138" t="s">
        <v>18</v>
      </c>
      <c r="F14" s="134" t="s">
        <v>77</v>
      </c>
      <c r="G14" s="138" t="s">
        <v>20</v>
      </c>
      <c r="H14" s="141">
        <v>44434</v>
      </c>
      <c r="I14" s="138" t="s">
        <v>21</v>
      </c>
      <c r="J14" s="134" t="s">
        <v>41</v>
      </c>
      <c r="K14" s="135" t="s">
        <v>23</v>
      </c>
      <c r="L14" s="142">
        <v>44713</v>
      </c>
      <c r="M14" s="139" t="s">
        <v>78</v>
      </c>
      <c r="N14" s="139" t="str">
        <f t="shared" si="0"/>
        <v>ADLER PRODUCTS LTD.</v>
      </c>
    </row>
    <row r="15" spans="1:15" s="135" customFormat="1" ht="316.89999999999998" hidden="1">
      <c r="A15" s="137">
        <v>13</v>
      </c>
      <c r="B15" s="134" t="s">
        <v>79</v>
      </c>
      <c r="C15" s="134" t="s">
        <v>80</v>
      </c>
      <c r="D15" s="133" t="s">
        <v>81</v>
      </c>
      <c r="E15" s="138" t="s">
        <v>18</v>
      </c>
      <c r="F15" s="134" t="s">
        <v>82</v>
      </c>
      <c r="G15" s="138" t="s">
        <v>20</v>
      </c>
      <c r="H15" s="141">
        <v>44434</v>
      </c>
      <c r="I15" s="138" t="s">
        <v>28</v>
      </c>
      <c r="J15" s="134" t="s">
        <v>29</v>
      </c>
      <c r="K15" s="135" t="s">
        <v>30</v>
      </c>
      <c r="L15" s="142">
        <v>44713</v>
      </c>
      <c r="M15" s="135" t="s">
        <v>83</v>
      </c>
      <c r="N15" s="139" t="str">
        <f t="shared" si="0"/>
        <v>REALS PHARMACEUTICALS LTD</v>
      </c>
    </row>
    <row r="16" spans="1:15" s="135" customFormat="1" ht="316.89999999999998" hidden="1">
      <c r="A16" s="137">
        <v>14</v>
      </c>
      <c r="B16" s="134" t="s">
        <v>84</v>
      </c>
      <c r="C16" s="134" t="s">
        <v>85</v>
      </c>
      <c r="D16" s="133" t="s">
        <v>86</v>
      </c>
      <c r="E16" s="138" t="s">
        <v>18</v>
      </c>
      <c r="F16" s="134" t="s">
        <v>35</v>
      </c>
      <c r="G16" s="138" t="s">
        <v>20</v>
      </c>
      <c r="H16" s="141">
        <v>44718</v>
      </c>
      <c r="I16" s="138" t="s">
        <v>28</v>
      </c>
      <c r="J16" s="134" t="s">
        <v>29</v>
      </c>
      <c r="K16" s="135" t="s">
        <v>30</v>
      </c>
      <c r="L16" s="142">
        <v>44713</v>
      </c>
      <c r="M16" s="135" t="s">
        <v>87</v>
      </c>
      <c r="N16" s="139" t="str">
        <f t="shared" si="0"/>
        <v>FIDSON HEALTHCARE PLC</v>
      </c>
    </row>
    <row r="17" spans="1:14" s="172" customFormat="1" ht="331.15" hidden="1">
      <c r="A17" s="168">
        <v>15</v>
      </c>
      <c r="B17" s="169" t="s">
        <v>88</v>
      </c>
      <c r="C17" s="169" t="s">
        <v>89</v>
      </c>
      <c r="D17" s="170" t="s">
        <v>90</v>
      </c>
      <c r="E17" s="171" t="s">
        <v>18</v>
      </c>
      <c r="F17" s="169" t="s">
        <v>82</v>
      </c>
      <c r="G17" s="171" t="s">
        <v>20</v>
      </c>
      <c r="H17" s="171"/>
      <c r="I17" s="171" t="s">
        <v>28</v>
      </c>
      <c r="J17" s="169" t="s">
        <v>29</v>
      </c>
      <c r="K17" s="172" t="s">
        <v>30</v>
      </c>
      <c r="L17" s="173">
        <v>44713</v>
      </c>
      <c r="M17" s="172" t="s">
        <v>91</v>
      </c>
      <c r="N17" s="174" t="str">
        <f t="shared" si="0"/>
        <v>NEW HEIGHTS PHARMA  LTD.</v>
      </c>
    </row>
    <row r="18" spans="1:14" s="135" customFormat="1" ht="302.45" hidden="1">
      <c r="A18" s="137">
        <v>16</v>
      </c>
      <c r="B18" s="134" t="s">
        <v>92</v>
      </c>
      <c r="C18" s="134" t="s">
        <v>93</v>
      </c>
      <c r="D18" s="133" t="s">
        <v>94</v>
      </c>
      <c r="E18" s="138" t="s">
        <v>18</v>
      </c>
      <c r="F18" s="134" t="s">
        <v>95</v>
      </c>
      <c r="G18" s="138" t="s">
        <v>20</v>
      </c>
      <c r="H18" s="141">
        <v>44434</v>
      </c>
      <c r="I18" s="138" t="s">
        <v>28</v>
      </c>
      <c r="J18" s="134" t="s">
        <v>29</v>
      </c>
      <c r="K18" s="135" t="s">
        <v>30</v>
      </c>
      <c r="L18" s="142">
        <v>44713</v>
      </c>
      <c r="M18" s="135" t="s">
        <v>96</v>
      </c>
      <c r="N18" s="139" t="str">
        <f t="shared" si="0"/>
        <v>PZ CUSSONS NIGERIA LTD</v>
      </c>
    </row>
    <row r="19" spans="1:14" s="135" customFormat="1" ht="331.15" hidden="1">
      <c r="A19" s="137">
        <v>17</v>
      </c>
      <c r="B19" s="134" t="s">
        <v>97</v>
      </c>
      <c r="C19" s="134" t="s">
        <v>98</v>
      </c>
      <c r="D19" s="133" t="s">
        <v>99</v>
      </c>
      <c r="E19" s="138" t="s">
        <v>18</v>
      </c>
      <c r="F19" s="134" t="s">
        <v>82</v>
      </c>
      <c r="G19" s="138" t="s">
        <v>20</v>
      </c>
      <c r="H19" s="138" t="s">
        <v>100</v>
      </c>
      <c r="I19" s="138" t="s">
        <v>28</v>
      </c>
      <c r="J19" s="134" t="s">
        <v>29</v>
      </c>
      <c r="K19" s="135" t="s">
        <v>30</v>
      </c>
      <c r="L19" s="142">
        <v>44713</v>
      </c>
      <c r="M19" s="135" t="s">
        <v>101</v>
      </c>
      <c r="N19" s="139" t="str">
        <f t="shared" si="0"/>
        <v>DIVINE CHEMISTS &amp; CHEMICAL CO. LTD</v>
      </c>
    </row>
    <row r="20" spans="1:14" s="135" customFormat="1" ht="316.89999999999998" hidden="1">
      <c r="A20" s="137">
        <v>18</v>
      </c>
      <c r="B20" s="134" t="s">
        <v>102</v>
      </c>
      <c r="C20" s="134" t="s">
        <v>103</v>
      </c>
      <c r="D20" s="133" t="s">
        <v>104</v>
      </c>
      <c r="E20" s="138" t="s">
        <v>18</v>
      </c>
      <c r="F20" s="134" t="s">
        <v>105</v>
      </c>
      <c r="G20" s="138" t="s">
        <v>20</v>
      </c>
      <c r="H20" s="141">
        <v>44434</v>
      </c>
      <c r="I20" s="138" t="s">
        <v>28</v>
      </c>
      <c r="J20" s="134" t="s">
        <v>29</v>
      </c>
      <c r="K20" s="135" t="s">
        <v>30</v>
      </c>
      <c r="L20" s="142">
        <v>44713</v>
      </c>
      <c r="M20" s="135" t="s">
        <v>106</v>
      </c>
      <c r="N20" s="139" t="str">
        <f t="shared" si="0"/>
        <v>HOMILY PROSPECTS PHARMACEUTICAL LTD</v>
      </c>
    </row>
    <row r="21" spans="1:14" s="135" customFormat="1" ht="331.15" hidden="1">
      <c r="A21" s="137">
        <v>19</v>
      </c>
      <c r="B21" s="134" t="s">
        <v>107</v>
      </c>
      <c r="C21" s="134" t="s">
        <v>108</v>
      </c>
      <c r="D21" s="133" t="s">
        <v>109</v>
      </c>
      <c r="E21" s="138" t="s">
        <v>18</v>
      </c>
      <c r="F21" s="134" t="s">
        <v>105</v>
      </c>
      <c r="G21" s="138" t="s">
        <v>20</v>
      </c>
      <c r="H21" s="141">
        <v>44434</v>
      </c>
      <c r="I21" s="138" t="s">
        <v>28</v>
      </c>
      <c r="J21" s="134" t="s">
        <v>29</v>
      </c>
      <c r="K21" s="135" t="s">
        <v>30</v>
      </c>
      <c r="L21" s="142">
        <v>44713</v>
      </c>
      <c r="M21" s="135" t="s">
        <v>110</v>
      </c>
      <c r="N21" s="139" t="str">
        <f t="shared" si="0"/>
        <v>GLORYZONE NIGERIA LTD</v>
      </c>
    </row>
    <row r="22" spans="1:14" s="135" customFormat="1" ht="331.15" hidden="1">
      <c r="A22" s="137">
        <v>20</v>
      </c>
      <c r="B22" s="134" t="s">
        <v>111</v>
      </c>
      <c r="C22" s="134" t="s">
        <v>112</v>
      </c>
      <c r="D22" s="133" t="s">
        <v>113</v>
      </c>
      <c r="E22" s="138" t="s">
        <v>18</v>
      </c>
      <c r="F22" s="134" t="s">
        <v>114</v>
      </c>
      <c r="G22" s="138" t="s">
        <v>20</v>
      </c>
      <c r="H22" s="141">
        <v>44434</v>
      </c>
      <c r="I22" s="138" t="s">
        <v>28</v>
      </c>
      <c r="J22" s="134" t="s">
        <v>29</v>
      </c>
      <c r="K22" s="135" t="s">
        <v>30</v>
      </c>
      <c r="L22" s="142">
        <v>44713</v>
      </c>
      <c r="M22" s="135" t="s">
        <v>115</v>
      </c>
      <c r="N22" s="139" t="str">
        <f t="shared" si="0"/>
        <v>BEVANS GATE PHARMACY</v>
      </c>
    </row>
    <row r="23" spans="1:14" s="135" customFormat="1" ht="316.89999999999998" hidden="1">
      <c r="A23" s="137">
        <v>21</v>
      </c>
      <c r="B23" s="134" t="s">
        <v>116</v>
      </c>
      <c r="C23" s="134" t="s">
        <v>117</v>
      </c>
      <c r="D23" s="133" t="s">
        <v>118</v>
      </c>
      <c r="E23" s="138" t="s">
        <v>18</v>
      </c>
      <c r="F23" s="134" t="s">
        <v>119</v>
      </c>
      <c r="G23" s="138" t="s">
        <v>20</v>
      </c>
      <c r="H23" s="141">
        <v>44722</v>
      </c>
      <c r="I23" s="138" t="s">
        <v>28</v>
      </c>
      <c r="J23" s="134" t="s">
        <v>29</v>
      </c>
      <c r="K23" s="135" t="s">
        <v>30</v>
      </c>
      <c r="L23" s="142">
        <v>44713</v>
      </c>
      <c r="M23" s="135" t="s">
        <v>120</v>
      </c>
      <c r="N23" s="139" t="str">
        <f t="shared" si="0"/>
        <v>IKOMO PHARMACY AND CHEMIST NIGERIA LIMITED</v>
      </c>
    </row>
    <row r="24" spans="1:14" s="135" customFormat="1" ht="316.89999999999998" hidden="1">
      <c r="A24" s="137">
        <v>22</v>
      </c>
      <c r="B24" s="134" t="s">
        <v>121</v>
      </c>
      <c r="C24" s="134" t="s">
        <v>122</v>
      </c>
      <c r="D24" s="133" t="s">
        <v>123</v>
      </c>
      <c r="E24" s="138" t="s">
        <v>18</v>
      </c>
      <c r="F24" s="134" t="s">
        <v>119</v>
      </c>
      <c r="G24" s="138" t="s">
        <v>20</v>
      </c>
      <c r="H24" s="141">
        <v>44722</v>
      </c>
      <c r="I24" s="138" t="s">
        <v>28</v>
      </c>
      <c r="J24" s="134" t="s">
        <v>29</v>
      </c>
      <c r="K24" s="135" t="s">
        <v>30</v>
      </c>
      <c r="L24" s="142">
        <v>44713</v>
      </c>
      <c r="M24" s="135" t="s">
        <v>124</v>
      </c>
      <c r="N24" s="139" t="str">
        <f t="shared" si="0"/>
        <v>HOCHIEZ PHARMACEUTICALS NIG. LTD</v>
      </c>
    </row>
    <row r="25" spans="1:14" s="135" customFormat="1" ht="302.45" hidden="1">
      <c r="A25" s="137">
        <v>23</v>
      </c>
      <c r="B25" s="134" t="s">
        <v>125</v>
      </c>
      <c r="C25" s="134" t="s">
        <v>126</v>
      </c>
      <c r="D25" s="133" t="s">
        <v>127</v>
      </c>
      <c r="E25" s="138" t="s">
        <v>18</v>
      </c>
      <c r="F25" s="134" t="s">
        <v>119</v>
      </c>
      <c r="G25" s="138" t="s">
        <v>20</v>
      </c>
      <c r="H25" s="141">
        <v>44722</v>
      </c>
      <c r="I25" s="138" t="s">
        <v>21</v>
      </c>
      <c r="J25" s="134" t="s">
        <v>128</v>
      </c>
      <c r="K25" s="135" t="s">
        <v>23</v>
      </c>
      <c r="L25" s="142">
        <v>44713</v>
      </c>
      <c r="M25" s="135" t="s">
        <v>129</v>
      </c>
      <c r="N25" s="139" t="str">
        <f t="shared" si="0"/>
        <v>ARINZESON PHARMA CO. LTD</v>
      </c>
    </row>
    <row r="26" spans="1:14" s="135" customFormat="1" ht="28.9" hidden="1">
      <c r="A26" s="137">
        <v>24</v>
      </c>
      <c r="B26" s="134" t="s">
        <v>130</v>
      </c>
      <c r="C26" s="134" t="s">
        <v>131</v>
      </c>
      <c r="D26" s="133" t="s">
        <v>132</v>
      </c>
      <c r="E26" s="138" t="s">
        <v>18</v>
      </c>
      <c r="F26" s="134" t="s">
        <v>119</v>
      </c>
      <c r="G26" s="138" t="s">
        <v>20</v>
      </c>
      <c r="H26" s="141">
        <v>44722</v>
      </c>
      <c r="I26" s="138" t="s">
        <v>28</v>
      </c>
      <c r="J26" s="134" t="s">
        <v>29</v>
      </c>
      <c r="K26" s="135" t="s">
        <v>30</v>
      </c>
      <c r="L26" s="142">
        <v>44713</v>
      </c>
      <c r="N26" s="139" t="str">
        <f t="shared" si="0"/>
        <v/>
      </c>
    </row>
    <row r="27" spans="1:14" s="135" customFormat="1" ht="302.45" hidden="1">
      <c r="A27" s="137">
        <v>25</v>
      </c>
      <c r="B27" s="134" t="s">
        <v>133</v>
      </c>
      <c r="C27" s="134" t="s">
        <v>134</v>
      </c>
      <c r="D27" s="133" t="s">
        <v>132</v>
      </c>
      <c r="E27" s="138" t="s">
        <v>18</v>
      </c>
      <c r="F27" s="134" t="s">
        <v>119</v>
      </c>
      <c r="G27" s="138" t="s">
        <v>20</v>
      </c>
      <c r="H27" s="141">
        <v>44722</v>
      </c>
      <c r="I27" s="138" t="s">
        <v>28</v>
      </c>
      <c r="J27" s="134" t="s">
        <v>29</v>
      </c>
      <c r="K27" s="135" t="s">
        <v>30</v>
      </c>
      <c r="M27" s="135" t="s">
        <v>135</v>
      </c>
      <c r="N27" s="139" t="str">
        <f t="shared" si="0"/>
        <v>ZIM PHARMACY LTD</v>
      </c>
    </row>
    <row r="28" spans="1:14" s="135" customFormat="1" ht="302.45" hidden="1">
      <c r="A28" s="137">
        <v>26</v>
      </c>
      <c r="B28" s="178" t="s">
        <v>136</v>
      </c>
      <c r="C28" s="134" t="s">
        <v>137</v>
      </c>
      <c r="D28" s="133" t="s">
        <v>138</v>
      </c>
      <c r="E28" s="138" t="s">
        <v>18</v>
      </c>
      <c r="F28" s="134" t="s">
        <v>139</v>
      </c>
      <c r="G28" s="138" t="s">
        <v>20</v>
      </c>
      <c r="H28" s="141">
        <v>44722</v>
      </c>
      <c r="I28" s="138" t="s">
        <v>21</v>
      </c>
      <c r="J28" s="134" t="s">
        <v>140</v>
      </c>
      <c r="K28" s="135" t="s">
        <v>23</v>
      </c>
      <c r="L28" s="142">
        <v>44713</v>
      </c>
      <c r="M28" s="135" t="s">
        <v>141</v>
      </c>
      <c r="N28" s="139" t="str">
        <f t="shared" si="0"/>
        <v>ESTIN PHARMACY &amp; STORES. LTD.</v>
      </c>
    </row>
    <row r="29" spans="1:14" s="135" customFormat="1" ht="316.89999999999998" hidden="1">
      <c r="A29" s="137">
        <v>27</v>
      </c>
      <c r="B29" s="134" t="s">
        <v>142</v>
      </c>
      <c r="C29" s="134" t="s">
        <v>143</v>
      </c>
      <c r="D29" s="133" t="s">
        <v>144</v>
      </c>
      <c r="E29" s="138" t="s">
        <v>18</v>
      </c>
      <c r="F29" s="134" t="s">
        <v>145</v>
      </c>
      <c r="G29" s="138" t="s">
        <v>20</v>
      </c>
      <c r="H29" s="141">
        <v>44722</v>
      </c>
      <c r="I29" s="138" t="s">
        <v>28</v>
      </c>
      <c r="J29" s="134" t="s">
        <v>29</v>
      </c>
      <c r="K29" s="135" t="s">
        <v>30</v>
      </c>
      <c r="L29" s="142">
        <v>44713</v>
      </c>
      <c r="M29" s="135" t="s">
        <v>146</v>
      </c>
      <c r="N29" s="139" t="str">
        <f t="shared" si="0"/>
        <v>GM&amp;F SPECIALTIES LTD.</v>
      </c>
    </row>
    <row r="30" spans="1:14" s="135" customFormat="1" ht="316.89999999999998" hidden="1">
      <c r="A30" s="137">
        <v>28</v>
      </c>
      <c r="B30" s="178" t="s">
        <v>147</v>
      </c>
      <c r="C30" s="134" t="s">
        <v>148</v>
      </c>
      <c r="D30" s="133" t="s">
        <v>149</v>
      </c>
      <c r="E30" s="138" t="s">
        <v>18</v>
      </c>
      <c r="F30" s="134" t="s">
        <v>145</v>
      </c>
      <c r="G30" s="138" t="s">
        <v>20</v>
      </c>
      <c r="H30" s="141">
        <v>44722</v>
      </c>
      <c r="I30" s="138" t="s">
        <v>21</v>
      </c>
      <c r="J30" s="134" t="s">
        <v>41</v>
      </c>
      <c r="K30" s="135" t="s">
        <v>23</v>
      </c>
      <c r="L30" s="142">
        <v>44713</v>
      </c>
      <c r="M30" s="135" t="s">
        <v>150</v>
      </c>
      <c r="N30" s="139" t="str">
        <f t="shared" si="0"/>
        <v>HYGIEIA PHARMA NIGERIA LIMITED.</v>
      </c>
    </row>
    <row r="31" spans="1:14" s="135" customFormat="1" ht="302.45" hidden="1">
      <c r="A31" s="137">
        <v>29</v>
      </c>
      <c r="B31" s="178" t="s">
        <v>151</v>
      </c>
      <c r="C31" s="134" t="s">
        <v>152</v>
      </c>
      <c r="D31" s="133" t="s">
        <v>153</v>
      </c>
      <c r="E31" s="138" t="s">
        <v>18</v>
      </c>
      <c r="F31" s="134" t="s">
        <v>154</v>
      </c>
      <c r="G31" s="138" t="s">
        <v>20</v>
      </c>
      <c r="H31" s="141">
        <v>44722</v>
      </c>
      <c r="I31" s="138" t="s">
        <v>21</v>
      </c>
      <c r="J31" s="134" t="s">
        <v>155</v>
      </c>
      <c r="K31" s="135" t="s">
        <v>23</v>
      </c>
      <c r="L31" s="142">
        <v>44713</v>
      </c>
      <c r="M31" s="140" t="s">
        <v>156</v>
      </c>
      <c r="N31" s="139" t="str">
        <f t="shared" si="0"/>
        <v>VIVIGOLD PHARMACY LIMITED</v>
      </c>
    </row>
    <row r="32" spans="1:14" s="135" customFormat="1" ht="316.89999999999998" hidden="1">
      <c r="A32" s="137">
        <v>30</v>
      </c>
      <c r="B32" s="134" t="s">
        <v>157</v>
      </c>
      <c r="C32" s="134" t="s">
        <v>158</v>
      </c>
      <c r="D32" s="133" t="s">
        <v>159</v>
      </c>
      <c r="E32" s="138" t="s">
        <v>18</v>
      </c>
      <c r="F32" s="134" t="s">
        <v>154</v>
      </c>
      <c r="G32" s="138" t="s">
        <v>20</v>
      </c>
      <c r="H32" s="138" t="s">
        <v>160</v>
      </c>
      <c r="I32" s="138" t="s">
        <v>21</v>
      </c>
      <c r="J32" s="134" t="s">
        <v>161</v>
      </c>
      <c r="K32" s="135" t="s">
        <v>23</v>
      </c>
      <c r="L32" s="142">
        <v>44713</v>
      </c>
      <c r="M32" s="135" t="s">
        <v>162</v>
      </c>
      <c r="N32" s="139" t="str">
        <f t="shared" si="0"/>
        <v>IYKMAVIAN PHARMACEUTICALS NIG. LTD</v>
      </c>
    </row>
    <row r="33" spans="1:14" s="135" customFormat="1" ht="316.89999999999998" hidden="1">
      <c r="A33" s="137">
        <v>31</v>
      </c>
      <c r="B33" s="134" t="s">
        <v>163</v>
      </c>
      <c r="C33" s="134" t="s">
        <v>164</v>
      </c>
      <c r="D33" s="133" t="s">
        <v>165</v>
      </c>
      <c r="E33" s="138" t="s">
        <v>18</v>
      </c>
      <c r="F33" s="134" t="s">
        <v>154</v>
      </c>
      <c r="G33" s="138" t="s">
        <v>20</v>
      </c>
      <c r="H33" s="138" t="s">
        <v>160</v>
      </c>
      <c r="I33" s="138" t="s">
        <v>28</v>
      </c>
      <c r="J33" s="134" t="s">
        <v>29</v>
      </c>
      <c r="K33" s="135" t="s">
        <v>30</v>
      </c>
      <c r="L33" s="142">
        <v>44713</v>
      </c>
      <c r="M33" s="135" t="s">
        <v>166</v>
      </c>
      <c r="N33" s="139" t="str">
        <f t="shared" si="0"/>
        <v>DANNYFAITH PHARMACY LTD</v>
      </c>
    </row>
    <row r="34" spans="1:14" s="135" customFormat="1" ht="41.45" hidden="1">
      <c r="A34" s="137">
        <v>32</v>
      </c>
      <c r="B34" s="134" t="s">
        <v>167</v>
      </c>
      <c r="C34" s="134" t="s">
        <v>168</v>
      </c>
      <c r="D34" s="133" t="s">
        <v>169</v>
      </c>
      <c r="E34" s="138" t="s">
        <v>18</v>
      </c>
      <c r="F34" s="134" t="s">
        <v>154</v>
      </c>
      <c r="G34" s="138" t="s">
        <v>20</v>
      </c>
      <c r="H34" s="138"/>
      <c r="I34" s="138" t="s">
        <v>28</v>
      </c>
      <c r="J34" s="134" t="s">
        <v>29</v>
      </c>
      <c r="K34" s="135" t="s">
        <v>30</v>
      </c>
      <c r="L34" s="142">
        <v>44713</v>
      </c>
      <c r="N34" s="139" t="str">
        <f t="shared" si="0"/>
        <v/>
      </c>
    </row>
    <row r="35" spans="1:14" s="135" customFormat="1" ht="316.89999999999998" hidden="1">
      <c r="A35" s="137">
        <v>33</v>
      </c>
      <c r="B35" s="134" t="s">
        <v>170</v>
      </c>
      <c r="C35" s="134" t="s">
        <v>171</v>
      </c>
      <c r="D35" s="133" t="s">
        <v>172</v>
      </c>
      <c r="E35" s="138" t="s">
        <v>18</v>
      </c>
      <c r="F35" s="134" t="s">
        <v>173</v>
      </c>
      <c r="G35" s="138" t="s">
        <v>20</v>
      </c>
      <c r="H35" s="138" t="s">
        <v>174</v>
      </c>
      <c r="I35" s="138" t="s">
        <v>28</v>
      </c>
      <c r="J35" s="134" t="s">
        <v>29</v>
      </c>
      <c r="K35" s="135" t="s">
        <v>30</v>
      </c>
      <c r="L35" s="142">
        <v>44743</v>
      </c>
      <c r="M35" s="135" t="s">
        <v>175</v>
      </c>
      <c r="N35" s="139" t="str">
        <f t="shared" ref="N35:N51" si="1">IF(M35="","",HYPERLINK(M35,B35))</f>
        <v>ASHMOLA PHARMACY</v>
      </c>
    </row>
    <row r="36" spans="1:14" s="172" customFormat="1" ht="331.15" hidden="1">
      <c r="A36" s="168">
        <v>34</v>
      </c>
      <c r="B36" s="178" t="s">
        <v>176</v>
      </c>
      <c r="C36" s="169" t="s">
        <v>177</v>
      </c>
      <c r="D36" s="170" t="s">
        <v>178</v>
      </c>
      <c r="E36" s="171" t="s">
        <v>18</v>
      </c>
      <c r="F36" s="169" t="s">
        <v>173</v>
      </c>
      <c r="G36" s="171" t="s">
        <v>20</v>
      </c>
      <c r="H36" s="171"/>
      <c r="I36" s="171" t="s">
        <v>21</v>
      </c>
      <c r="J36" s="134" t="s">
        <v>41</v>
      </c>
      <c r="K36" s="135" t="s">
        <v>23</v>
      </c>
      <c r="L36" s="173">
        <v>44743</v>
      </c>
      <c r="M36" s="172" t="s">
        <v>179</v>
      </c>
      <c r="N36" s="174" t="str">
        <f t="shared" si="1"/>
        <v>DRUGMASTA MEGA PHARMACY LIMITED</v>
      </c>
    </row>
    <row r="37" spans="1:14" s="135" customFormat="1" ht="316.89999999999998" hidden="1">
      <c r="A37" s="137">
        <v>35</v>
      </c>
      <c r="B37" s="134" t="s">
        <v>180</v>
      </c>
      <c r="C37" s="134" t="s">
        <v>181</v>
      </c>
      <c r="D37" s="133" t="s">
        <v>182</v>
      </c>
      <c r="E37" s="138" t="s">
        <v>18</v>
      </c>
      <c r="F37" s="134" t="s">
        <v>173</v>
      </c>
      <c r="G37" s="138" t="s">
        <v>20</v>
      </c>
      <c r="H37" s="138" t="s">
        <v>174</v>
      </c>
      <c r="I37" s="138" t="s">
        <v>28</v>
      </c>
      <c r="J37" s="134" t="s">
        <v>29</v>
      </c>
      <c r="K37" s="135" t="s">
        <v>30</v>
      </c>
      <c r="L37" s="142">
        <v>44743</v>
      </c>
      <c r="M37" s="135" t="s">
        <v>183</v>
      </c>
      <c r="N37" s="139" t="str">
        <f t="shared" si="1"/>
        <v>BIOMERC PHARMACEUTICAL LTD</v>
      </c>
    </row>
    <row r="38" spans="1:14" s="135" customFormat="1" ht="316.89999999999998" hidden="1">
      <c r="A38" s="137">
        <v>36</v>
      </c>
      <c r="B38" s="134" t="s">
        <v>184</v>
      </c>
      <c r="C38" s="134" t="s">
        <v>185</v>
      </c>
      <c r="D38" s="133" t="s">
        <v>186</v>
      </c>
      <c r="E38" s="138" t="s">
        <v>18</v>
      </c>
      <c r="F38" s="134" t="s">
        <v>173</v>
      </c>
      <c r="G38" s="138" t="s">
        <v>20</v>
      </c>
      <c r="H38" s="138" t="s">
        <v>174</v>
      </c>
      <c r="I38" s="138" t="s">
        <v>28</v>
      </c>
      <c r="J38" s="134" t="s">
        <v>29</v>
      </c>
      <c r="K38" s="135" t="s">
        <v>30</v>
      </c>
      <c r="L38" s="142">
        <v>44743</v>
      </c>
      <c r="M38" s="135" t="s">
        <v>187</v>
      </c>
      <c r="N38" s="139" t="str">
        <f t="shared" si="1"/>
        <v>DIAMOND HEALTHCARE LTD.</v>
      </c>
    </row>
    <row r="39" spans="1:14" s="135" customFormat="1" hidden="1">
      <c r="A39" s="137">
        <v>37</v>
      </c>
      <c r="B39" s="134"/>
      <c r="C39" s="134"/>
      <c r="D39" s="133"/>
      <c r="E39" s="138" t="s">
        <v>18</v>
      </c>
      <c r="F39" s="134"/>
      <c r="G39" s="138" t="s">
        <v>20</v>
      </c>
      <c r="H39" s="138"/>
      <c r="I39" s="138" t="s">
        <v>188</v>
      </c>
      <c r="J39" s="134"/>
      <c r="N39" s="139" t="str">
        <f t="shared" si="1"/>
        <v/>
      </c>
    </row>
    <row r="40" spans="1:14" s="135" customFormat="1" ht="302.45" hidden="1">
      <c r="A40" s="137">
        <v>38</v>
      </c>
      <c r="B40" s="134" t="s">
        <v>189</v>
      </c>
      <c r="C40" s="134" t="s">
        <v>190</v>
      </c>
      <c r="D40" s="133" t="s">
        <v>191</v>
      </c>
      <c r="E40" s="138" t="s">
        <v>18</v>
      </c>
      <c r="F40" s="134" t="s">
        <v>173</v>
      </c>
      <c r="G40" s="138" t="s">
        <v>20</v>
      </c>
      <c r="H40" s="138" t="s">
        <v>174</v>
      </c>
      <c r="I40" s="138" t="s">
        <v>28</v>
      </c>
      <c r="J40" s="134" t="s">
        <v>29</v>
      </c>
      <c r="K40" s="135" t="s">
        <v>30</v>
      </c>
      <c r="L40" s="142">
        <v>44743</v>
      </c>
      <c r="M40" s="135" t="s">
        <v>192</v>
      </c>
      <c r="N40" s="139" t="str">
        <f t="shared" si="1"/>
        <v>CHIZZY PHARMACY LTD.</v>
      </c>
    </row>
    <row r="41" spans="1:14" s="135" customFormat="1" ht="331.15">
      <c r="A41" s="137">
        <v>39</v>
      </c>
      <c r="B41" s="136" t="s">
        <v>193</v>
      </c>
      <c r="C41" s="134" t="s">
        <v>194</v>
      </c>
      <c r="D41" s="133" t="s">
        <v>195</v>
      </c>
      <c r="E41" s="138" t="s">
        <v>18</v>
      </c>
      <c r="F41" s="134" t="s">
        <v>196</v>
      </c>
      <c r="G41" s="138" t="s">
        <v>20</v>
      </c>
      <c r="H41" s="138" t="s">
        <v>197</v>
      </c>
      <c r="I41" s="138" t="s">
        <v>28</v>
      </c>
      <c r="J41" s="134" t="s">
        <v>29</v>
      </c>
      <c r="K41" s="135" t="s">
        <v>30</v>
      </c>
      <c r="L41" s="142">
        <v>44866</v>
      </c>
      <c r="M41" s="135" t="s">
        <v>198</v>
      </c>
      <c r="N41" s="139" t="str">
        <f t="shared" si="1"/>
        <v>MC TOTALCAREPHARMACY LTD</v>
      </c>
    </row>
    <row r="42" spans="1:14" s="135" customFormat="1" ht="30">
      <c r="A42" s="137">
        <v>40</v>
      </c>
      <c r="B42" s="136" t="s">
        <v>199</v>
      </c>
      <c r="C42" s="134" t="s">
        <v>200</v>
      </c>
      <c r="D42" s="133" t="s">
        <v>201</v>
      </c>
      <c r="E42" s="138" t="s">
        <v>18</v>
      </c>
      <c r="F42" s="134" t="s">
        <v>196</v>
      </c>
      <c r="G42" s="138" t="s">
        <v>20</v>
      </c>
      <c r="H42" s="138" t="s">
        <v>197</v>
      </c>
      <c r="I42" s="138" t="s">
        <v>28</v>
      </c>
      <c r="J42" s="134" t="s">
        <v>29</v>
      </c>
      <c r="K42" s="135" t="s">
        <v>30</v>
      </c>
      <c r="L42" s="142">
        <v>44866</v>
      </c>
      <c r="M42" s="135" t="s">
        <v>202</v>
      </c>
      <c r="N42" s="139" t="str">
        <f>IF(M42="","",HYPERLINK(M42,B42))</f>
        <v> S &amp; S DUKE  PHARMACEUTICALS</v>
      </c>
    </row>
    <row r="43" spans="1:14" s="135" customFormat="1" ht="15">
      <c r="A43" s="137">
        <v>41</v>
      </c>
      <c r="B43" s="134" t="s">
        <v>203</v>
      </c>
      <c r="C43" s="136" t="s">
        <v>204</v>
      </c>
      <c r="D43" s="133" t="s">
        <v>205</v>
      </c>
      <c r="E43" s="138" t="s">
        <v>18</v>
      </c>
      <c r="F43" s="134" t="s">
        <v>196</v>
      </c>
      <c r="G43" s="138" t="s">
        <v>20</v>
      </c>
      <c r="H43" s="138"/>
      <c r="I43" s="138" t="s">
        <v>28</v>
      </c>
      <c r="J43" s="134" t="s">
        <v>29</v>
      </c>
      <c r="K43" s="135" t="s">
        <v>30</v>
      </c>
      <c r="L43" s="142">
        <v>44866</v>
      </c>
      <c r="M43" s="135" t="s">
        <v>206</v>
      </c>
      <c r="N43" s="139" t="str">
        <f>IF(M43="","",HYPERLINK(M43,B43))</f>
        <v>JOE  DRUGS PHARMACY</v>
      </c>
    </row>
    <row r="44" spans="1:14" s="135" customFormat="1" ht="43.5">
      <c r="A44" s="137">
        <v>42</v>
      </c>
      <c r="B44" s="179" t="s">
        <v>207</v>
      </c>
      <c r="C44" s="134" t="s">
        <v>208</v>
      </c>
      <c r="D44" s="133" t="s">
        <v>209</v>
      </c>
      <c r="E44" s="138" t="s">
        <v>18</v>
      </c>
      <c r="F44" s="134" t="s">
        <v>196</v>
      </c>
      <c r="G44" s="138" t="s">
        <v>20</v>
      </c>
      <c r="H44" s="141">
        <v>44389</v>
      </c>
      <c r="I44" s="138" t="s">
        <v>21</v>
      </c>
      <c r="J44" s="134" t="s">
        <v>210</v>
      </c>
      <c r="K44" s="135" t="s">
        <v>23</v>
      </c>
      <c r="L44" s="142">
        <v>44866</v>
      </c>
      <c r="M44" s="135" t="s">
        <v>211</v>
      </c>
      <c r="N44" s="139" t="str">
        <f>IF(M44="","",HYPERLINK(M44,B44))</f>
        <v>BENPAT ELYBEN PHARMACY AND STORE</v>
      </c>
    </row>
    <row r="45" spans="1:14" s="135" customFormat="1" ht="30">
      <c r="A45" s="137">
        <v>43</v>
      </c>
      <c r="B45" s="134" t="s">
        <v>212</v>
      </c>
      <c r="C45" s="134" t="s">
        <v>213</v>
      </c>
      <c r="D45" s="133" t="s">
        <v>214</v>
      </c>
      <c r="E45" s="138" t="s">
        <v>18</v>
      </c>
      <c r="F45" s="134" t="s">
        <v>215</v>
      </c>
      <c r="G45" s="138" t="s">
        <v>188</v>
      </c>
      <c r="H45" s="138" t="s">
        <v>188</v>
      </c>
      <c r="I45" s="138" t="s">
        <v>188</v>
      </c>
      <c r="J45" s="134" t="s">
        <v>216</v>
      </c>
      <c r="K45" s="135" t="s">
        <v>217</v>
      </c>
      <c r="L45" s="142"/>
      <c r="M45" s="135" t="s">
        <v>218</v>
      </c>
      <c r="N45" s="139" t="str">
        <f>IF(M45="","",HYPERLINK(M45,B45))</f>
        <v>SOOD &amp; JINS PHARMACEUTICAL LTD</v>
      </c>
    </row>
    <row r="46" spans="1:14" s="135" customFormat="1" ht="30">
      <c r="A46" s="137">
        <v>44</v>
      </c>
      <c r="B46" s="179" t="s">
        <v>219</v>
      </c>
      <c r="C46" s="134" t="s">
        <v>220</v>
      </c>
      <c r="D46" s="133" t="s">
        <v>221</v>
      </c>
      <c r="E46" s="138" t="s">
        <v>18</v>
      </c>
      <c r="F46" s="134" t="s">
        <v>222</v>
      </c>
      <c r="G46" s="138" t="s">
        <v>20</v>
      </c>
      <c r="H46" s="138" t="s">
        <v>223</v>
      </c>
      <c r="I46" s="138" t="s">
        <v>21</v>
      </c>
      <c r="J46" s="134" t="s">
        <v>65</v>
      </c>
      <c r="K46" s="135" t="s">
        <v>23</v>
      </c>
      <c r="L46" s="142">
        <v>44866</v>
      </c>
      <c r="M46" s="135" t="s">
        <v>224</v>
      </c>
      <c r="N46" s="139"/>
    </row>
    <row r="47" spans="1:14" s="135" customFormat="1" ht="331.15">
      <c r="A47" s="137">
        <v>45</v>
      </c>
      <c r="B47" s="179" t="s">
        <v>225</v>
      </c>
      <c r="C47" s="134" t="s">
        <v>226</v>
      </c>
      <c r="D47" s="133" t="s">
        <v>227</v>
      </c>
      <c r="E47" s="138" t="s">
        <v>18</v>
      </c>
      <c r="F47" s="134" t="s">
        <v>222</v>
      </c>
      <c r="G47" s="138" t="s">
        <v>20</v>
      </c>
      <c r="H47" s="138" t="s">
        <v>223</v>
      </c>
      <c r="I47" s="138" t="s">
        <v>21</v>
      </c>
      <c r="J47" s="134" t="s">
        <v>65</v>
      </c>
      <c r="K47" s="135" t="s">
        <v>23</v>
      </c>
      <c r="L47" s="142">
        <v>44866</v>
      </c>
      <c r="M47" s="135" t="s">
        <v>228</v>
      </c>
      <c r="N47" s="139" t="str">
        <f t="shared" si="1"/>
        <v>DEBINCO &amp; SONS PHARMACEUTICAL CO. LTD</v>
      </c>
    </row>
    <row r="48" spans="1:14" s="135" customFormat="1" ht="316.89999999999998">
      <c r="A48" s="137">
        <v>46</v>
      </c>
      <c r="B48" s="134" t="s">
        <v>229</v>
      </c>
      <c r="C48" s="134" t="s">
        <v>230</v>
      </c>
      <c r="D48" s="133" t="s">
        <v>231</v>
      </c>
      <c r="E48" s="138" t="s">
        <v>18</v>
      </c>
      <c r="F48" s="134" t="s">
        <v>232</v>
      </c>
      <c r="G48" s="138" t="s">
        <v>20</v>
      </c>
      <c r="H48" s="141">
        <v>44682</v>
      </c>
      <c r="I48" s="138" t="s">
        <v>28</v>
      </c>
      <c r="J48" s="134" t="s">
        <v>29</v>
      </c>
      <c r="K48" s="135" t="s">
        <v>30</v>
      </c>
      <c r="L48" s="142">
        <v>44866</v>
      </c>
      <c r="M48" s="135" t="s">
        <v>233</v>
      </c>
      <c r="N48" s="139" t="str">
        <f t="shared" si="1"/>
        <v>NEAT-LINE PHARM LTD</v>
      </c>
    </row>
    <row r="49" spans="1:14" s="135" customFormat="1" ht="316.89999999999998">
      <c r="A49" s="137">
        <v>47</v>
      </c>
      <c r="B49" s="178" t="s">
        <v>234</v>
      </c>
      <c r="C49" s="134" t="s">
        <v>235</v>
      </c>
      <c r="D49" s="133" t="s">
        <v>236</v>
      </c>
      <c r="E49" s="138" t="s">
        <v>18</v>
      </c>
      <c r="F49" s="134" t="s">
        <v>237</v>
      </c>
      <c r="G49" s="138" t="s">
        <v>20</v>
      </c>
      <c r="H49" s="141">
        <v>44682</v>
      </c>
      <c r="I49" s="138" t="s">
        <v>21</v>
      </c>
      <c r="J49" s="134" t="s">
        <v>210</v>
      </c>
      <c r="K49" s="135" t="s">
        <v>23</v>
      </c>
      <c r="L49" s="142">
        <v>44866</v>
      </c>
      <c r="M49" s="135" t="s">
        <v>238</v>
      </c>
      <c r="N49" s="139" t="str">
        <f t="shared" si="1"/>
        <v>KRIS DANIELS PHARM LTD</v>
      </c>
    </row>
    <row r="50" spans="1:14" s="135" customFormat="1" ht="288">
      <c r="A50" s="137">
        <v>48</v>
      </c>
      <c r="B50" s="134" t="s">
        <v>239</v>
      </c>
      <c r="C50" s="134" t="s">
        <v>240</v>
      </c>
      <c r="D50" s="133" t="s">
        <v>241</v>
      </c>
      <c r="E50" s="138" t="s">
        <v>18</v>
      </c>
      <c r="F50" s="134" t="s">
        <v>237</v>
      </c>
      <c r="G50" s="138" t="s">
        <v>20</v>
      </c>
      <c r="H50" s="141">
        <v>44682</v>
      </c>
      <c r="I50" s="138" t="s">
        <v>21</v>
      </c>
      <c r="J50" s="134" t="s">
        <v>242</v>
      </c>
      <c r="K50" s="135" t="s">
        <v>23</v>
      </c>
      <c r="L50" s="142">
        <v>44866</v>
      </c>
      <c r="M50" s="135" t="s">
        <v>243</v>
      </c>
      <c r="N50" s="139" t="str">
        <f t="shared" si="1"/>
        <v>ZEST PHARMA LIMITED</v>
      </c>
    </row>
    <row r="51" spans="1:14" s="135" customFormat="1" ht="302.45">
      <c r="A51" s="137">
        <v>49</v>
      </c>
      <c r="B51" s="136" t="s">
        <v>244</v>
      </c>
      <c r="C51" s="134" t="s">
        <v>245</v>
      </c>
      <c r="D51" s="133" t="s">
        <v>231</v>
      </c>
      <c r="E51" s="138" t="s">
        <v>18</v>
      </c>
      <c r="F51" s="134" t="s">
        <v>246</v>
      </c>
      <c r="G51" s="138" t="s">
        <v>20</v>
      </c>
      <c r="H51" s="138"/>
      <c r="I51" s="138" t="s">
        <v>21</v>
      </c>
      <c r="J51" s="134" t="s">
        <v>242</v>
      </c>
      <c r="K51" s="135" t="s">
        <v>23</v>
      </c>
      <c r="L51" s="142">
        <v>44866</v>
      </c>
      <c r="M51" s="135" t="s">
        <v>247</v>
      </c>
      <c r="N51" s="139" t="str">
        <f t="shared" si="1"/>
        <v>VACCIPHARM LTD</v>
      </c>
    </row>
    <row r="52" spans="1:14" ht="18">
      <c r="B52" s="6" t="s">
        <v>248</v>
      </c>
    </row>
  </sheetData>
  <mergeCells count="1">
    <mergeCell ref="A1:J1"/>
  </mergeCells>
  <conditionalFormatting sqref="I3:I51">
    <cfRule type="containsText" dxfId="111" priority="1" operator="containsText" text="NO">
      <formula>NOT(ISERROR(SEARCH("NO",I3)))</formula>
    </cfRule>
    <cfRule type="containsText" dxfId="110" priority="2" operator="containsText" text="YES">
      <formula>NOT(ISERROR(SEARCH("YES",I3)))</formula>
    </cfRule>
  </conditionalFormatting>
  <dataValidations count="1">
    <dataValidation type="list" allowBlank="1" showInputMessage="1" showErrorMessage="1" sqref="I3:I1048576" xr:uid="{72B12A1B-73C2-4851-98E6-762A5FCA3906}">
      <formula1>"YES,NO,N/A"</formula1>
    </dataValidation>
  </dataValidations>
  <hyperlinks>
    <hyperlink ref="M14" r:id="rId1" xr:uid="{AFE5B559-8F48-48E9-B4AC-B8AB34558E67}"/>
    <hyperlink ref="M5" r:id="rId2" xr:uid="{AAE8A09A-4434-430A-A03D-2102C80A133C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7"/>
  <sheetViews>
    <sheetView zoomScale="55" zoomScaleNormal="55" workbookViewId="0">
      <selection activeCell="B53" sqref="B53"/>
    </sheetView>
  </sheetViews>
  <sheetFormatPr defaultColWidth="8.85546875" defaultRowHeight="14.45"/>
  <cols>
    <col min="1" max="1" width="7" customWidth="1"/>
    <col min="2" max="2" width="43.85546875" customWidth="1"/>
    <col min="3" max="3" width="27.5703125" customWidth="1"/>
    <col min="4" max="4" width="28.7109375" customWidth="1"/>
    <col min="5" max="5" width="27.140625" customWidth="1"/>
    <col min="6" max="6" width="25.5703125" customWidth="1"/>
    <col min="7" max="7" width="18.5703125" customWidth="1"/>
    <col min="8" max="8" width="21.42578125" customWidth="1"/>
    <col min="9" max="9" width="24.28515625" customWidth="1"/>
    <col min="10" max="10" width="22.85546875" customWidth="1"/>
    <col min="11" max="11" width="22.85546875" style="8" customWidth="1"/>
    <col min="12" max="12" width="8.85546875" style="8" customWidth="1"/>
    <col min="13" max="13" width="26.140625" hidden="1" customWidth="1"/>
    <col min="14" max="14" width="19.28515625" customWidth="1"/>
  </cols>
  <sheetData>
    <row r="1" spans="1:17" ht="17.45">
      <c r="A1" s="223" t="s">
        <v>249</v>
      </c>
      <c r="B1" s="223"/>
      <c r="C1" s="223"/>
      <c r="D1" s="223"/>
      <c r="E1" s="223"/>
      <c r="F1" s="223"/>
      <c r="G1" s="223"/>
      <c r="H1" s="223"/>
      <c r="I1" s="223"/>
      <c r="J1" s="223"/>
      <c r="K1" s="12"/>
      <c r="L1" s="10"/>
      <c r="N1" s="10"/>
    </row>
    <row r="2" spans="1:17" ht="93.6">
      <c r="A2" s="44" t="s">
        <v>1</v>
      </c>
      <c r="B2" s="40" t="s">
        <v>2</v>
      </c>
      <c r="C2" s="40" t="s">
        <v>3</v>
      </c>
      <c r="D2" s="39" t="s">
        <v>4</v>
      </c>
      <c r="E2" s="40" t="s">
        <v>5</v>
      </c>
      <c r="F2" s="40" t="s">
        <v>6</v>
      </c>
      <c r="G2" s="40" t="s">
        <v>7</v>
      </c>
      <c r="H2" s="40" t="s">
        <v>8</v>
      </c>
      <c r="I2" s="40" t="s">
        <v>9</v>
      </c>
      <c r="J2" s="40" t="s">
        <v>10</v>
      </c>
      <c r="K2" s="40" t="s">
        <v>11</v>
      </c>
      <c r="L2" s="48" t="s">
        <v>12</v>
      </c>
      <c r="M2" t="s">
        <v>14</v>
      </c>
      <c r="N2" s="40" t="s">
        <v>250</v>
      </c>
      <c r="P2" s="9"/>
      <c r="Q2" s="9"/>
    </row>
    <row r="3" spans="1:17" ht="28.15">
      <c r="A3" s="45">
        <v>1</v>
      </c>
      <c r="B3" s="15" t="s">
        <v>251</v>
      </c>
      <c r="C3" s="16" t="s">
        <v>252</v>
      </c>
      <c r="D3" s="17" t="s">
        <v>253</v>
      </c>
      <c r="E3" s="15" t="s">
        <v>18</v>
      </c>
      <c r="F3" s="52" t="s">
        <v>254</v>
      </c>
      <c r="G3" s="19" t="s">
        <v>20</v>
      </c>
      <c r="H3" s="20">
        <v>44656</v>
      </c>
      <c r="I3" s="19" t="s">
        <v>28</v>
      </c>
      <c r="J3" s="21" t="s">
        <v>29</v>
      </c>
      <c r="K3" s="21" t="s">
        <v>255</v>
      </c>
      <c r="L3" s="56">
        <v>45017</v>
      </c>
      <c r="M3" s="79" t="s">
        <v>256</v>
      </c>
      <c r="N3" s="75" t="str">
        <f t="shared" ref="N3:N34" si="0">IF(M3="","",HYPERLINK(M3,B3))</f>
        <v>IKON PHARM NIG LTD</v>
      </c>
    </row>
    <row r="4" spans="1:17" ht="42">
      <c r="A4" s="46">
        <v>2</v>
      </c>
      <c r="B4" s="15" t="s">
        <v>257</v>
      </c>
      <c r="C4" s="16" t="s">
        <v>258</v>
      </c>
      <c r="D4" s="22" t="s">
        <v>259</v>
      </c>
      <c r="E4" s="15" t="s">
        <v>18</v>
      </c>
      <c r="F4" s="18" t="s">
        <v>254</v>
      </c>
      <c r="G4" s="19" t="s">
        <v>20</v>
      </c>
      <c r="H4" s="20">
        <v>44656</v>
      </c>
      <c r="I4" s="19" t="s">
        <v>28</v>
      </c>
      <c r="J4" s="21" t="s">
        <v>29</v>
      </c>
      <c r="K4" s="21" t="s">
        <v>255</v>
      </c>
      <c r="L4" s="56">
        <v>45017</v>
      </c>
      <c r="M4" s="79" t="s">
        <v>256</v>
      </c>
      <c r="N4" s="76" t="str">
        <f t="shared" si="0"/>
        <v>IKON PHARM NIG LTD (BRANCH)</v>
      </c>
    </row>
    <row r="5" spans="1:17" ht="42">
      <c r="A5" s="46">
        <v>3</v>
      </c>
      <c r="B5" s="15" t="s">
        <v>260</v>
      </c>
      <c r="C5" s="16" t="s">
        <v>261</v>
      </c>
      <c r="D5" s="22" t="s">
        <v>262</v>
      </c>
      <c r="E5" s="15" t="s">
        <v>18</v>
      </c>
      <c r="F5" s="21" t="s">
        <v>254</v>
      </c>
      <c r="G5" s="19" t="s">
        <v>20</v>
      </c>
      <c r="H5" s="20">
        <v>44656</v>
      </c>
      <c r="I5" s="19" t="s">
        <v>21</v>
      </c>
      <c r="J5" s="21" t="s">
        <v>263</v>
      </c>
      <c r="K5" s="21" t="s">
        <v>264</v>
      </c>
      <c r="L5" s="56">
        <v>45017</v>
      </c>
      <c r="M5" s="79" t="s">
        <v>265</v>
      </c>
      <c r="N5" s="76" t="str">
        <f t="shared" si="0"/>
        <v>YANKEE PHARM CO.NIG LTD</v>
      </c>
    </row>
    <row r="6" spans="1:17" ht="42">
      <c r="A6" s="46">
        <v>4</v>
      </c>
      <c r="B6" s="15" t="s">
        <v>266</v>
      </c>
      <c r="C6" s="16" t="s">
        <v>267</v>
      </c>
      <c r="D6" s="22" t="s">
        <v>268</v>
      </c>
      <c r="E6" s="15" t="s">
        <v>18</v>
      </c>
      <c r="F6" s="18" t="s">
        <v>254</v>
      </c>
      <c r="G6" s="19" t="s">
        <v>20</v>
      </c>
      <c r="H6" s="20">
        <v>44656</v>
      </c>
      <c r="I6" s="19" t="s">
        <v>21</v>
      </c>
      <c r="J6" s="21" t="s">
        <v>269</v>
      </c>
      <c r="K6" s="21" t="s">
        <v>264</v>
      </c>
      <c r="L6" s="56">
        <v>45017</v>
      </c>
      <c r="M6" s="79" t="s">
        <v>270</v>
      </c>
      <c r="N6" s="76" t="str">
        <f t="shared" si="0"/>
        <v>ESTYBEE PHARM LTD</v>
      </c>
    </row>
    <row r="7" spans="1:17" ht="42">
      <c r="A7" s="46">
        <v>5</v>
      </c>
      <c r="B7" s="15" t="s">
        <v>271</v>
      </c>
      <c r="C7" s="16" t="s">
        <v>272</v>
      </c>
      <c r="D7" s="22" t="s">
        <v>273</v>
      </c>
      <c r="E7" s="15" t="s">
        <v>18</v>
      </c>
      <c r="F7" s="18" t="s">
        <v>274</v>
      </c>
      <c r="G7" s="19" t="s">
        <v>20</v>
      </c>
      <c r="H7" s="20">
        <v>44656</v>
      </c>
      <c r="I7" s="19" t="s">
        <v>21</v>
      </c>
      <c r="J7" s="21" t="s">
        <v>269</v>
      </c>
      <c r="K7" s="21" t="s">
        <v>264</v>
      </c>
      <c r="L7" s="56">
        <v>45017</v>
      </c>
      <c r="M7" s="79" t="s">
        <v>275</v>
      </c>
      <c r="N7" s="76" t="str">
        <f t="shared" si="0"/>
        <v>BENATO PHARM LTD</v>
      </c>
    </row>
    <row r="8" spans="1:17" ht="28.9">
      <c r="A8" s="46">
        <v>6</v>
      </c>
      <c r="B8" s="15" t="s">
        <v>276</v>
      </c>
      <c r="C8" s="16" t="s">
        <v>277</v>
      </c>
      <c r="D8" s="22" t="s">
        <v>278</v>
      </c>
      <c r="E8" s="15" t="s">
        <v>18</v>
      </c>
      <c r="F8" s="18" t="s">
        <v>274</v>
      </c>
      <c r="G8" s="19" t="s">
        <v>279</v>
      </c>
      <c r="H8" s="20">
        <v>44656</v>
      </c>
      <c r="I8" s="19" t="s">
        <v>28</v>
      </c>
      <c r="J8" s="21" t="s">
        <v>29</v>
      </c>
      <c r="K8" s="21" t="s">
        <v>255</v>
      </c>
      <c r="L8" s="91">
        <v>44835</v>
      </c>
      <c r="M8" s="79" t="s">
        <v>280</v>
      </c>
      <c r="N8" s="76" t="str">
        <f t="shared" si="0"/>
        <v>TIBRO PHARM CO. LTD</v>
      </c>
    </row>
    <row r="9" spans="1:17" ht="28.9">
      <c r="A9" s="46">
        <v>7</v>
      </c>
      <c r="B9" s="15" t="s">
        <v>281</v>
      </c>
      <c r="C9" s="16" t="s">
        <v>282</v>
      </c>
      <c r="D9" s="22" t="s">
        <v>283</v>
      </c>
      <c r="E9" s="15" t="s">
        <v>18</v>
      </c>
      <c r="F9" s="18" t="s">
        <v>274</v>
      </c>
      <c r="G9" s="19" t="s">
        <v>20</v>
      </c>
      <c r="H9" s="20">
        <v>44656</v>
      </c>
      <c r="I9" s="19" t="s">
        <v>28</v>
      </c>
      <c r="J9" s="21" t="s">
        <v>29</v>
      </c>
      <c r="K9" s="21" t="s">
        <v>255</v>
      </c>
      <c r="L9" s="91">
        <v>45017</v>
      </c>
      <c r="M9" s="79" t="s">
        <v>284</v>
      </c>
      <c r="N9" s="76" t="str">
        <f t="shared" si="0"/>
        <v>LIFE POINT PHARM LTD</v>
      </c>
    </row>
    <row r="10" spans="1:17" ht="28.15">
      <c r="A10" s="46">
        <v>8</v>
      </c>
      <c r="B10" s="15" t="s">
        <v>285</v>
      </c>
      <c r="C10" s="16" t="s">
        <v>286</v>
      </c>
      <c r="D10" s="22" t="s">
        <v>287</v>
      </c>
      <c r="E10" s="15" t="s">
        <v>18</v>
      </c>
      <c r="F10" s="18" t="s">
        <v>288</v>
      </c>
      <c r="G10" s="19" t="s">
        <v>279</v>
      </c>
      <c r="H10" s="20">
        <v>44656</v>
      </c>
      <c r="I10" s="19" t="s">
        <v>28</v>
      </c>
      <c r="J10" s="21" t="s">
        <v>29</v>
      </c>
      <c r="K10" s="21" t="s">
        <v>255</v>
      </c>
      <c r="L10" s="91">
        <v>44835</v>
      </c>
      <c r="M10" s="74"/>
      <c r="N10" s="76" t="str">
        <f t="shared" si="0"/>
        <v/>
      </c>
    </row>
    <row r="11" spans="1:17" ht="43.15">
      <c r="A11" s="46">
        <v>9</v>
      </c>
      <c r="B11" s="23" t="s">
        <v>289</v>
      </c>
      <c r="C11" s="16" t="s">
        <v>290</v>
      </c>
      <c r="D11" s="22" t="s">
        <v>291</v>
      </c>
      <c r="E11" s="15" t="s">
        <v>18</v>
      </c>
      <c r="F11" s="18" t="s">
        <v>288</v>
      </c>
      <c r="G11" s="19" t="s">
        <v>20</v>
      </c>
      <c r="H11" s="20">
        <v>44656</v>
      </c>
      <c r="I11" s="19" t="s">
        <v>21</v>
      </c>
      <c r="J11" s="21" t="s">
        <v>292</v>
      </c>
      <c r="K11" s="21" t="s">
        <v>264</v>
      </c>
      <c r="L11" s="91">
        <v>45017</v>
      </c>
      <c r="M11" s="79" t="s">
        <v>293</v>
      </c>
      <c r="N11" s="76" t="str">
        <f t="shared" si="0"/>
        <v>GEMINI PHARMACEUTICALS NIGERIA LTD</v>
      </c>
    </row>
    <row r="12" spans="1:17" ht="43.15">
      <c r="A12" s="46">
        <v>10</v>
      </c>
      <c r="B12" s="23" t="s">
        <v>294</v>
      </c>
      <c r="C12" s="16" t="s">
        <v>295</v>
      </c>
      <c r="D12" s="22" t="s">
        <v>296</v>
      </c>
      <c r="E12" s="15" t="s">
        <v>18</v>
      </c>
      <c r="F12" s="18" t="s">
        <v>297</v>
      </c>
      <c r="G12" s="19" t="s">
        <v>298</v>
      </c>
      <c r="H12" s="19" t="s">
        <v>299</v>
      </c>
      <c r="I12" s="19" t="s">
        <v>21</v>
      </c>
      <c r="J12" s="21" t="s">
        <v>300</v>
      </c>
      <c r="K12" s="21" t="s">
        <v>264</v>
      </c>
      <c r="L12" s="91">
        <v>45413</v>
      </c>
      <c r="M12" s="79" t="s">
        <v>301</v>
      </c>
      <c r="N12" s="76" t="str">
        <f t="shared" si="0"/>
        <v>EMZOR PHARMACEUTICAL INDUSTRIES LTD</v>
      </c>
    </row>
    <row r="13" spans="1:17" ht="42">
      <c r="A13" s="46">
        <v>11</v>
      </c>
      <c r="B13" s="15" t="s">
        <v>302</v>
      </c>
      <c r="C13" s="16" t="s">
        <v>303</v>
      </c>
      <c r="D13" s="22" t="s">
        <v>304</v>
      </c>
      <c r="E13" s="15" t="s">
        <v>18</v>
      </c>
      <c r="F13" s="18" t="s">
        <v>297</v>
      </c>
      <c r="G13" s="19" t="s">
        <v>298</v>
      </c>
      <c r="H13" s="19" t="s">
        <v>299</v>
      </c>
      <c r="I13" s="19" t="s">
        <v>21</v>
      </c>
      <c r="J13" s="21" t="s">
        <v>305</v>
      </c>
      <c r="K13" s="21" t="s">
        <v>264</v>
      </c>
      <c r="L13" s="91">
        <v>45413</v>
      </c>
      <c r="M13" s="79" t="s">
        <v>306</v>
      </c>
      <c r="N13" s="76" t="str">
        <f t="shared" si="0"/>
        <v>SAFCO MEGA SOLUTION LTD</v>
      </c>
    </row>
    <row r="14" spans="1:17" ht="28.9">
      <c r="A14" s="46">
        <v>12</v>
      </c>
      <c r="B14" s="15" t="s">
        <v>307</v>
      </c>
      <c r="C14" s="16" t="s">
        <v>308</v>
      </c>
      <c r="D14" s="22" t="s">
        <v>309</v>
      </c>
      <c r="E14" s="15" t="s">
        <v>18</v>
      </c>
      <c r="F14" s="18" t="s">
        <v>297</v>
      </c>
      <c r="G14" s="19" t="s">
        <v>279</v>
      </c>
      <c r="H14" s="19" t="s">
        <v>310</v>
      </c>
      <c r="I14" s="19" t="s">
        <v>21</v>
      </c>
      <c r="J14" s="21" t="s">
        <v>311</v>
      </c>
      <c r="K14" s="21"/>
      <c r="L14" s="91">
        <v>44713</v>
      </c>
      <c r="M14" s="79" t="s">
        <v>312</v>
      </c>
      <c r="N14" s="76" t="str">
        <f t="shared" si="0"/>
        <v>ELFIMO PHARMACY LTD</v>
      </c>
    </row>
    <row r="15" spans="1:17" ht="28.9">
      <c r="A15" s="46">
        <v>13</v>
      </c>
      <c r="B15" s="15" t="s">
        <v>313</v>
      </c>
      <c r="C15" s="16" t="s">
        <v>314</v>
      </c>
      <c r="D15" s="17" t="s">
        <v>315</v>
      </c>
      <c r="E15" s="15" t="s">
        <v>18</v>
      </c>
      <c r="F15" s="18" t="s">
        <v>316</v>
      </c>
      <c r="G15" s="19" t="s">
        <v>20</v>
      </c>
      <c r="H15" s="19" t="s">
        <v>317</v>
      </c>
      <c r="I15" s="19" t="s">
        <v>28</v>
      </c>
      <c r="J15" s="21" t="s">
        <v>29</v>
      </c>
      <c r="K15" s="21" t="s">
        <v>255</v>
      </c>
      <c r="L15" s="91">
        <v>45078</v>
      </c>
      <c r="M15" s="79" t="s">
        <v>318</v>
      </c>
      <c r="N15" s="76" t="str">
        <f t="shared" si="0"/>
        <v>ANOBS PHARMACY &amp; STORES LTD</v>
      </c>
    </row>
    <row r="16" spans="1:17" ht="42">
      <c r="A16" s="46">
        <v>14</v>
      </c>
      <c r="B16" s="15" t="s">
        <v>319</v>
      </c>
      <c r="C16" s="24" t="s">
        <v>320</v>
      </c>
      <c r="D16" s="17" t="s">
        <v>321</v>
      </c>
      <c r="E16" s="15" t="s">
        <v>18</v>
      </c>
      <c r="F16" s="18" t="s">
        <v>322</v>
      </c>
      <c r="G16" s="19" t="s">
        <v>20</v>
      </c>
      <c r="H16" s="19" t="s">
        <v>323</v>
      </c>
      <c r="I16" s="19" t="s">
        <v>21</v>
      </c>
      <c r="J16" s="21" t="s">
        <v>324</v>
      </c>
      <c r="K16" s="21" t="s">
        <v>264</v>
      </c>
      <c r="L16" s="91">
        <v>45078</v>
      </c>
      <c r="M16" s="79" t="s">
        <v>325</v>
      </c>
      <c r="N16" s="76" t="str">
        <f t="shared" si="0"/>
        <v>ALL ROUND HEALTH LTD</v>
      </c>
    </row>
    <row r="17" spans="1:14" ht="69.599999999999994">
      <c r="A17" s="46">
        <v>15</v>
      </c>
      <c r="B17" s="15" t="s">
        <v>326</v>
      </c>
      <c r="C17" s="24" t="s">
        <v>327</v>
      </c>
      <c r="D17" s="17" t="s">
        <v>328</v>
      </c>
      <c r="E17" s="15" t="s">
        <v>18</v>
      </c>
      <c r="F17" s="18" t="s">
        <v>322</v>
      </c>
      <c r="G17" s="25" t="s">
        <v>188</v>
      </c>
      <c r="H17" s="25" t="s">
        <v>188</v>
      </c>
      <c r="I17" s="26" t="s">
        <v>28</v>
      </c>
      <c r="J17" s="27" t="s">
        <v>329</v>
      </c>
      <c r="K17" s="21" t="s">
        <v>330</v>
      </c>
      <c r="L17" s="50"/>
      <c r="M17" s="79" t="s">
        <v>331</v>
      </c>
      <c r="N17" s="76" t="str">
        <f t="shared" si="0"/>
        <v>OCICAN PHARMACY &amp; STORES LTD.</v>
      </c>
    </row>
    <row r="18" spans="1:14" ht="42">
      <c r="A18" s="46">
        <v>16</v>
      </c>
      <c r="B18" s="23" t="s">
        <v>332</v>
      </c>
      <c r="C18" s="24" t="s">
        <v>333</v>
      </c>
      <c r="D18" s="17" t="s">
        <v>334</v>
      </c>
      <c r="E18" s="15" t="s">
        <v>18</v>
      </c>
      <c r="F18" s="18" t="s">
        <v>335</v>
      </c>
      <c r="G18" s="28" t="s">
        <v>20</v>
      </c>
      <c r="H18" s="19" t="s">
        <v>323</v>
      </c>
      <c r="I18" s="19" t="s">
        <v>21</v>
      </c>
      <c r="J18" s="21" t="s">
        <v>29</v>
      </c>
      <c r="K18" s="21" t="str">
        <f t="shared" ref="K18:K33" si="1">IF(I18="YES","CAPA VERIFICATION SHOULD BE SCHEDULED",IF(I18="NO","REMINDER LETTER SHOULD BE SENT",""))</f>
        <v>CAPA VERIFICATION SHOULD BE SCHEDULED</v>
      </c>
      <c r="L18" s="91">
        <v>45078</v>
      </c>
      <c r="M18" s="79" t="s">
        <v>336</v>
      </c>
      <c r="N18" s="77" t="str">
        <f t="shared" si="0"/>
        <v>ALL SAINTS PHARM &amp; ALLIED PROD. INT’L LTD.</v>
      </c>
    </row>
    <row r="19" spans="1:14" ht="28.15">
      <c r="A19" s="46">
        <v>17</v>
      </c>
      <c r="B19" s="15" t="s">
        <v>337</v>
      </c>
      <c r="C19" s="24" t="s">
        <v>338</v>
      </c>
      <c r="D19" s="17" t="s">
        <v>339</v>
      </c>
      <c r="E19" s="15" t="s">
        <v>18</v>
      </c>
      <c r="F19" s="18" t="s">
        <v>340</v>
      </c>
      <c r="G19" s="28" t="s">
        <v>20</v>
      </c>
      <c r="H19" s="28" t="s">
        <v>317</v>
      </c>
      <c r="I19" s="19" t="s">
        <v>28</v>
      </c>
      <c r="J19" s="21" t="s">
        <v>29</v>
      </c>
      <c r="K19" s="21" t="str">
        <f t="shared" si="1"/>
        <v>REMINDER LETTER SHOULD BE SENT</v>
      </c>
      <c r="L19" s="91">
        <v>45078</v>
      </c>
      <c r="M19" s="79" t="s">
        <v>341</v>
      </c>
      <c r="N19" s="76" t="str">
        <f t="shared" si="0"/>
        <v xml:space="preserve">ANGANS PHARMACY </v>
      </c>
    </row>
    <row r="20" spans="1:14" ht="43.15">
      <c r="A20" s="46">
        <v>18</v>
      </c>
      <c r="B20" s="15" t="s">
        <v>342</v>
      </c>
      <c r="C20" s="16" t="s">
        <v>343</v>
      </c>
      <c r="D20" s="17" t="s">
        <v>344</v>
      </c>
      <c r="E20" s="15" t="s">
        <v>18</v>
      </c>
      <c r="F20" s="18" t="s">
        <v>340</v>
      </c>
      <c r="G20" s="28" t="s">
        <v>20</v>
      </c>
      <c r="H20" s="28" t="s">
        <v>317</v>
      </c>
      <c r="I20" s="19" t="s">
        <v>28</v>
      </c>
      <c r="J20" s="21" t="s">
        <v>29</v>
      </c>
      <c r="K20" s="21" t="str">
        <f t="shared" si="1"/>
        <v>REMINDER LETTER SHOULD BE SENT</v>
      </c>
      <c r="L20" s="91">
        <v>45078</v>
      </c>
      <c r="M20" s="79" t="s">
        <v>345</v>
      </c>
      <c r="N20" s="76" t="str">
        <f t="shared" si="0"/>
        <v>CEEMMAX PHARMACEUTICALS LTD</v>
      </c>
    </row>
    <row r="21" spans="1:14" ht="43.15">
      <c r="A21" s="46">
        <v>19</v>
      </c>
      <c r="B21" s="23" t="s">
        <v>346</v>
      </c>
      <c r="C21" s="16" t="s">
        <v>347</v>
      </c>
      <c r="D21" s="17" t="s">
        <v>348</v>
      </c>
      <c r="E21" s="15" t="s">
        <v>18</v>
      </c>
      <c r="F21" s="18" t="s">
        <v>340</v>
      </c>
      <c r="G21" s="28" t="s">
        <v>20</v>
      </c>
      <c r="H21" s="28"/>
      <c r="I21" s="19" t="s">
        <v>28</v>
      </c>
      <c r="J21" s="21" t="s">
        <v>29</v>
      </c>
      <c r="K21" s="21" t="str">
        <f t="shared" si="1"/>
        <v>REMINDER LETTER SHOULD BE SENT</v>
      </c>
      <c r="L21" s="91">
        <v>45078</v>
      </c>
      <c r="M21" s="79" t="s">
        <v>349</v>
      </c>
      <c r="N21" s="76" t="str">
        <f t="shared" si="0"/>
        <v>HEPHZEBAH PHARM &amp; ALLIED PRODUCTS LTD</v>
      </c>
    </row>
    <row r="22" spans="1:14" ht="28.9">
      <c r="A22" s="46">
        <v>20</v>
      </c>
      <c r="B22" s="15" t="s">
        <v>350</v>
      </c>
      <c r="C22" s="16" t="s">
        <v>351</v>
      </c>
      <c r="D22" s="17" t="s">
        <v>352</v>
      </c>
      <c r="E22" s="15" t="s">
        <v>18</v>
      </c>
      <c r="F22" s="18" t="s">
        <v>353</v>
      </c>
      <c r="G22" s="28" t="s">
        <v>20</v>
      </c>
      <c r="H22" s="28"/>
      <c r="I22" s="19"/>
      <c r="J22" s="21" t="s">
        <v>29</v>
      </c>
      <c r="K22" s="21" t="str">
        <f t="shared" si="1"/>
        <v/>
      </c>
      <c r="L22" s="91">
        <v>45078</v>
      </c>
      <c r="M22" s="79" t="s">
        <v>354</v>
      </c>
      <c r="N22" s="76" t="str">
        <f t="shared" si="0"/>
        <v>MEEK MEDICAL CO. NIG. LTD</v>
      </c>
    </row>
    <row r="23" spans="1:14" ht="42">
      <c r="A23" s="46">
        <v>21</v>
      </c>
      <c r="B23" s="15" t="s">
        <v>355</v>
      </c>
      <c r="C23" s="16" t="s">
        <v>356</v>
      </c>
      <c r="D23" s="17" t="s">
        <v>357</v>
      </c>
      <c r="E23" s="15" t="s">
        <v>18</v>
      </c>
      <c r="F23" s="18" t="s">
        <v>358</v>
      </c>
      <c r="G23" s="19" t="s">
        <v>279</v>
      </c>
      <c r="H23" s="28" t="s">
        <v>317</v>
      </c>
      <c r="I23" s="19" t="s">
        <v>21</v>
      </c>
      <c r="J23" s="21" t="s">
        <v>29</v>
      </c>
      <c r="K23" s="21" t="str">
        <f t="shared" si="1"/>
        <v>CAPA VERIFICATION SHOULD BE SCHEDULED</v>
      </c>
      <c r="L23" s="92">
        <v>44896</v>
      </c>
      <c r="M23" s="79" t="s">
        <v>359</v>
      </c>
      <c r="N23" s="76" t="str">
        <f t="shared" si="0"/>
        <v>B-EMMANUEL PHARMACY</v>
      </c>
    </row>
    <row r="24" spans="1:14" ht="43.15">
      <c r="A24" s="46">
        <v>22</v>
      </c>
      <c r="B24" s="15" t="s">
        <v>360</v>
      </c>
      <c r="C24" s="16" t="s">
        <v>361</v>
      </c>
      <c r="D24" s="17" t="s">
        <v>362</v>
      </c>
      <c r="E24" s="15" t="s">
        <v>18</v>
      </c>
      <c r="F24" s="18" t="s">
        <v>358</v>
      </c>
      <c r="G24" s="19" t="s">
        <v>279</v>
      </c>
      <c r="H24" s="28" t="s">
        <v>317</v>
      </c>
      <c r="I24" s="19" t="s">
        <v>28</v>
      </c>
      <c r="J24" s="21" t="s">
        <v>29</v>
      </c>
      <c r="K24" s="21" t="str">
        <f t="shared" si="1"/>
        <v>REMINDER LETTER SHOULD BE SENT</v>
      </c>
      <c r="L24" s="49"/>
      <c r="M24" s="74" t="s">
        <v>363</v>
      </c>
      <c r="N24" s="76" t="str">
        <f t="shared" si="0"/>
        <v>KRISPHINA PHARMACEUTICAL LTD</v>
      </c>
    </row>
    <row r="25" spans="1:14" ht="42">
      <c r="A25" s="46">
        <v>23</v>
      </c>
      <c r="B25" s="15" t="s">
        <v>364</v>
      </c>
      <c r="C25" s="16" t="s">
        <v>365</v>
      </c>
      <c r="D25" s="17" t="s">
        <v>366</v>
      </c>
      <c r="E25" s="15" t="s">
        <v>18</v>
      </c>
      <c r="F25" s="18" t="s">
        <v>358</v>
      </c>
      <c r="G25" s="19" t="s">
        <v>20</v>
      </c>
      <c r="H25" s="19" t="s">
        <v>323</v>
      </c>
      <c r="I25" s="19" t="s">
        <v>28</v>
      </c>
      <c r="J25" s="21" t="s">
        <v>29</v>
      </c>
      <c r="K25" s="21" t="str">
        <f t="shared" si="1"/>
        <v>REMINDER LETTER SHOULD BE SENT</v>
      </c>
      <c r="L25" s="91">
        <v>45078</v>
      </c>
      <c r="M25" s="79" t="s">
        <v>367</v>
      </c>
      <c r="N25" s="76" t="str">
        <f t="shared" si="0"/>
        <v>C.U. PEDRO PHARM. NIG. LTD</v>
      </c>
    </row>
    <row r="26" spans="1:14" ht="28.9">
      <c r="A26" s="46">
        <v>24</v>
      </c>
      <c r="B26" s="15" t="s">
        <v>368</v>
      </c>
      <c r="C26" s="16" t="s">
        <v>369</v>
      </c>
      <c r="D26" s="17" t="s">
        <v>370</v>
      </c>
      <c r="E26" s="15" t="s">
        <v>18</v>
      </c>
      <c r="F26" s="18" t="s">
        <v>358</v>
      </c>
      <c r="G26" s="28" t="s">
        <v>20</v>
      </c>
      <c r="H26" s="28" t="s">
        <v>323</v>
      </c>
      <c r="I26" s="19" t="s">
        <v>28</v>
      </c>
      <c r="J26" s="21" t="s">
        <v>29</v>
      </c>
      <c r="K26" s="21" t="str">
        <f t="shared" si="1"/>
        <v>REMINDER LETTER SHOULD BE SENT</v>
      </c>
      <c r="L26" s="91">
        <v>45078</v>
      </c>
      <c r="M26" s="79" t="s">
        <v>371</v>
      </c>
      <c r="N26" s="76" t="str">
        <f t="shared" si="0"/>
        <v>JUDE THADDY PHARMACY</v>
      </c>
    </row>
    <row r="27" spans="1:14" ht="43.15">
      <c r="A27" s="46">
        <v>25</v>
      </c>
      <c r="B27" s="23" t="s">
        <v>372</v>
      </c>
      <c r="C27" s="16" t="s">
        <v>373</v>
      </c>
      <c r="D27" s="17" t="s">
        <v>374</v>
      </c>
      <c r="E27" s="15" t="s">
        <v>18</v>
      </c>
      <c r="F27" s="18" t="s">
        <v>375</v>
      </c>
      <c r="G27" s="19" t="s">
        <v>279</v>
      </c>
      <c r="H27" s="28" t="s">
        <v>317</v>
      </c>
      <c r="I27" s="19" t="s">
        <v>28</v>
      </c>
      <c r="J27" s="21" t="s">
        <v>29</v>
      </c>
      <c r="K27" s="21" t="str">
        <f t="shared" si="1"/>
        <v>REMINDER LETTER SHOULD BE SENT</v>
      </c>
      <c r="L27" s="91">
        <v>44896</v>
      </c>
      <c r="M27" s="79" t="s">
        <v>376</v>
      </c>
      <c r="N27" s="76" t="str">
        <f t="shared" si="0"/>
        <v>FRANPHINO PHARMACEUTICAL NIG. LTD</v>
      </c>
    </row>
    <row r="28" spans="1:14" ht="42">
      <c r="A28" s="46">
        <v>26</v>
      </c>
      <c r="B28" s="15" t="s">
        <v>377</v>
      </c>
      <c r="C28" s="16" t="s">
        <v>378</v>
      </c>
      <c r="D28" s="17" t="s">
        <v>379</v>
      </c>
      <c r="E28" s="15" t="s">
        <v>18</v>
      </c>
      <c r="F28" s="18" t="s">
        <v>375</v>
      </c>
      <c r="G28" s="19" t="s">
        <v>279</v>
      </c>
      <c r="H28" s="19" t="s">
        <v>323</v>
      </c>
      <c r="I28" s="19" t="s">
        <v>21</v>
      </c>
      <c r="J28" s="21" t="s">
        <v>380</v>
      </c>
      <c r="K28" s="21" t="str">
        <f t="shared" si="1"/>
        <v>CAPA VERIFICATION SHOULD BE SCHEDULED</v>
      </c>
      <c r="L28" s="91">
        <v>44896</v>
      </c>
      <c r="M28" s="79" t="s">
        <v>381</v>
      </c>
      <c r="N28" s="76" t="str">
        <f t="shared" si="0"/>
        <v>CHIDO PHARMACY</v>
      </c>
    </row>
    <row r="29" spans="1:14" ht="28.9">
      <c r="A29" s="46">
        <v>27</v>
      </c>
      <c r="B29" s="15" t="s">
        <v>382</v>
      </c>
      <c r="C29" s="16" t="s">
        <v>383</v>
      </c>
      <c r="D29" s="22" t="s">
        <v>384</v>
      </c>
      <c r="E29" s="15" t="s">
        <v>18</v>
      </c>
      <c r="F29" s="18" t="s">
        <v>375</v>
      </c>
      <c r="G29" s="28" t="s">
        <v>279</v>
      </c>
      <c r="H29" s="28" t="s">
        <v>323</v>
      </c>
      <c r="I29" s="19" t="s">
        <v>28</v>
      </c>
      <c r="J29" s="21" t="s">
        <v>29</v>
      </c>
      <c r="K29" s="21" t="str">
        <f t="shared" si="1"/>
        <v>REMINDER LETTER SHOULD BE SENT</v>
      </c>
      <c r="L29" s="91">
        <v>44896</v>
      </c>
      <c r="M29" s="79" t="s">
        <v>385</v>
      </c>
      <c r="N29" s="76" t="str">
        <f t="shared" si="0"/>
        <v>DARUCHI PRODUCTS LTD</v>
      </c>
    </row>
    <row r="30" spans="1:14" ht="42">
      <c r="A30" s="46">
        <v>28</v>
      </c>
      <c r="B30" s="29" t="s">
        <v>386</v>
      </c>
      <c r="C30" s="30" t="s">
        <v>387</v>
      </c>
      <c r="D30" s="17" t="s">
        <v>388</v>
      </c>
      <c r="E30" s="15" t="s">
        <v>18</v>
      </c>
      <c r="F30" s="31" t="s">
        <v>389</v>
      </c>
      <c r="G30" s="19" t="s">
        <v>20</v>
      </c>
      <c r="H30" s="19" t="s">
        <v>390</v>
      </c>
      <c r="I30" s="19" t="s">
        <v>21</v>
      </c>
      <c r="J30" s="32" t="s">
        <v>391</v>
      </c>
      <c r="K30" s="21" t="str">
        <f t="shared" si="1"/>
        <v>CAPA VERIFICATION SHOULD BE SCHEDULED</v>
      </c>
      <c r="L30" s="91">
        <v>45170</v>
      </c>
      <c r="M30" s="79" t="s">
        <v>392</v>
      </c>
      <c r="N30" s="78" t="str">
        <f t="shared" si="0"/>
        <v>SABIZ NIG. LTD</v>
      </c>
    </row>
    <row r="31" spans="1:14" ht="28.9">
      <c r="A31" s="46">
        <v>29</v>
      </c>
      <c r="B31" s="29" t="s">
        <v>393</v>
      </c>
      <c r="C31" s="30" t="s">
        <v>394</v>
      </c>
      <c r="D31" s="17" t="s">
        <v>395</v>
      </c>
      <c r="E31" s="15" t="s">
        <v>18</v>
      </c>
      <c r="F31" s="31" t="s">
        <v>389</v>
      </c>
      <c r="G31" s="19" t="s">
        <v>279</v>
      </c>
      <c r="H31" s="19" t="s">
        <v>390</v>
      </c>
      <c r="I31" s="19" t="s">
        <v>28</v>
      </c>
      <c r="J31" s="21" t="s">
        <v>29</v>
      </c>
      <c r="K31" s="21" t="str">
        <f t="shared" si="1"/>
        <v>REMINDER LETTER SHOULD BE SENT</v>
      </c>
      <c r="L31" s="91">
        <v>44986</v>
      </c>
      <c r="M31" s="79" t="s">
        <v>396</v>
      </c>
      <c r="N31" s="76" t="str">
        <f t="shared" si="0"/>
        <v>FENOMAS PHARM. NIG. LTD</v>
      </c>
    </row>
    <row r="32" spans="1:14" ht="42">
      <c r="A32" s="46">
        <v>30</v>
      </c>
      <c r="B32" s="29" t="s">
        <v>397</v>
      </c>
      <c r="C32" s="21" t="s">
        <v>398</v>
      </c>
      <c r="D32" s="17" t="s">
        <v>399</v>
      </c>
      <c r="E32" s="15" t="s">
        <v>18</v>
      </c>
      <c r="F32" s="31" t="s">
        <v>389</v>
      </c>
      <c r="G32" s="19" t="s">
        <v>279</v>
      </c>
      <c r="H32" s="19" t="s">
        <v>390</v>
      </c>
      <c r="I32" s="19" t="s">
        <v>21</v>
      </c>
      <c r="J32" s="21" t="s">
        <v>400</v>
      </c>
      <c r="K32" s="21" t="str">
        <f t="shared" si="1"/>
        <v>CAPA VERIFICATION SHOULD BE SCHEDULED</v>
      </c>
      <c r="L32" s="91">
        <v>44986</v>
      </c>
      <c r="M32" s="79" t="s">
        <v>401</v>
      </c>
      <c r="N32" s="76" t="str">
        <f t="shared" si="0"/>
        <v>U-N PHARMA SOLUTION LTD</v>
      </c>
    </row>
    <row r="33" spans="1:14" ht="43.15">
      <c r="A33" s="46">
        <v>31</v>
      </c>
      <c r="B33" s="29" t="s">
        <v>402</v>
      </c>
      <c r="C33" s="30" t="s">
        <v>403</v>
      </c>
      <c r="D33" s="33" t="s">
        <v>404</v>
      </c>
      <c r="E33" s="15" t="s">
        <v>18</v>
      </c>
      <c r="F33" s="31" t="s">
        <v>389</v>
      </c>
      <c r="G33" s="19" t="s">
        <v>279</v>
      </c>
      <c r="H33" s="19" t="s">
        <v>390</v>
      </c>
      <c r="I33" s="19" t="s">
        <v>28</v>
      </c>
      <c r="J33" s="21" t="s">
        <v>29</v>
      </c>
      <c r="K33" s="21" t="str">
        <f t="shared" si="1"/>
        <v>REMINDER LETTER SHOULD BE SENT</v>
      </c>
      <c r="L33" s="91">
        <v>44986</v>
      </c>
      <c r="M33" s="79" t="s">
        <v>405</v>
      </c>
      <c r="N33" s="76" t="str">
        <f t="shared" si="0"/>
        <v>MULTICHARIS PHARM. &amp; CHEM. CO. LTD</v>
      </c>
    </row>
    <row r="34" spans="1:14" ht="28.9">
      <c r="A34" s="46">
        <v>32</v>
      </c>
      <c r="B34" s="29" t="s">
        <v>406</v>
      </c>
      <c r="C34" s="30" t="s">
        <v>407</v>
      </c>
      <c r="D34" s="18" t="s">
        <v>408</v>
      </c>
      <c r="E34" s="15" t="s">
        <v>18</v>
      </c>
      <c r="F34" s="31" t="s">
        <v>389</v>
      </c>
      <c r="G34" s="19"/>
      <c r="H34" s="19"/>
      <c r="I34" s="19"/>
      <c r="J34" s="21"/>
      <c r="K34" s="21" t="s">
        <v>409</v>
      </c>
      <c r="L34" s="49"/>
      <c r="M34" s="74" t="s">
        <v>363</v>
      </c>
      <c r="N34" s="76" t="str">
        <f t="shared" si="0"/>
        <v>ANTHILL INVESTMENTS LTD.</v>
      </c>
    </row>
    <row r="35" spans="1:14" ht="42">
      <c r="A35" s="46">
        <v>33</v>
      </c>
      <c r="B35" s="29" t="s">
        <v>410</v>
      </c>
      <c r="C35" s="30" t="s">
        <v>411</v>
      </c>
      <c r="D35" s="17" t="s">
        <v>412</v>
      </c>
      <c r="E35" s="15" t="s">
        <v>18</v>
      </c>
      <c r="F35" s="31" t="s">
        <v>389</v>
      </c>
      <c r="G35" s="19" t="s">
        <v>279</v>
      </c>
      <c r="H35" s="19" t="s">
        <v>390</v>
      </c>
      <c r="I35" s="19" t="s">
        <v>21</v>
      </c>
      <c r="J35" s="21" t="s">
        <v>413</v>
      </c>
      <c r="K35" s="21" t="str">
        <f t="shared" ref="K35:K57" si="2">IF(I35="YES","CAPA VERIFICATION SHOULD BE SCHEDULED",IF(I35="NO","REMINDER LETTER SHOULD BE SENT",""))</f>
        <v>CAPA VERIFICATION SHOULD BE SCHEDULED</v>
      </c>
      <c r="L35" s="91">
        <v>44986</v>
      </c>
      <c r="M35" s="74" t="s">
        <v>414</v>
      </c>
      <c r="N35" s="76" t="str">
        <f t="shared" ref="N35:N60" si="3">IF(M35="","",HYPERLINK(M35,B35))</f>
        <v>A.F. UCHENNA PHARMACY LIMITED</v>
      </c>
    </row>
    <row r="36" spans="1:14" ht="28.9">
      <c r="A36" s="46">
        <v>34</v>
      </c>
      <c r="B36" s="29" t="s">
        <v>415</v>
      </c>
      <c r="C36" s="30" t="s">
        <v>416</v>
      </c>
      <c r="D36" s="34" t="s">
        <v>417</v>
      </c>
      <c r="E36" s="15" t="s">
        <v>18</v>
      </c>
      <c r="F36" s="31" t="s">
        <v>389</v>
      </c>
      <c r="G36" s="19" t="s">
        <v>298</v>
      </c>
      <c r="H36" s="19" t="s">
        <v>390</v>
      </c>
      <c r="I36" s="19" t="s">
        <v>28</v>
      </c>
      <c r="J36" s="21" t="s">
        <v>29</v>
      </c>
      <c r="K36" s="21" t="str">
        <f t="shared" si="2"/>
        <v>REMINDER LETTER SHOULD BE SENT</v>
      </c>
      <c r="L36" s="91">
        <v>45536</v>
      </c>
      <c r="M36" s="79" t="s">
        <v>418</v>
      </c>
      <c r="N36" s="76" t="str">
        <f t="shared" si="3"/>
        <v>MEEKY MOORE PHARM. LTD</v>
      </c>
    </row>
    <row r="37" spans="1:14" ht="42">
      <c r="A37" s="46">
        <v>35</v>
      </c>
      <c r="B37" s="29" t="s">
        <v>419</v>
      </c>
      <c r="C37" s="30" t="s">
        <v>420</v>
      </c>
      <c r="D37" s="34" t="s">
        <v>421</v>
      </c>
      <c r="E37" s="15" t="s">
        <v>18</v>
      </c>
      <c r="F37" s="31" t="s">
        <v>389</v>
      </c>
      <c r="G37" s="19" t="s">
        <v>279</v>
      </c>
      <c r="H37" s="19" t="s">
        <v>390</v>
      </c>
      <c r="I37" s="19" t="s">
        <v>21</v>
      </c>
      <c r="J37" s="21" t="s">
        <v>422</v>
      </c>
      <c r="K37" s="21" t="str">
        <f t="shared" si="2"/>
        <v>CAPA VERIFICATION SHOULD BE SCHEDULED</v>
      </c>
      <c r="L37" s="91">
        <v>44986</v>
      </c>
      <c r="M37" s="79" t="s">
        <v>423</v>
      </c>
      <c r="N37" s="76" t="str">
        <f t="shared" si="3"/>
        <v>BRIGHT MEX PHARM. LTD</v>
      </c>
    </row>
    <row r="38" spans="1:14" ht="43.15">
      <c r="A38" s="46">
        <v>36</v>
      </c>
      <c r="B38" s="29" t="s">
        <v>424</v>
      </c>
      <c r="C38" s="30" t="s">
        <v>425</v>
      </c>
      <c r="D38" s="22" t="s">
        <v>426</v>
      </c>
      <c r="E38" s="15" t="s">
        <v>18</v>
      </c>
      <c r="F38" s="31" t="s">
        <v>427</v>
      </c>
      <c r="G38" s="19" t="s">
        <v>279</v>
      </c>
      <c r="H38" s="19" t="s">
        <v>390</v>
      </c>
      <c r="I38" s="19" t="s">
        <v>28</v>
      </c>
      <c r="J38" s="35" t="s">
        <v>29</v>
      </c>
      <c r="K38" s="21" t="str">
        <f t="shared" si="2"/>
        <v>REMINDER LETTER SHOULD BE SENT</v>
      </c>
      <c r="L38" s="91">
        <v>44986</v>
      </c>
      <c r="M38" s="79" t="s">
        <v>428</v>
      </c>
      <c r="N38" s="76" t="str">
        <f t="shared" si="3"/>
        <v>JTL PHARMACEUTICAL CO. LTD</v>
      </c>
    </row>
    <row r="39" spans="1:14" ht="42">
      <c r="A39" s="46">
        <v>37</v>
      </c>
      <c r="B39" s="29" t="s">
        <v>429</v>
      </c>
      <c r="C39" s="30" t="s">
        <v>430</v>
      </c>
      <c r="D39" s="22" t="s">
        <v>431</v>
      </c>
      <c r="E39" s="15" t="s">
        <v>18</v>
      </c>
      <c r="F39" s="31" t="s">
        <v>427</v>
      </c>
      <c r="G39" s="19" t="s">
        <v>298</v>
      </c>
      <c r="H39" s="19" t="s">
        <v>390</v>
      </c>
      <c r="I39" s="19" t="s">
        <v>21</v>
      </c>
      <c r="J39" s="21" t="s">
        <v>432</v>
      </c>
      <c r="K39" s="21" t="str">
        <f t="shared" si="2"/>
        <v>CAPA VERIFICATION SHOULD BE SCHEDULED</v>
      </c>
      <c r="L39" s="91">
        <v>45536</v>
      </c>
      <c r="M39" s="79" t="s">
        <v>433</v>
      </c>
      <c r="N39" s="76" t="str">
        <f t="shared" si="3"/>
        <v>MDS PHARMA LOGISTICS</v>
      </c>
    </row>
    <row r="40" spans="1:14" ht="42">
      <c r="A40" s="46">
        <v>38</v>
      </c>
      <c r="B40" s="29" t="s">
        <v>434</v>
      </c>
      <c r="C40" s="30" t="s">
        <v>435</v>
      </c>
      <c r="D40" s="22" t="s">
        <v>436</v>
      </c>
      <c r="E40" s="15" t="s">
        <v>18</v>
      </c>
      <c r="F40" s="31" t="s">
        <v>427</v>
      </c>
      <c r="G40" s="19" t="s">
        <v>298</v>
      </c>
      <c r="H40" s="19" t="s">
        <v>390</v>
      </c>
      <c r="I40" s="19" t="s">
        <v>21</v>
      </c>
      <c r="J40" s="35" t="s">
        <v>437</v>
      </c>
      <c r="K40" s="21" t="str">
        <f t="shared" si="2"/>
        <v>CAPA VERIFICATION SHOULD BE SCHEDULED</v>
      </c>
      <c r="L40" s="91">
        <v>45536</v>
      </c>
      <c r="M40" s="79" t="s">
        <v>438</v>
      </c>
      <c r="N40" s="76" t="str">
        <f t="shared" si="3"/>
        <v>KEDOL HEALTH LTD</v>
      </c>
    </row>
    <row r="41" spans="1:14" ht="28.9">
      <c r="A41" s="46">
        <v>39</v>
      </c>
      <c r="B41" s="29" t="s">
        <v>439</v>
      </c>
      <c r="C41" s="30" t="s">
        <v>440</v>
      </c>
      <c r="D41" s="22" t="s">
        <v>441</v>
      </c>
      <c r="E41" s="15" t="s">
        <v>18</v>
      </c>
      <c r="F41" s="31" t="s">
        <v>427</v>
      </c>
      <c r="G41" s="19" t="s">
        <v>20</v>
      </c>
      <c r="H41" s="19" t="s">
        <v>390</v>
      </c>
      <c r="I41" s="19" t="s">
        <v>28</v>
      </c>
      <c r="J41" s="21" t="s">
        <v>29</v>
      </c>
      <c r="K41" s="21" t="str">
        <f t="shared" si="2"/>
        <v>REMINDER LETTER SHOULD BE SENT</v>
      </c>
      <c r="L41" s="91">
        <v>45170</v>
      </c>
      <c r="M41" s="79" t="s">
        <v>442</v>
      </c>
      <c r="N41" s="76" t="str">
        <f t="shared" si="3"/>
        <v>ALLWAYS PHARMACY &amp; STORES LTD</v>
      </c>
    </row>
    <row r="42" spans="1:14" ht="28.15">
      <c r="A42" s="46">
        <v>40</v>
      </c>
      <c r="B42" s="29" t="s">
        <v>443</v>
      </c>
      <c r="C42" s="30" t="s">
        <v>444</v>
      </c>
      <c r="D42" s="22" t="s">
        <v>445</v>
      </c>
      <c r="E42" s="15" t="s">
        <v>18</v>
      </c>
      <c r="F42" s="31" t="s">
        <v>446</v>
      </c>
      <c r="G42" s="36" t="s">
        <v>188</v>
      </c>
      <c r="H42" s="36"/>
      <c r="I42" s="19"/>
      <c r="J42" s="37" t="s">
        <v>447</v>
      </c>
      <c r="K42" s="21" t="str">
        <f t="shared" si="2"/>
        <v/>
      </c>
      <c r="L42" s="51"/>
      <c r="M42" s="75" t="s">
        <v>448</v>
      </c>
      <c r="N42" s="78" t="str">
        <f t="shared" si="3"/>
        <v>ABIROT PHARMA LTD.</v>
      </c>
    </row>
    <row r="43" spans="1:14" ht="42">
      <c r="A43" s="46">
        <v>41</v>
      </c>
      <c r="B43" s="29" t="s">
        <v>449</v>
      </c>
      <c r="C43" s="16" t="s">
        <v>450</v>
      </c>
      <c r="D43" s="22" t="s">
        <v>451</v>
      </c>
      <c r="E43" s="15" t="s">
        <v>18</v>
      </c>
      <c r="F43" s="31" t="s">
        <v>446</v>
      </c>
      <c r="G43" s="19" t="s">
        <v>279</v>
      </c>
      <c r="H43" s="54">
        <v>44899</v>
      </c>
      <c r="I43" s="19" t="s">
        <v>21</v>
      </c>
      <c r="J43" s="21" t="s">
        <v>29</v>
      </c>
      <c r="K43" s="21" t="str">
        <f t="shared" si="2"/>
        <v>CAPA VERIFICATION SHOULD BE SCHEDULED</v>
      </c>
      <c r="L43" s="91">
        <v>44986</v>
      </c>
      <c r="M43" s="89" t="s">
        <v>452</v>
      </c>
      <c r="N43" s="76" t="str">
        <f t="shared" si="3"/>
        <v>AKU-UDO PHARMACY</v>
      </c>
    </row>
    <row r="44" spans="1:14" ht="42">
      <c r="A44" s="46">
        <v>42</v>
      </c>
      <c r="B44" s="38" t="s">
        <v>453</v>
      </c>
      <c r="C44" s="30" t="s">
        <v>454</v>
      </c>
      <c r="D44" s="22" t="s">
        <v>455</v>
      </c>
      <c r="E44" s="15" t="s">
        <v>18</v>
      </c>
      <c r="F44" s="31" t="s">
        <v>446</v>
      </c>
      <c r="G44" s="19" t="s">
        <v>279</v>
      </c>
      <c r="H44" s="85">
        <v>44899</v>
      </c>
      <c r="I44" s="19" t="s">
        <v>21</v>
      </c>
      <c r="J44" s="21" t="s">
        <v>456</v>
      </c>
      <c r="K44" s="21" t="str">
        <f t="shared" si="2"/>
        <v>CAPA VERIFICATION SHOULD BE SCHEDULED</v>
      </c>
      <c r="L44" s="91">
        <v>44986</v>
      </c>
      <c r="M44" s="79" t="s">
        <v>457</v>
      </c>
      <c r="N44" s="76" t="str">
        <f t="shared" si="3"/>
        <v>CA &amp; JO COMPANY LTD</v>
      </c>
    </row>
    <row r="45" spans="1:14" ht="42">
      <c r="A45" s="46">
        <v>43</v>
      </c>
      <c r="B45" s="38" t="s">
        <v>458</v>
      </c>
      <c r="C45" s="30" t="s">
        <v>459</v>
      </c>
      <c r="D45" s="22" t="s">
        <v>460</v>
      </c>
      <c r="E45" s="15" t="s">
        <v>18</v>
      </c>
      <c r="F45" s="31" t="s">
        <v>446</v>
      </c>
      <c r="G45" s="19" t="s">
        <v>279</v>
      </c>
      <c r="H45" s="85">
        <v>44861</v>
      </c>
      <c r="I45" s="19" t="s">
        <v>21</v>
      </c>
      <c r="J45" s="21" t="s">
        <v>29</v>
      </c>
      <c r="K45" s="21" t="str">
        <f t="shared" si="2"/>
        <v>CAPA VERIFICATION SHOULD BE SCHEDULED</v>
      </c>
      <c r="L45" s="91">
        <v>44986</v>
      </c>
      <c r="M45" s="79" t="s">
        <v>461</v>
      </c>
      <c r="N45" s="76" t="str">
        <f t="shared" si="3"/>
        <v>JUDEX CHAMP PHARMACY &amp; STORES</v>
      </c>
    </row>
    <row r="46" spans="1:14" ht="42">
      <c r="A46" s="46">
        <v>44</v>
      </c>
      <c r="B46" s="38" t="s">
        <v>462</v>
      </c>
      <c r="C46" s="30" t="s">
        <v>463</v>
      </c>
      <c r="D46" s="22" t="s">
        <v>464</v>
      </c>
      <c r="E46" s="15" t="s">
        <v>18</v>
      </c>
      <c r="F46" s="31" t="s">
        <v>446</v>
      </c>
      <c r="G46" s="19" t="s">
        <v>279</v>
      </c>
      <c r="H46" s="85">
        <v>44861</v>
      </c>
      <c r="I46" s="19" t="s">
        <v>21</v>
      </c>
      <c r="J46" s="21" t="s">
        <v>263</v>
      </c>
      <c r="K46" s="21" t="str">
        <f t="shared" si="2"/>
        <v>CAPA VERIFICATION SHOULD BE SCHEDULED</v>
      </c>
      <c r="L46" s="91">
        <v>44986</v>
      </c>
      <c r="M46" s="79" t="s">
        <v>381</v>
      </c>
      <c r="N46" s="76" t="str">
        <f t="shared" si="3"/>
        <v>CHARITY NWAIZU PHARM. CO. LTD</v>
      </c>
    </row>
    <row r="47" spans="1:14" ht="42">
      <c r="A47" s="46">
        <v>45</v>
      </c>
      <c r="B47" s="38" t="s">
        <v>465</v>
      </c>
      <c r="C47" s="30" t="s">
        <v>466</v>
      </c>
      <c r="D47" s="17" t="s">
        <v>467</v>
      </c>
      <c r="E47" s="15" t="s">
        <v>18</v>
      </c>
      <c r="F47" s="31" t="s">
        <v>446</v>
      </c>
      <c r="G47" s="19" t="s">
        <v>279</v>
      </c>
      <c r="H47" s="55">
        <v>44861</v>
      </c>
      <c r="I47" s="19" t="s">
        <v>28</v>
      </c>
      <c r="J47" s="21" t="s">
        <v>29</v>
      </c>
      <c r="K47" s="21" t="str">
        <f t="shared" si="2"/>
        <v>REMINDER LETTER SHOULD BE SENT</v>
      </c>
      <c r="L47" s="91">
        <v>44986</v>
      </c>
      <c r="M47" s="79" t="s">
        <v>468</v>
      </c>
      <c r="N47" s="76" t="str">
        <f t="shared" si="3"/>
        <v>O.T.S. UNITED NIG. LTD</v>
      </c>
    </row>
    <row r="48" spans="1:14" ht="42">
      <c r="A48" s="46">
        <v>46</v>
      </c>
      <c r="B48" s="38" t="s">
        <v>469</v>
      </c>
      <c r="C48" s="30" t="s">
        <v>470</v>
      </c>
      <c r="D48" s="17" t="s">
        <v>471</v>
      </c>
      <c r="E48" s="15" t="s">
        <v>18</v>
      </c>
      <c r="F48" s="31" t="s">
        <v>472</v>
      </c>
      <c r="G48" s="19" t="s">
        <v>279</v>
      </c>
      <c r="H48" s="55">
        <v>44861</v>
      </c>
      <c r="I48" s="19" t="s">
        <v>28</v>
      </c>
      <c r="J48" s="21" t="s">
        <v>29</v>
      </c>
      <c r="K48" s="21" t="str">
        <f t="shared" si="2"/>
        <v>REMINDER LETTER SHOULD BE SENT</v>
      </c>
      <c r="L48" s="91">
        <v>44986</v>
      </c>
      <c r="M48" s="79" t="s">
        <v>473</v>
      </c>
      <c r="N48" s="76" t="str">
        <f t="shared" si="3"/>
        <v>AZU PHARMACY LTD</v>
      </c>
    </row>
    <row r="49" spans="1:14" ht="55.9">
      <c r="A49" s="46">
        <v>47</v>
      </c>
      <c r="B49" s="38" t="s">
        <v>474</v>
      </c>
      <c r="C49" s="30" t="s">
        <v>475</v>
      </c>
      <c r="D49" s="17" t="s">
        <v>476</v>
      </c>
      <c r="E49" s="15" t="s">
        <v>18</v>
      </c>
      <c r="F49" s="31" t="s">
        <v>472</v>
      </c>
      <c r="G49" s="19" t="s">
        <v>279</v>
      </c>
      <c r="H49" s="55">
        <v>44861</v>
      </c>
      <c r="I49" s="19" t="s">
        <v>28</v>
      </c>
      <c r="J49" s="21" t="s">
        <v>29</v>
      </c>
      <c r="K49" s="21" t="str">
        <f t="shared" si="2"/>
        <v>REMINDER LETTER SHOULD BE SENT</v>
      </c>
      <c r="L49" s="91">
        <v>44986</v>
      </c>
      <c r="M49" s="79" t="s">
        <v>477</v>
      </c>
      <c r="N49" s="76" t="str">
        <f t="shared" si="3"/>
        <v>ATIDAM PHARM. LTD</v>
      </c>
    </row>
    <row r="50" spans="1:14" ht="42" customHeight="1">
      <c r="A50" s="46">
        <v>48</v>
      </c>
      <c r="B50" s="38" t="s">
        <v>478</v>
      </c>
      <c r="C50" s="30" t="s">
        <v>479</v>
      </c>
      <c r="D50" s="17" t="s">
        <v>480</v>
      </c>
      <c r="E50" s="15" t="s">
        <v>18</v>
      </c>
      <c r="F50" s="31" t="s">
        <v>472</v>
      </c>
      <c r="G50" s="19" t="s">
        <v>298</v>
      </c>
      <c r="H50" s="55">
        <v>44861</v>
      </c>
      <c r="I50" s="19" t="s">
        <v>28</v>
      </c>
      <c r="J50" s="21" t="s">
        <v>29</v>
      </c>
      <c r="K50" s="21" t="str">
        <f t="shared" si="2"/>
        <v>REMINDER LETTER SHOULD BE SENT</v>
      </c>
      <c r="L50" s="91">
        <v>45536</v>
      </c>
      <c r="M50" s="79" t="s">
        <v>481</v>
      </c>
      <c r="N50" s="76" t="str">
        <f t="shared" si="3"/>
        <v>BOLUKE PHARMACY</v>
      </c>
    </row>
    <row r="51" spans="1:14" ht="55.9">
      <c r="A51" s="46">
        <v>49</v>
      </c>
      <c r="B51" s="38" t="s">
        <v>482</v>
      </c>
      <c r="C51" s="30" t="s">
        <v>483</v>
      </c>
      <c r="D51" s="22" t="s">
        <v>484</v>
      </c>
      <c r="E51" s="15" t="s">
        <v>18</v>
      </c>
      <c r="F51" s="31" t="s">
        <v>472</v>
      </c>
      <c r="G51" s="19" t="s">
        <v>298</v>
      </c>
      <c r="H51" s="55">
        <v>44861</v>
      </c>
      <c r="I51" s="19" t="s">
        <v>28</v>
      </c>
      <c r="J51" s="21" t="s">
        <v>485</v>
      </c>
      <c r="K51" s="21" t="str">
        <f t="shared" si="2"/>
        <v>REMINDER LETTER SHOULD BE SENT</v>
      </c>
      <c r="L51" s="91">
        <v>45536</v>
      </c>
      <c r="M51" s="79" t="s">
        <v>486</v>
      </c>
      <c r="N51" s="76" t="str">
        <f t="shared" si="3"/>
        <v>ONEC PHARM. &amp; CHEM. CO. LTD</v>
      </c>
    </row>
    <row r="52" spans="1:14" ht="42">
      <c r="A52" s="46">
        <v>50</v>
      </c>
      <c r="B52" s="38" t="s">
        <v>487</v>
      </c>
      <c r="C52" s="30" t="s">
        <v>488</v>
      </c>
      <c r="D52" s="22" t="s">
        <v>489</v>
      </c>
      <c r="E52" s="15" t="s">
        <v>18</v>
      </c>
      <c r="F52" s="31" t="s">
        <v>472</v>
      </c>
      <c r="G52" s="19" t="s">
        <v>279</v>
      </c>
      <c r="H52" s="55"/>
      <c r="I52" s="19"/>
      <c r="J52" s="21" t="s">
        <v>29</v>
      </c>
      <c r="K52" s="21" t="str">
        <f t="shared" si="2"/>
        <v/>
      </c>
      <c r="L52" s="91">
        <v>44986</v>
      </c>
      <c r="M52" s="79" t="s">
        <v>490</v>
      </c>
      <c r="N52" s="76" t="str">
        <f t="shared" si="3"/>
        <v>VICTORIOUS PHARMACY</v>
      </c>
    </row>
    <row r="53" spans="1:14" ht="42">
      <c r="A53" s="46">
        <v>51</v>
      </c>
      <c r="B53" s="38" t="s">
        <v>491</v>
      </c>
      <c r="C53" s="30" t="s">
        <v>492</v>
      </c>
      <c r="D53" s="34" t="s">
        <v>493</v>
      </c>
      <c r="E53" s="15" t="s">
        <v>18</v>
      </c>
      <c r="F53" s="31" t="s">
        <v>472</v>
      </c>
      <c r="G53" s="19" t="s">
        <v>279</v>
      </c>
      <c r="H53" s="55">
        <v>44861</v>
      </c>
      <c r="I53" s="19" t="s">
        <v>28</v>
      </c>
      <c r="J53" s="21" t="s">
        <v>29</v>
      </c>
      <c r="K53" s="21" t="str">
        <f t="shared" si="2"/>
        <v>REMINDER LETTER SHOULD BE SENT</v>
      </c>
      <c r="L53" s="91">
        <v>44986</v>
      </c>
      <c r="M53" s="79" t="s">
        <v>494</v>
      </c>
      <c r="N53" s="76" t="str">
        <f t="shared" si="3"/>
        <v>EZEUDO PHARMACY LTD</v>
      </c>
    </row>
    <row r="54" spans="1:14" ht="55.9">
      <c r="A54" s="46">
        <v>52</v>
      </c>
      <c r="B54" s="38" t="s">
        <v>495</v>
      </c>
      <c r="C54" s="30" t="s">
        <v>496</v>
      </c>
      <c r="D54" s="22" t="s">
        <v>497</v>
      </c>
      <c r="E54" s="15" t="s">
        <v>18</v>
      </c>
      <c r="F54" s="31" t="s">
        <v>498</v>
      </c>
      <c r="G54" s="19" t="s">
        <v>20</v>
      </c>
      <c r="H54" s="55"/>
      <c r="I54" s="19"/>
      <c r="J54" s="21" t="s">
        <v>29</v>
      </c>
      <c r="K54" s="21" t="str">
        <f t="shared" si="2"/>
        <v/>
      </c>
      <c r="L54" s="49"/>
      <c r="M54" s="79" t="s">
        <v>499</v>
      </c>
      <c r="N54" s="76" t="str">
        <f t="shared" si="3"/>
        <v>MEDITRADE NIG. LTD</v>
      </c>
    </row>
    <row r="55" spans="1:14" ht="55.5" customHeight="1">
      <c r="A55" s="46">
        <v>53</v>
      </c>
      <c r="B55" s="38" t="s">
        <v>500</v>
      </c>
      <c r="C55" s="30" t="s">
        <v>501</v>
      </c>
      <c r="D55" s="22" t="s">
        <v>502</v>
      </c>
      <c r="E55" s="15" t="s">
        <v>18</v>
      </c>
      <c r="F55" s="31" t="s">
        <v>498</v>
      </c>
      <c r="G55" s="36" t="s">
        <v>188</v>
      </c>
      <c r="H55" s="55"/>
      <c r="I55" s="19"/>
      <c r="J55" s="37" t="s">
        <v>503</v>
      </c>
      <c r="K55" s="21" t="str">
        <f t="shared" si="2"/>
        <v/>
      </c>
      <c r="L55" s="51"/>
      <c r="M55" s="74" t="s">
        <v>363</v>
      </c>
      <c r="N55" s="78" t="str">
        <f t="shared" si="3"/>
        <v>MERCED PHARM. &amp; STORES</v>
      </c>
    </row>
    <row r="56" spans="1:14" ht="57.6">
      <c r="A56" s="46">
        <v>54</v>
      </c>
      <c r="B56" s="23" t="s">
        <v>504</v>
      </c>
      <c r="C56" s="30" t="s">
        <v>505</v>
      </c>
      <c r="D56" s="22" t="s">
        <v>506</v>
      </c>
      <c r="E56" s="15" t="s">
        <v>18</v>
      </c>
      <c r="F56" s="31" t="s">
        <v>507</v>
      </c>
      <c r="G56" s="19" t="s">
        <v>298</v>
      </c>
      <c r="H56" s="55">
        <v>44861</v>
      </c>
      <c r="I56" s="19" t="s">
        <v>21</v>
      </c>
      <c r="J56" s="21" t="s">
        <v>508</v>
      </c>
      <c r="K56" s="21" t="str">
        <f t="shared" si="2"/>
        <v>CAPA VERIFICATION SHOULD BE SCHEDULED</v>
      </c>
      <c r="L56" s="91">
        <v>45536</v>
      </c>
      <c r="M56" s="79" t="s">
        <v>509</v>
      </c>
      <c r="N56" s="76" t="str">
        <f t="shared" si="3"/>
        <v>NIGERIAN AIRFORCE DRUG MANUFACTURING UNIT</v>
      </c>
    </row>
    <row r="57" spans="1:14" ht="20.45">
      <c r="A57" s="46"/>
      <c r="B57" s="80" t="s">
        <v>510</v>
      </c>
      <c r="C57" s="15"/>
      <c r="D57" s="15"/>
      <c r="E57" s="15"/>
      <c r="F57" s="15"/>
      <c r="G57" s="15"/>
      <c r="H57" s="1"/>
      <c r="I57" s="19"/>
      <c r="J57" s="15"/>
      <c r="K57" s="21" t="str">
        <f t="shared" si="2"/>
        <v/>
      </c>
      <c r="L57" s="87"/>
      <c r="M57" s="74"/>
      <c r="N57" s="77" t="str">
        <f t="shared" si="3"/>
        <v/>
      </c>
    </row>
    <row r="58" spans="1:14">
      <c r="A58" s="46"/>
      <c r="B58" s="23"/>
      <c r="C58" s="16"/>
      <c r="D58" s="22"/>
      <c r="E58" s="15"/>
      <c r="F58" s="18"/>
      <c r="G58" s="19"/>
      <c r="H58" s="86"/>
      <c r="I58" s="19"/>
      <c r="J58" s="21"/>
      <c r="K58" s="21"/>
      <c r="L58" s="49"/>
      <c r="M58" s="74"/>
      <c r="N58" s="76" t="str">
        <f t="shared" si="3"/>
        <v/>
      </c>
    </row>
    <row r="59" spans="1:14">
      <c r="A59" s="46"/>
      <c r="B59" s="15"/>
      <c r="C59" s="16"/>
      <c r="D59" s="22"/>
      <c r="E59" s="15"/>
      <c r="F59" s="18"/>
      <c r="G59" s="19"/>
      <c r="H59" s="86"/>
      <c r="I59" s="19"/>
      <c r="J59" s="21"/>
      <c r="K59" s="21"/>
      <c r="L59" s="49"/>
      <c r="M59" s="74"/>
      <c r="N59" s="76" t="str">
        <f t="shared" si="3"/>
        <v/>
      </c>
    </row>
    <row r="60" spans="1:14">
      <c r="A60" s="47"/>
      <c r="B60" s="41"/>
      <c r="C60" s="81"/>
      <c r="D60" s="82"/>
      <c r="E60" s="41"/>
      <c r="F60" s="83"/>
      <c r="G60" s="84"/>
      <c r="H60" s="84"/>
      <c r="I60" s="42"/>
      <c r="J60" s="43"/>
      <c r="K60" s="43" t="str">
        <f>IF(I60="YES","CAPA VERIFICATION SHOULD BE SCHEDULED",IF(I60="NO","REMINDER LETTER SHOULD BE SENT",""))</f>
        <v/>
      </c>
      <c r="L60" s="88"/>
      <c r="M60" s="74"/>
      <c r="N60" s="76" t="str">
        <f t="shared" si="3"/>
        <v/>
      </c>
    </row>
    <row r="61" spans="1:14">
      <c r="A61" s="1"/>
      <c r="C61" s="1"/>
      <c r="D61" s="1"/>
      <c r="E61" s="1"/>
      <c r="F61" s="1"/>
      <c r="G61" s="1"/>
      <c r="H61" s="1"/>
      <c r="I61" s="1"/>
      <c r="J61" s="1"/>
      <c r="K61" s="11"/>
      <c r="L61" s="1"/>
      <c r="N61" s="1"/>
    </row>
    <row r="62" spans="1:14">
      <c r="A62" s="1"/>
      <c r="C62" s="1"/>
      <c r="D62" s="1"/>
      <c r="E62" s="1"/>
      <c r="F62" s="1"/>
      <c r="G62" s="1"/>
      <c r="H62" s="1"/>
      <c r="I62" s="1"/>
      <c r="J62" s="1"/>
      <c r="K62" s="11"/>
      <c r="L62" s="1"/>
      <c r="N62" s="1"/>
    </row>
    <row r="63" spans="1:14">
      <c r="K63" s="13"/>
      <c r="L63"/>
    </row>
    <row r="64" spans="1:14">
      <c r="K64" s="13"/>
      <c r="L64"/>
    </row>
    <row r="65" spans="12:17">
      <c r="L65"/>
    </row>
    <row r="66" spans="12:17">
      <c r="L66"/>
    </row>
    <row r="67" spans="12:17">
      <c r="L67"/>
      <c r="Q67" t="s">
        <v>511</v>
      </c>
    </row>
  </sheetData>
  <mergeCells count="1">
    <mergeCell ref="A1:J1"/>
  </mergeCells>
  <conditionalFormatting sqref="I3:I1048576">
    <cfRule type="containsText" dxfId="92" priority="1" operator="containsText" text="NO">
      <formula>NOT(ISERROR(SEARCH("NO",I3)))</formula>
    </cfRule>
    <cfRule type="containsText" dxfId="91" priority="2" operator="containsText" text="YES">
      <formula>NOT(ISERROR(SEARCH("YES",I3)))</formula>
    </cfRule>
  </conditionalFormatting>
  <dataValidations count="3">
    <dataValidation type="list" allowBlank="1" showInputMessage="1" showErrorMessage="1" sqref="I3:I60" xr:uid="{80AE32E8-B291-4373-9016-6F500A75A43E}">
      <formula1>"YES,NO"</formula1>
    </dataValidation>
    <dataValidation type="list" allowBlank="1" showInputMessage="1" showErrorMessage="1" sqref="K3:K19 K61:K62" xr:uid="{E4C20909-C246-4677-A569-45A59810D165}">
      <formula1>"CAPA VERIFICATIO SHOULD BE SCHEDULED,REMINDER LETTER SHOULD BE SENT,MEMO SHOULD BE SENT TO PCN"</formula1>
    </dataValidation>
    <dataValidation allowBlank="1" showInputMessage="1" showErrorMessage="1" sqref="K20:K60 L1:L2 L8:L1048576" xr:uid="{3A67E1F2-DDDC-4403-BA36-D2416EA8798C}"/>
  </dataValidations>
  <hyperlinks>
    <hyperlink ref="M42" r:id="rId1" xr:uid="{1A08713F-131C-449B-8A2C-F03621D749D1}"/>
    <hyperlink ref="M43" r:id="rId2" xr:uid="{D35E38D3-6D92-43CC-8A80-EC0A4B2118B4}"/>
    <hyperlink ref="M24" r:id="rId3" xr:uid="{C972FE1F-1CAD-4571-A8DC-0484E6312ECD}"/>
    <hyperlink ref="M34" r:id="rId4" xr:uid="{8129915B-C260-464C-970F-F3BD706835B2}"/>
    <hyperlink ref="M55" r:id="rId5" xr:uid="{1FEE239D-9FCA-4284-942D-FD8CCD39C05B}"/>
    <hyperlink ref="M35" r:id="rId6" xr:uid="{A578066C-7C59-4ECA-BD16-DD2E8E3CDAC7}"/>
  </hyperlinks>
  <pageMargins left="0.7" right="0.7" top="0.75" bottom="0.75" header="0.3" footer="0.3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9"/>
  <sheetViews>
    <sheetView topLeftCell="A83" zoomScale="85" zoomScaleNormal="85" workbookViewId="0">
      <selection activeCell="B82" sqref="B82"/>
    </sheetView>
  </sheetViews>
  <sheetFormatPr defaultColWidth="8.85546875" defaultRowHeight="14.45"/>
  <cols>
    <col min="1" max="1" width="7" customWidth="1"/>
    <col min="2" max="2" width="36.140625" style="1" customWidth="1"/>
    <col min="3" max="3" width="25.140625" customWidth="1"/>
    <col min="4" max="4" width="15" customWidth="1"/>
    <col min="5" max="5" width="18.42578125" customWidth="1"/>
    <col min="6" max="6" width="20.7109375" customWidth="1"/>
    <col min="7" max="7" width="17" customWidth="1"/>
    <col min="8" max="9" width="19.28515625" customWidth="1"/>
    <col min="10" max="10" width="17.28515625" customWidth="1"/>
    <col min="11" max="11" width="21.28515625" style="8" customWidth="1"/>
    <col min="12" max="12" width="17.5703125" customWidth="1"/>
    <col min="13" max="13" width="26.85546875" customWidth="1"/>
    <col min="14" max="14" width="38.42578125" customWidth="1"/>
  </cols>
  <sheetData>
    <row r="1" spans="1:14" ht="17.45">
      <c r="A1" s="222" t="s">
        <v>512</v>
      </c>
      <c r="B1" s="222"/>
      <c r="C1" s="222"/>
      <c r="D1" s="222"/>
      <c r="E1" s="222"/>
      <c r="F1" s="222"/>
      <c r="G1" s="222"/>
      <c r="H1" s="222"/>
      <c r="I1" s="222"/>
      <c r="J1" s="222"/>
    </row>
    <row r="2" spans="1:14" ht="31.15">
      <c r="A2" s="14" t="s">
        <v>1</v>
      </c>
      <c r="B2" s="4" t="s">
        <v>2</v>
      </c>
      <c r="C2" s="4" t="s">
        <v>3</v>
      </c>
      <c r="D2" s="3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3" t="s">
        <v>11</v>
      </c>
      <c r="L2" s="53" t="s">
        <v>12</v>
      </c>
      <c r="M2" s="90" t="s">
        <v>513</v>
      </c>
      <c r="N2" s="90" t="s">
        <v>14</v>
      </c>
    </row>
    <row r="3" spans="1:14" ht="31.5" customHeight="1">
      <c r="A3" s="94">
        <v>1</v>
      </c>
      <c r="B3" s="95" t="s">
        <v>514</v>
      </c>
      <c r="C3" s="95" t="s">
        <v>515</v>
      </c>
      <c r="D3" s="96" t="s">
        <v>516</v>
      </c>
      <c r="E3" s="5" t="s">
        <v>18</v>
      </c>
      <c r="F3" s="97">
        <v>44970</v>
      </c>
      <c r="G3" s="95" t="s">
        <v>298</v>
      </c>
      <c r="H3" s="95" t="s">
        <v>517</v>
      </c>
      <c r="I3" s="95" t="s">
        <v>21</v>
      </c>
      <c r="J3" s="98" t="s">
        <v>518</v>
      </c>
      <c r="K3" s="8" t="s">
        <v>519</v>
      </c>
      <c r="L3" s="56">
        <v>45689</v>
      </c>
      <c r="M3" s="79" t="s">
        <v>520</v>
      </c>
      <c r="N3" s="99" t="str">
        <f t="shared" ref="N3:N34" si="0">IF(M3="","",HYPERLINK(M3,B3))</f>
        <v>MECURE INDUSTRIES LTD</v>
      </c>
    </row>
    <row r="4" spans="1:14" ht="30.75" customHeight="1">
      <c r="A4" s="94">
        <v>2</v>
      </c>
      <c r="B4" s="95" t="s">
        <v>521</v>
      </c>
      <c r="C4" s="95" t="s">
        <v>522</v>
      </c>
      <c r="D4" s="96" t="s">
        <v>523</v>
      </c>
      <c r="E4" s="5" t="s">
        <v>18</v>
      </c>
      <c r="F4" s="97">
        <v>44970</v>
      </c>
      <c r="G4" s="95" t="s">
        <v>298</v>
      </c>
      <c r="H4" s="95" t="s">
        <v>517</v>
      </c>
      <c r="I4" s="95" t="s">
        <v>21</v>
      </c>
      <c r="J4" s="98" t="s">
        <v>518</v>
      </c>
      <c r="K4" s="8" t="str">
        <f t="shared" ref="K4:K43" si="1">IF(I4="YES","CAPA VERIFICATION SHOULD BE SCHEDULED",IF(I4="NO","REMINDER LETTER SHOULD BE SENT",""))</f>
        <v>CAPA VERIFICATION SHOULD BE SCHEDULED</v>
      </c>
      <c r="L4" s="56">
        <v>45689</v>
      </c>
      <c r="M4" s="79" t="s">
        <v>524</v>
      </c>
      <c r="N4" s="99" t="str">
        <f t="shared" si="0"/>
        <v>GENEITH PHARMACEUTICALS</v>
      </c>
    </row>
    <row r="5" spans="1:14" ht="31.15">
      <c r="A5" s="94">
        <v>3</v>
      </c>
      <c r="B5" s="95" t="s">
        <v>525</v>
      </c>
      <c r="C5" s="95" t="s">
        <v>526</v>
      </c>
      <c r="D5" s="96" t="s">
        <v>527</v>
      </c>
      <c r="E5" s="5" t="s">
        <v>18</v>
      </c>
      <c r="F5" s="97">
        <v>44970</v>
      </c>
      <c r="G5" s="95" t="s">
        <v>20</v>
      </c>
      <c r="H5" s="95" t="s">
        <v>528</v>
      </c>
      <c r="I5" s="95" t="s">
        <v>21</v>
      </c>
      <c r="J5" s="98" t="s">
        <v>518</v>
      </c>
      <c r="K5" s="8" t="str">
        <f t="shared" si="1"/>
        <v>CAPA VERIFICATION SHOULD BE SCHEDULED</v>
      </c>
      <c r="L5" s="56">
        <v>45323</v>
      </c>
      <c r="M5" s="79" t="s">
        <v>529</v>
      </c>
      <c r="N5" s="99" t="str">
        <f t="shared" si="0"/>
        <v>ONWUADI &amp; SONS LTD</v>
      </c>
    </row>
    <row r="6" spans="1:14" ht="31.5" customHeight="1">
      <c r="A6" s="94">
        <v>4</v>
      </c>
      <c r="B6" s="95" t="s">
        <v>530</v>
      </c>
      <c r="C6" s="95" t="s">
        <v>531</v>
      </c>
      <c r="D6" s="96" t="s">
        <v>532</v>
      </c>
      <c r="E6" s="5" t="s">
        <v>18</v>
      </c>
      <c r="F6" s="97">
        <v>44970</v>
      </c>
      <c r="G6" s="95" t="s">
        <v>20</v>
      </c>
      <c r="H6" s="95" t="s">
        <v>528</v>
      </c>
      <c r="I6" s="95" t="s">
        <v>28</v>
      </c>
      <c r="J6" s="100" t="s">
        <v>533</v>
      </c>
      <c r="K6" s="8" t="str">
        <f t="shared" si="1"/>
        <v>REMINDER LETTER SHOULD BE SENT</v>
      </c>
      <c r="L6" s="56">
        <v>45323</v>
      </c>
      <c r="M6" s="79" t="s">
        <v>534</v>
      </c>
      <c r="N6" s="99" t="str">
        <f t="shared" si="0"/>
        <v>MODDY DRUG CO. LTD</v>
      </c>
    </row>
    <row r="7" spans="1:14" ht="29.25" customHeight="1">
      <c r="A7" s="94">
        <v>5</v>
      </c>
      <c r="B7" s="100" t="s">
        <v>535</v>
      </c>
      <c r="C7" s="2" t="s">
        <v>536</v>
      </c>
      <c r="D7" s="101" t="s">
        <v>537</v>
      </c>
      <c r="E7" s="5" t="s">
        <v>18</v>
      </c>
      <c r="F7" s="100" t="s">
        <v>538</v>
      </c>
      <c r="G7" s="100" t="s">
        <v>20</v>
      </c>
      <c r="H7" s="100" t="s">
        <v>517</v>
      </c>
      <c r="I7" s="95" t="s">
        <v>28</v>
      </c>
      <c r="J7" s="100" t="s">
        <v>533</v>
      </c>
      <c r="K7" s="8" t="str">
        <f t="shared" si="1"/>
        <v>REMINDER LETTER SHOULD BE SENT</v>
      </c>
      <c r="L7" s="56">
        <v>45323</v>
      </c>
      <c r="M7" s="79" t="s">
        <v>539</v>
      </c>
      <c r="N7" s="99" t="str">
        <f t="shared" si="0"/>
        <v xml:space="preserve">JUMENCO PHARMACEUTICAL </v>
      </c>
    </row>
    <row r="8" spans="1:14" ht="33" customHeight="1">
      <c r="A8" s="94">
        <v>6</v>
      </c>
      <c r="B8" s="100" t="s">
        <v>540</v>
      </c>
      <c r="C8" s="100" t="s">
        <v>541</v>
      </c>
      <c r="D8" s="101" t="s">
        <v>542</v>
      </c>
      <c r="E8" s="5" t="s">
        <v>18</v>
      </c>
      <c r="F8" s="100" t="s">
        <v>538</v>
      </c>
      <c r="G8" s="100" t="s">
        <v>20</v>
      </c>
      <c r="H8" s="100" t="s">
        <v>528</v>
      </c>
      <c r="I8" s="95" t="s">
        <v>28</v>
      </c>
      <c r="J8" s="100" t="s">
        <v>533</v>
      </c>
      <c r="K8" s="8" t="str">
        <f t="shared" si="1"/>
        <v>REMINDER LETTER SHOULD BE SENT</v>
      </c>
      <c r="L8" s="56">
        <v>45323</v>
      </c>
      <c r="M8" s="79" t="s">
        <v>543</v>
      </c>
      <c r="N8" s="99" t="str">
        <f t="shared" si="0"/>
        <v>ANOKEM PHARMACEUTICALS</v>
      </c>
    </row>
    <row r="9" spans="1:14" ht="34.5" customHeight="1">
      <c r="A9" s="94">
        <v>7</v>
      </c>
      <c r="B9" s="100" t="s">
        <v>544</v>
      </c>
      <c r="C9" s="100" t="s">
        <v>545</v>
      </c>
      <c r="D9" s="101" t="s">
        <v>546</v>
      </c>
      <c r="E9" s="5" t="s">
        <v>18</v>
      </c>
      <c r="F9" s="100" t="s">
        <v>538</v>
      </c>
      <c r="G9" s="95" t="s">
        <v>298</v>
      </c>
      <c r="H9" s="95" t="s">
        <v>517</v>
      </c>
      <c r="I9" s="95" t="s">
        <v>21</v>
      </c>
      <c r="J9" s="100" t="s">
        <v>518</v>
      </c>
      <c r="K9" s="8" t="str">
        <f t="shared" si="1"/>
        <v>CAPA VERIFICATION SHOULD BE SCHEDULED</v>
      </c>
      <c r="L9" s="56">
        <v>45689</v>
      </c>
      <c r="M9" s="79" t="s">
        <v>547</v>
      </c>
      <c r="N9" s="99" t="str">
        <f t="shared" si="0"/>
        <v>RALPHONES PHARMACEUTICAL</v>
      </c>
    </row>
    <row r="10" spans="1:14" ht="31.5" customHeight="1">
      <c r="A10" s="94">
        <v>8</v>
      </c>
      <c r="B10" s="100" t="s">
        <v>548</v>
      </c>
      <c r="C10" s="100" t="s">
        <v>549</v>
      </c>
      <c r="D10" s="100" t="s">
        <v>550</v>
      </c>
      <c r="E10" s="5" t="s">
        <v>18</v>
      </c>
      <c r="F10" s="100" t="s">
        <v>538</v>
      </c>
      <c r="G10" s="95" t="s">
        <v>20</v>
      </c>
      <c r="H10" s="95" t="s">
        <v>528</v>
      </c>
      <c r="I10" s="95" t="s">
        <v>28</v>
      </c>
      <c r="J10" s="100" t="s">
        <v>533</v>
      </c>
      <c r="K10" s="8" t="str">
        <f t="shared" si="1"/>
        <v>REMINDER LETTER SHOULD BE SENT</v>
      </c>
      <c r="L10" s="56">
        <v>45323</v>
      </c>
      <c r="M10" s="79" t="s">
        <v>551</v>
      </c>
      <c r="N10" s="99" t="str">
        <f t="shared" si="0"/>
        <v>LUGZ PHARMACEUTICAL</v>
      </c>
    </row>
    <row r="11" spans="1:14" ht="30.75" customHeight="1">
      <c r="A11" s="94">
        <v>9</v>
      </c>
      <c r="B11" s="100" t="s">
        <v>552</v>
      </c>
      <c r="C11" s="100" t="s">
        <v>553</v>
      </c>
      <c r="D11" s="101" t="s">
        <v>554</v>
      </c>
      <c r="E11" s="5" t="s">
        <v>18</v>
      </c>
      <c r="F11" s="100" t="s">
        <v>538</v>
      </c>
      <c r="G11" s="100" t="s">
        <v>555</v>
      </c>
      <c r="H11" s="100" t="s">
        <v>556</v>
      </c>
      <c r="I11" s="95"/>
      <c r="J11" s="100" t="s">
        <v>533</v>
      </c>
      <c r="K11" s="8" t="str">
        <f t="shared" si="1"/>
        <v/>
      </c>
      <c r="L11" s="56">
        <v>44774</v>
      </c>
      <c r="N11" s="99" t="str">
        <f t="shared" si="0"/>
        <v/>
      </c>
    </row>
    <row r="12" spans="1:14" ht="31.5" customHeight="1">
      <c r="A12" s="94">
        <v>10</v>
      </c>
      <c r="B12" s="100" t="s">
        <v>557</v>
      </c>
      <c r="C12" s="100" t="s">
        <v>558</v>
      </c>
      <c r="D12" s="96" t="s">
        <v>559</v>
      </c>
      <c r="E12" s="5" t="s">
        <v>18</v>
      </c>
      <c r="F12" s="100" t="s">
        <v>560</v>
      </c>
      <c r="G12" s="100" t="s">
        <v>20</v>
      </c>
      <c r="H12" s="100" t="s">
        <v>528</v>
      </c>
      <c r="I12" s="95" t="s">
        <v>21</v>
      </c>
      <c r="J12" s="100" t="s">
        <v>518</v>
      </c>
      <c r="K12" s="8" t="str">
        <f t="shared" si="1"/>
        <v>CAPA VERIFICATION SHOULD BE SCHEDULED</v>
      </c>
      <c r="L12" s="56">
        <v>45323</v>
      </c>
      <c r="M12" s="89" t="s">
        <v>561</v>
      </c>
      <c r="N12" s="99" t="str">
        <f t="shared" si="0"/>
        <v>GOODCARE PHARMACEUTICAL</v>
      </c>
    </row>
    <row r="13" spans="1:14" ht="27" customHeight="1">
      <c r="A13" s="94">
        <v>11</v>
      </c>
      <c r="B13" s="100" t="s">
        <v>562</v>
      </c>
      <c r="C13" s="100" t="s">
        <v>563</v>
      </c>
      <c r="D13" s="101" t="s">
        <v>564</v>
      </c>
      <c r="E13" s="5" t="s">
        <v>18</v>
      </c>
      <c r="F13" s="100" t="s">
        <v>560</v>
      </c>
      <c r="G13" s="100" t="s">
        <v>555</v>
      </c>
      <c r="H13" s="100" t="s">
        <v>528</v>
      </c>
      <c r="I13" s="95" t="s">
        <v>28</v>
      </c>
      <c r="J13" s="100" t="s">
        <v>533</v>
      </c>
      <c r="K13" s="8" t="str">
        <f t="shared" si="1"/>
        <v>REMINDER LETTER SHOULD BE SENT</v>
      </c>
      <c r="L13" s="56">
        <v>44774</v>
      </c>
      <c r="M13" s="79" t="s">
        <v>565</v>
      </c>
      <c r="N13" s="99" t="str">
        <f t="shared" si="0"/>
        <v>PATVICS PHARMACEUTICAL</v>
      </c>
    </row>
    <row r="14" spans="1:14" ht="33" customHeight="1">
      <c r="A14" s="94">
        <v>12</v>
      </c>
      <c r="B14" s="100" t="s">
        <v>566</v>
      </c>
      <c r="C14" s="100" t="s">
        <v>567</v>
      </c>
      <c r="D14" s="96" t="s">
        <v>568</v>
      </c>
      <c r="E14" s="5" t="s">
        <v>18</v>
      </c>
      <c r="F14" s="100" t="s">
        <v>560</v>
      </c>
      <c r="G14" s="95" t="s">
        <v>298</v>
      </c>
      <c r="H14" s="95" t="s">
        <v>517</v>
      </c>
      <c r="I14" s="95" t="s">
        <v>28</v>
      </c>
      <c r="J14" s="100" t="s">
        <v>533</v>
      </c>
      <c r="K14" s="8" t="str">
        <f t="shared" si="1"/>
        <v>REMINDER LETTER SHOULD BE SENT</v>
      </c>
      <c r="L14" s="56">
        <v>45689</v>
      </c>
      <c r="M14" s="79" t="s">
        <v>569</v>
      </c>
      <c r="N14" s="99" t="str">
        <f t="shared" si="0"/>
        <v>KOJOS PHARMACY</v>
      </c>
    </row>
    <row r="15" spans="1:14" ht="34.5" customHeight="1">
      <c r="A15" s="94">
        <v>13</v>
      </c>
      <c r="B15" s="100" t="s">
        <v>570</v>
      </c>
      <c r="C15" s="100" t="s">
        <v>571</v>
      </c>
      <c r="D15" s="96" t="s">
        <v>572</v>
      </c>
      <c r="E15" s="5" t="s">
        <v>18</v>
      </c>
      <c r="F15" s="100" t="s">
        <v>560</v>
      </c>
      <c r="G15" s="95" t="s">
        <v>20</v>
      </c>
      <c r="H15" s="95" t="s">
        <v>528</v>
      </c>
      <c r="I15" s="95" t="s">
        <v>21</v>
      </c>
      <c r="J15" s="100" t="s">
        <v>518</v>
      </c>
      <c r="K15" s="8" t="str">
        <f t="shared" si="1"/>
        <v>CAPA VERIFICATION SHOULD BE SCHEDULED</v>
      </c>
      <c r="L15" s="56">
        <v>45323</v>
      </c>
      <c r="N15" s="99" t="str">
        <f t="shared" si="0"/>
        <v/>
      </c>
    </row>
    <row r="16" spans="1:14" ht="33" customHeight="1">
      <c r="A16" s="94">
        <v>14</v>
      </c>
      <c r="B16" s="100" t="s">
        <v>573</v>
      </c>
      <c r="C16" s="100" t="s">
        <v>574</v>
      </c>
      <c r="D16" s="101" t="s">
        <v>575</v>
      </c>
      <c r="E16" s="5" t="s">
        <v>18</v>
      </c>
      <c r="F16" s="100" t="s">
        <v>576</v>
      </c>
      <c r="G16" s="100" t="s">
        <v>298</v>
      </c>
      <c r="H16" s="100" t="s">
        <v>528</v>
      </c>
      <c r="I16" s="95" t="s">
        <v>21</v>
      </c>
      <c r="J16" s="100" t="s">
        <v>518</v>
      </c>
      <c r="K16" s="8" t="str">
        <f t="shared" si="1"/>
        <v>CAPA VERIFICATION SHOULD BE SCHEDULED</v>
      </c>
      <c r="L16" s="56">
        <v>45689</v>
      </c>
      <c r="M16" s="79" t="s">
        <v>577</v>
      </c>
      <c r="N16" s="99" t="str">
        <f t="shared" si="0"/>
        <v>SWIPHA NIGERIA</v>
      </c>
    </row>
    <row r="17" spans="1:14" ht="34.5" customHeight="1">
      <c r="A17" s="94">
        <v>15</v>
      </c>
      <c r="B17" s="100" t="s">
        <v>578</v>
      </c>
      <c r="C17" s="100" t="s">
        <v>579</v>
      </c>
      <c r="D17" s="96" t="s">
        <v>580</v>
      </c>
      <c r="E17" s="5" t="s">
        <v>18</v>
      </c>
      <c r="F17" s="100" t="s">
        <v>576</v>
      </c>
      <c r="G17" s="95" t="s">
        <v>20</v>
      </c>
      <c r="H17" s="161">
        <v>45631</v>
      </c>
      <c r="I17" s="95" t="s">
        <v>28</v>
      </c>
      <c r="J17" s="100" t="s">
        <v>581</v>
      </c>
      <c r="K17" s="8" t="str">
        <f t="shared" si="1"/>
        <v>REMINDER LETTER SHOULD BE SENT</v>
      </c>
      <c r="L17" s="56">
        <v>45323</v>
      </c>
      <c r="M17" s="79" t="s">
        <v>582</v>
      </c>
      <c r="N17" s="99" t="str">
        <f t="shared" si="0"/>
        <v>BJ CHOICE PHARM</v>
      </c>
    </row>
    <row r="18" spans="1:14" ht="33" customHeight="1">
      <c r="A18" s="94">
        <v>16</v>
      </c>
      <c r="B18" s="100" t="s">
        <v>583</v>
      </c>
      <c r="C18" s="100" t="s">
        <v>584</v>
      </c>
      <c r="D18" s="101" t="s">
        <v>585</v>
      </c>
      <c r="E18" s="5" t="s">
        <v>18</v>
      </c>
      <c r="F18" s="100" t="s">
        <v>576</v>
      </c>
      <c r="G18" s="100" t="s">
        <v>555</v>
      </c>
      <c r="H18" s="100" t="s">
        <v>528</v>
      </c>
      <c r="I18" s="95" t="s">
        <v>28</v>
      </c>
      <c r="J18" s="100" t="s">
        <v>581</v>
      </c>
      <c r="K18" s="8" t="str">
        <f t="shared" si="1"/>
        <v>REMINDER LETTER SHOULD BE SENT</v>
      </c>
      <c r="L18" s="56">
        <v>44774</v>
      </c>
      <c r="M18" s="79" t="s">
        <v>586</v>
      </c>
      <c r="N18" s="99" t="str">
        <f t="shared" si="0"/>
        <v>PAKEN VENTURES</v>
      </c>
    </row>
    <row r="19" spans="1:14" ht="35.25" customHeight="1">
      <c r="A19" s="94">
        <v>17</v>
      </c>
      <c r="B19" s="100" t="s">
        <v>587</v>
      </c>
      <c r="C19" s="100" t="s">
        <v>588</v>
      </c>
      <c r="D19" s="96" t="s">
        <v>589</v>
      </c>
      <c r="E19" s="5" t="s">
        <v>18</v>
      </c>
      <c r="F19" s="100" t="s">
        <v>590</v>
      </c>
      <c r="G19" s="100" t="s">
        <v>555</v>
      </c>
      <c r="H19" s="100" t="s">
        <v>556</v>
      </c>
      <c r="I19" s="95" t="s">
        <v>28</v>
      </c>
      <c r="J19" s="100" t="s">
        <v>581</v>
      </c>
      <c r="K19" s="8" t="str">
        <f t="shared" si="1"/>
        <v>REMINDER LETTER SHOULD BE SENT</v>
      </c>
      <c r="L19" s="56">
        <v>44774</v>
      </c>
      <c r="M19" s="79" t="s">
        <v>591</v>
      </c>
      <c r="N19" s="99" t="str">
        <f t="shared" si="0"/>
        <v xml:space="preserve">HENBOSCO PHARMACY </v>
      </c>
    </row>
    <row r="20" spans="1:14" ht="39" customHeight="1">
      <c r="A20" s="94">
        <v>18</v>
      </c>
      <c r="B20" s="100" t="s">
        <v>592</v>
      </c>
      <c r="C20" s="100" t="s">
        <v>593</v>
      </c>
      <c r="D20" s="100" t="s">
        <v>594</v>
      </c>
      <c r="E20" s="5" t="s">
        <v>18</v>
      </c>
      <c r="F20" s="100" t="s">
        <v>595</v>
      </c>
      <c r="G20" s="100" t="s">
        <v>555</v>
      </c>
      <c r="H20" s="100" t="s">
        <v>528</v>
      </c>
      <c r="I20" s="95" t="s">
        <v>28</v>
      </c>
      <c r="J20" s="100" t="s">
        <v>581</v>
      </c>
      <c r="K20" s="8" t="str">
        <f t="shared" si="1"/>
        <v>REMINDER LETTER SHOULD BE SENT</v>
      </c>
      <c r="L20" s="56">
        <v>44774</v>
      </c>
      <c r="M20" s="79" t="s">
        <v>596</v>
      </c>
      <c r="N20" s="99" t="str">
        <f t="shared" si="0"/>
        <v>LYNDUS PHARMACY LTD</v>
      </c>
    </row>
    <row r="21" spans="1:14" ht="39" customHeight="1">
      <c r="A21" s="94">
        <v>19</v>
      </c>
      <c r="B21" s="98" t="s">
        <v>597</v>
      </c>
      <c r="C21" s="100" t="s">
        <v>598</v>
      </c>
      <c r="D21" s="101" t="s">
        <v>599</v>
      </c>
      <c r="E21" s="5" t="s">
        <v>18</v>
      </c>
      <c r="F21" s="100" t="s">
        <v>595</v>
      </c>
      <c r="G21" s="100" t="s">
        <v>555</v>
      </c>
      <c r="H21" s="100" t="s">
        <v>528</v>
      </c>
      <c r="I21" s="95" t="s">
        <v>28</v>
      </c>
      <c r="J21" s="100" t="s">
        <v>581</v>
      </c>
      <c r="K21" s="8" t="str">
        <f t="shared" si="1"/>
        <v>REMINDER LETTER SHOULD BE SENT</v>
      </c>
      <c r="L21" s="56">
        <v>44774</v>
      </c>
      <c r="M21" s="74" t="s">
        <v>600</v>
      </c>
      <c r="N21" s="99" t="str">
        <f t="shared" si="0"/>
        <v>ROM CHIDECK PHARM. LTD</v>
      </c>
    </row>
    <row r="22" spans="1:14" ht="28.5" customHeight="1">
      <c r="A22" s="94">
        <v>20</v>
      </c>
      <c r="B22" s="100" t="s">
        <v>601</v>
      </c>
      <c r="C22" s="100" t="s">
        <v>602</v>
      </c>
      <c r="D22" s="101" t="s">
        <v>603</v>
      </c>
      <c r="E22" s="5" t="s">
        <v>18</v>
      </c>
      <c r="F22" s="98" t="s">
        <v>604</v>
      </c>
      <c r="G22" s="100" t="s">
        <v>555</v>
      </c>
      <c r="H22" s="100" t="s">
        <v>528</v>
      </c>
      <c r="I22" s="95" t="s">
        <v>21</v>
      </c>
      <c r="J22" s="100" t="s">
        <v>518</v>
      </c>
      <c r="K22" s="8" t="str">
        <f t="shared" si="1"/>
        <v>CAPA VERIFICATION SHOULD BE SCHEDULED</v>
      </c>
      <c r="L22" s="56">
        <v>45536</v>
      </c>
      <c r="M22" s="79" t="s">
        <v>605</v>
      </c>
      <c r="N22" s="99" t="str">
        <f t="shared" si="0"/>
        <v xml:space="preserve">JUVYWAY PHARMCY CO.LTD </v>
      </c>
    </row>
    <row r="23" spans="1:14" ht="29.25" customHeight="1">
      <c r="A23" s="94">
        <v>21</v>
      </c>
      <c r="B23" s="100" t="s">
        <v>606</v>
      </c>
      <c r="C23" s="100" t="s">
        <v>607</v>
      </c>
      <c r="D23" s="96" t="s">
        <v>608</v>
      </c>
      <c r="E23" s="5" t="s">
        <v>18</v>
      </c>
      <c r="F23" s="100" t="s">
        <v>604</v>
      </c>
      <c r="G23" s="100" t="s">
        <v>20</v>
      </c>
      <c r="H23" s="100" t="s">
        <v>528</v>
      </c>
      <c r="I23" s="95" t="s">
        <v>21</v>
      </c>
      <c r="J23" s="100" t="s">
        <v>518</v>
      </c>
      <c r="K23" s="8" t="str">
        <f t="shared" si="1"/>
        <v>CAPA VERIFICATION SHOULD BE SCHEDULED</v>
      </c>
      <c r="L23" s="56">
        <v>45323</v>
      </c>
      <c r="M23" s="79" t="s">
        <v>609</v>
      </c>
      <c r="N23" s="99" t="str">
        <f t="shared" si="0"/>
        <v xml:space="preserve">EVERSHINE PHARMACEUTICAL NIG LTD </v>
      </c>
    </row>
    <row r="24" spans="1:14" ht="36" customHeight="1">
      <c r="A24" s="94">
        <v>22</v>
      </c>
      <c r="B24" s="100" t="s">
        <v>610</v>
      </c>
      <c r="C24" s="100" t="s">
        <v>611</v>
      </c>
      <c r="D24" s="101" t="s">
        <v>612</v>
      </c>
      <c r="E24" s="5" t="s">
        <v>18</v>
      </c>
      <c r="F24" s="100" t="s">
        <v>604</v>
      </c>
      <c r="G24" s="100" t="s">
        <v>555</v>
      </c>
      <c r="H24" s="100" t="s">
        <v>528</v>
      </c>
      <c r="I24" s="95" t="s">
        <v>21</v>
      </c>
      <c r="J24" s="100" t="s">
        <v>518</v>
      </c>
      <c r="K24" s="8" t="str">
        <f t="shared" si="1"/>
        <v>CAPA VERIFICATION SHOULD BE SCHEDULED</v>
      </c>
      <c r="L24" s="56">
        <v>45413</v>
      </c>
      <c r="M24" s="74" t="s">
        <v>613</v>
      </c>
      <c r="N24" s="99" t="str">
        <f t="shared" si="0"/>
        <v xml:space="preserve">
FRANKEY NIG.LTD </v>
      </c>
    </row>
    <row r="25" spans="1:14" ht="29.25" customHeight="1">
      <c r="A25" s="94">
        <v>23</v>
      </c>
      <c r="B25" s="100" t="s">
        <v>614</v>
      </c>
      <c r="C25" s="100" t="s">
        <v>615</v>
      </c>
      <c r="D25" s="101" t="s">
        <v>616</v>
      </c>
      <c r="E25" s="5" t="s">
        <v>18</v>
      </c>
      <c r="F25" s="100" t="s">
        <v>617</v>
      </c>
      <c r="G25" s="100" t="s">
        <v>555</v>
      </c>
      <c r="H25" s="100" t="s">
        <v>528</v>
      </c>
      <c r="I25" s="95" t="s">
        <v>28</v>
      </c>
      <c r="J25" s="100" t="s">
        <v>533</v>
      </c>
      <c r="K25" s="8" t="str">
        <f t="shared" si="1"/>
        <v>REMINDER LETTER SHOULD BE SENT</v>
      </c>
      <c r="L25" s="56">
        <v>44774</v>
      </c>
      <c r="M25" s="79" t="s">
        <v>618</v>
      </c>
      <c r="N25" s="99" t="str">
        <f t="shared" si="0"/>
        <v>GOD IS GREAT PHARMACY</v>
      </c>
    </row>
    <row r="26" spans="1:14" ht="34.5" customHeight="1">
      <c r="A26" s="94">
        <v>24</v>
      </c>
      <c r="B26" s="100" t="s">
        <v>619</v>
      </c>
      <c r="C26" s="100" t="s">
        <v>620</v>
      </c>
      <c r="D26" s="101" t="s">
        <v>621</v>
      </c>
      <c r="E26" s="5" t="s">
        <v>18</v>
      </c>
      <c r="F26" s="100" t="s">
        <v>617</v>
      </c>
      <c r="G26" s="100" t="s">
        <v>20</v>
      </c>
      <c r="H26" s="100" t="s">
        <v>528</v>
      </c>
      <c r="I26" s="95" t="s">
        <v>28</v>
      </c>
      <c r="J26" s="100" t="s">
        <v>533</v>
      </c>
      <c r="K26" s="8" t="str">
        <f t="shared" si="1"/>
        <v>REMINDER LETTER SHOULD BE SENT</v>
      </c>
      <c r="L26" s="56">
        <v>45323</v>
      </c>
      <c r="M26" s="74" t="s">
        <v>622</v>
      </c>
      <c r="N26" s="99" t="str">
        <f t="shared" si="0"/>
        <v>SOMEC UNITED PHARMACY</v>
      </c>
    </row>
    <row r="27" spans="1:14" ht="35.25" customHeight="1">
      <c r="A27" s="94">
        <v>25</v>
      </c>
      <c r="B27" s="100" t="s">
        <v>623</v>
      </c>
      <c r="C27" s="100" t="s">
        <v>624</v>
      </c>
      <c r="D27" s="101" t="s">
        <v>625</v>
      </c>
      <c r="E27" s="5" t="s">
        <v>18</v>
      </c>
      <c r="F27" s="100" t="s">
        <v>617</v>
      </c>
      <c r="G27" s="100" t="s">
        <v>20</v>
      </c>
      <c r="H27" s="100" t="s">
        <v>528</v>
      </c>
      <c r="I27" s="95" t="s">
        <v>28</v>
      </c>
      <c r="J27" s="100" t="s">
        <v>533</v>
      </c>
      <c r="K27" s="8" t="str">
        <f t="shared" si="1"/>
        <v>REMINDER LETTER SHOULD BE SENT</v>
      </c>
      <c r="L27" s="56">
        <v>45323</v>
      </c>
      <c r="M27" s="79" t="s">
        <v>626</v>
      </c>
      <c r="N27" s="99" t="str">
        <f t="shared" si="0"/>
        <v>UNITED ABC PHARMACEUTICAL</v>
      </c>
    </row>
    <row r="28" spans="1:14" ht="33.75" customHeight="1">
      <c r="A28" s="94">
        <v>26</v>
      </c>
      <c r="B28" s="100" t="s">
        <v>627</v>
      </c>
      <c r="C28" s="100" t="s">
        <v>628</v>
      </c>
      <c r="D28" s="101" t="s">
        <v>629</v>
      </c>
      <c r="E28" s="5" t="s">
        <v>18</v>
      </c>
      <c r="F28" s="100" t="s">
        <v>630</v>
      </c>
      <c r="G28" s="100" t="s">
        <v>20</v>
      </c>
      <c r="H28" s="100" t="s">
        <v>528</v>
      </c>
      <c r="I28" s="95" t="s">
        <v>28</v>
      </c>
      <c r="J28" s="100" t="s">
        <v>533</v>
      </c>
      <c r="K28" s="8" t="str">
        <f t="shared" si="1"/>
        <v>REMINDER LETTER SHOULD BE SENT</v>
      </c>
      <c r="L28" s="56">
        <v>45323</v>
      </c>
      <c r="M28" s="79" t="s">
        <v>631</v>
      </c>
      <c r="N28" s="99" t="str">
        <f t="shared" si="0"/>
        <v xml:space="preserve">SA PHARMACY </v>
      </c>
    </row>
    <row r="29" spans="1:14" ht="34.5" customHeight="1">
      <c r="A29" s="94">
        <v>27</v>
      </c>
      <c r="B29" s="100" t="s">
        <v>632</v>
      </c>
      <c r="C29" s="100" t="s">
        <v>633</v>
      </c>
      <c r="D29" s="96" t="s">
        <v>634</v>
      </c>
      <c r="E29" s="5" t="s">
        <v>18</v>
      </c>
      <c r="F29" s="102" t="s">
        <v>630</v>
      </c>
      <c r="G29" s="100" t="s">
        <v>635</v>
      </c>
      <c r="H29" s="100" t="s">
        <v>528</v>
      </c>
      <c r="I29" s="95" t="s">
        <v>28</v>
      </c>
      <c r="J29" s="100" t="s">
        <v>533</v>
      </c>
      <c r="K29" s="8" t="str">
        <f t="shared" si="1"/>
        <v>REMINDER LETTER SHOULD BE SENT</v>
      </c>
      <c r="L29" s="56">
        <v>45323</v>
      </c>
      <c r="M29" s="79" t="s">
        <v>636</v>
      </c>
      <c r="N29" s="99" t="str">
        <f t="shared" si="0"/>
        <v>RIGHTMATE PHARMACY</v>
      </c>
    </row>
    <row r="30" spans="1:14" ht="40.5" customHeight="1">
      <c r="A30" s="94">
        <v>30</v>
      </c>
      <c r="B30" s="98" t="s">
        <v>637</v>
      </c>
      <c r="C30" s="100" t="s">
        <v>638</v>
      </c>
      <c r="D30" s="104" t="s">
        <v>639</v>
      </c>
      <c r="E30" s="5" t="s">
        <v>18</v>
      </c>
      <c r="F30" s="98" t="s">
        <v>640</v>
      </c>
      <c r="G30" s="100" t="s">
        <v>641</v>
      </c>
      <c r="H30" s="100" t="s">
        <v>556</v>
      </c>
      <c r="I30" s="95" t="s">
        <v>28</v>
      </c>
      <c r="J30" s="100" t="s">
        <v>533</v>
      </c>
      <c r="K30" s="8" t="str">
        <f t="shared" si="1"/>
        <v>REMINDER LETTER SHOULD BE SENT</v>
      </c>
      <c r="L30" s="56">
        <v>45170</v>
      </c>
      <c r="M30" s="79" t="s">
        <v>642</v>
      </c>
      <c r="N30" s="99" t="str">
        <f t="shared" si="0"/>
        <v>M. U. SAM VENTURES LTD.</v>
      </c>
    </row>
    <row r="31" spans="1:14" ht="35.25" customHeight="1">
      <c r="A31" s="94">
        <v>31</v>
      </c>
      <c r="B31" s="100" t="s">
        <v>643</v>
      </c>
      <c r="C31" s="100" t="s">
        <v>644</v>
      </c>
      <c r="D31" s="104" t="s">
        <v>645</v>
      </c>
      <c r="E31" s="5" t="s">
        <v>18</v>
      </c>
      <c r="F31" s="98" t="s">
        <v>640</v>
      </c>
      <c r="G31" s="98" t="s">
        <v>641</v>
      </c>
      <c r="H31" s="98" t="s">
        <v>646</v>
      </c>
      <c r="I31" s="95" t="s">
        <v>28</v>
      </c>
      <c r="J31" s="100" t="s">
        <v>533</v>
      </c>
      <c r="K31" s="8" t="str">
        <f t="shared" si="1"/>
        <v>REMINDER LETTER SHOULD BE SENT</v>
      </c>
      <c r="L31" s="56">
        <v>45170</v>
      </c>
      <c r="M31" s="79" t="s">
        <v>647</v>
      </c>
      <c r="N31" s="99" t="str">
        <f t="shared" si="0"/>
        <v>LIVE BETA PHARMACEUTICALS LTD.</v>
      </c>
    </row>
    <row r="32" spans="1:14" ht="31.5" customHeight="1">
      <c r="A32" s="94">
        <v>32</v>
      </c>
      <c r="B32" s="98" t="s">
        <v>648</v>
      </c>
      <c r="C32" s="100" t="s">
        <v>649</v>
      </c>
      <c r="D32" s="104" t="s">
        <v>650</v>
      </c>
      <c r="E32" s="5" t="s">
        <v>18</v>
      </c>
      <c r="F32" s="98" t="s">
        <v>640</v>
      </c>
      <c r="G32" s="100" t="s">
        <v>20</v>
      </c>
      <c r="H32" s="100" t="s">
        <v>646</v>
      </c>
      <c r="I32" s="95" t="s">
        <v>28</v>
      </c>
      <c r="J32" s="100" t="s">
        <v>533</v>
      </c>
      <c r="K32" s="8" t="str">
        <f t="shared" si="1"/>
        <v>REMINDER LETTER SHOULD BE SENT</v>
      </c>
      <c r="L32" s="56">
        <v>45352</v>
      </c>
      <c r="M32" s="75" t="s">
        <v>651</v>
      </c>
      <c r="N32" s="99" t="str">
        <f t="shared" si="0"/>
        <v>AGU JUDEA PHARM. NIG. LTD.</v>
      </c>
    </row>
    <row r="33" spans="1:14" ht="35.25" customHeight="1">
      <c r="A33" s="94">
        <v>33</v>
      </c>
      <c r="B33" s="98" t="s">
        <v>652</v>
      </c>
      <c r="C33" s="100" t="s">
        <v>653</v>
      </c>
      <c r="D33" s="104" t="s">
        <v>654</v>
      </c>
      <c r="E33" s="5" t="s">
        <v>18</v>
      </c>
      <c r="F33" s="98" t="s">
        <v>655</v>
      </c>
      <c r="G33" s="98" t="s">
        <v>298</v>
      </c>
      <c r="H33" s="98" t="s">
        <v>646</v>
      </c>
      <c r="I33" s="95" t="s">
        <v>28</v>
      </c>
      <c r="J33" s="100" t="s">
        <v>533</v>
      </c>
      <c r="K33" s="8" t="str">
        <f t="shared" si="1"/>
        <v>REMINDER LETTER SHOULD BE SENT</v>
      </c>
      <c r="L33" s="56">
        <v>45717</v>
      </c>
      <c r="M33" s="79" t="s">
        <v>656</v>
      </c>
      <c r="N33" s="99" t="str">
        <f t="shared" si="0"/>
        <v>ZIFAM PINNACLE NIG. LTD.</v>
      </c>
    </row>
    <row r="34" spans="1:14" ht="30.75" customHeight="1">
      <c r="A34" s="94">
        <v>34</v>
      </c>
      <c r="B34" s="100" t="s">
        <v>657</v>
      </c>
      <c r="C34" s="100" t="s">
        <v>658</v>
      </c>
      <c r="D34" s="104" t="s">
        <v>659</v>
      </c>
      <c r="E34" s="5" t="s">
        <v>18</v>
      </c>
      <c r="F34" s="98" t="s">
        <v>660</v>
      </c>
      <c r="G34" s="100" t="s">
        <v>20</v>
      </c>
      <c r="H34" s="100" t="s">
        <v>661</v>
      </c>
      <c r="I34" s="95" t="s">
        <v>28</v>
      </c>
      <c r="J34" s="100" t="s">
        <v>533</v>
      </c>
      <c r="K34" s="8" t="str">
        <f t="shared" si="1"/>
        <v>REMINDER LETTER SHOULD BE SENT</v>
      </c>
      <c r="L34" s="56">
        <v>45352</v>
      </c>
      <c r="M34" s="79" t="s">
        <v>662</v>
      </c>
      <c r="N34" s="99" t="str">
        <f t="shared" si="0"/>
        <v>UNITED AFRICA LABORATORY LIMITED</v>
      </c>
    </row>
    <row r="35" spans="1:14" ht="36" customHeight="1">
      <c r="A35" s="94">
        <v>35</v>
      </c>
      <c r="B35" s="100" t="s">
        <v>663</v>
      </c>
      <c r="C35" s="100" t="s">
        <v>664</v>
      </c>
      <c r="D35" s="104" t="s">
        <v>665</v>
      </c>
      <c r="E35" s="5" t="s">
        <v>18</v>
      </c>
      <c r="F35" s="98" t="s">
        <v>660</v>
      </c>
      <c r="G35" s="100" t="s">
        <v>20</v>
      </c>
      <c r="H35" s="100" t="s">
        <v>666</v>
      </c>
      <c r="I35" s="95" t="s">
        <v>21</v>
      </c>
      <c r="J35" s="100" t="s">
        <v>518</v>
      </c>
      <c r="K35" s="8" t="str">
        <f t="shared" si="1"/>
        <v>CAPA VERIFICATION SHOULD BE SCHEDULED</v>
      </c>
      <c r="L35" t="s">
        <v>667</v>
      </c>
      <c r="M35" s="79" t="s">
        <v>668</v>
      </c>
      <c r="N35" s="99" t="str">
        <f t="shared" ref="N35:N66" si="2">IF(M35="","",HYPERLINK(M35,B35))</f>
        <v>SANTUS PHARMACY &amp; STORES LTD.</v>
      </c>
    </row>
    <row r="36" spans="1:14" ht="36.75" customHeight="1">
      <c r="A36" s="94">
        <v>36</v>
      </c>
      <c r="B36" s="98" t="s">
        <v>669</v>
      </c>
      <c r="C36" s="100" t="s">
        <v>670</v>
      </c>
      <c r="D36" s="104" t="s">
        <v>671</v>
      </c>
      <c r="E36" s="5" t="s">
        <v>18</v>
      </c>
      <c r="F36" s="98" t="s">
        <v>660</v>
      </c>
      <c r="G36" s="98" t="s">
        <v>641</v>
      </c>
      <c r="H36" s="98" t="s">
        <v>556</v>
      </c>
      <c r="I36" s="95" t="s">
        <v>28</v>
      </c>
      <c r="J36" s="100" t="s">
        <v>533</v>
      </c>
      <c r="K36" s="8" t="str">
        <f t="shared" si="1"/>
        <v>REMINDER LETTER SHOULD BE SENT</v>
      </c>
      <c r="L36" s="56">
        <v>45170</v>
      </c>
      <c r="M36" s="79" t="s">
        <v>672</v>
      </c>
      <c r="N36" s="99" t="str">
        <f t="shared" si="2"/>
        <v>THINK ETERNITY DRUGS LTD.</v>
      </c>
    </row>
    <row r="37" spans="1:14" ht="33.75" customHeight="1">
      <c r="A37" s="94">
        <v>37</v>
      </c>
      <c r="B37" s="98" t="s">
        <v>673</v>
      </c>
      <c r="C37" s="100" t="s">
        <v>674</v>
      </c>
      <c r="D37" s="104" t="s">
        <v>675</v>
      </c>
      <c r="E37" s="5" t="s">
        <v>18</v>
      </c>
      <c r="F37" s="98" t="s">
        <v>655</v>
      </c>
      <c r="G37" s="100" t="s">
        <v>641</v>
      </c>
      <c r="H37" s="100" t="s">
        <v>676</v>
      </c>
      <c r="I37" s="95" t="s">
        <v>28</v>
      </c>
      <c r="J37" s="100" t="s">
        <v>533</v>
      </c>
      <c r="K37" s="8" t="str">
        <f t="shared" si="1"/>
        <v>REMINDER LETTER SHOULD BE SENT</v>
      </c>
      <c r="L37" s="56">
        <v>45170</v>
      </c>
      <c r="M37" s="79" t="s">
        <v>677</v>
      </c>
      <c r="N37" s="99" t="str">
        <f t="shared" si="2"/>
        <v>MIVERO PHARM. LTD.</v>
      </c>
    </row>
    <row r="38" spans="1:14" ht="39" customHeight="1">
      <c r="A38" s="94">
        <v>39</v>
      </c>
      <c r="B38" s="98" t="s">
        <v>678</v>
      </c>
      <c r="C38" s="100" t="s">
        <v>679</v>
      </c>
      <c r="D38" s="104" t="s">
        <v>680</v>
      </c>
      <c r="E38" s="5" t="s">
        <v>18</v>
      </c>
      <c r="F38" s="103">
        <v>45050</v>
      </c>
      <c r="G38" s="100" t="s">
        <v>555</v>
      </c>
      <c r="H38" s="100" t="s">
        <v>556</v>
      </c>
      <c r="I38" s="95" t="s">
        <v>28</v>
      </c>
      <c r="J38" s="100" t="s">
        <v>533</v>
      </c>
      <c r="K38" s="8" t="str">
        <f t="shared" si="1"/>
        <v>REMINDER LETTER SHOULD BE SENT</v>
      </c>
      <c r="L38" s="56">
        <v>45200</v>
      </c>
      <c r="M38" s="79" t="s">
        <v>681</v>
      </c>
      <c r="N38" s="99" t="str">
        <f t="shared" si="2"/>
        <v>R.L. UPRIGHT WAY NIG. LTD.</v>
      </c>
    </row>
    <row r="39" spans="1:14" ht="40.5" customHeight="1">
      <c r="A39" s="94">
        <v>40</v>
      </c>
      <c r="B39" s="98" t="s">
        <v>682</v>
      </c>
      <c r="C39" s="100" t="s">
        <v>683</v>
      </c>
      <c r="D39" s="104" t="s">
        <v>684</v>
      </c>
      <c r="E39" s="5" t="s">
        <v>18</v>
      </c>
      <c r="F39" s="103">
        <v>45020</v>
      </c>
      <c r="G39" s="100" t="s">
        <v>20</v>
      </c>
      <c r="H39" s="100" t="s">
        <v>646</v>
      </c>
      <c r="I39" s="95" t="s">
        <v>21</v>
      </c>
      <c r="J39" s="100" t="s">
        <v>518</v>
      </c>
      <c r="K39" s="8" t="str">
        <f t="shared" si="1"/>
        <v>CAPA VERIFICATION SHOULD BE SCHEDULED</v>
      </c>
      <c r="L39" s="56">
        <v>45078</v>
      </c>
      <c r="M39" s="79" t="s">
        <v>685</v>
      </c>
      <c r="N39" s="99" t="str">
        <f t="shared" si="2"/>
        <v>TEACO PHARM. CO. NIG. LTD.</v>
      </c>
    </row>
    <row r="40" spans="1:14" ht="39" customHeight="1">
      <c r="A40" s="94">
        <v>41</v>
      </c>
      <c r="B40" s="98" t="s">
        <v>686</v>
      </c>
      <c r="C40" s="100" t="s">
        <v>687</v>
      </c>
      <c r="D40" s="104" t="s">
        <v>688</v>
      </c>
      <c r="E40" s="5" t="s">
        <v>18</v>
      </c>
      <c r="F40" s="103">
        <v>45020</v>
      </c>
      <c r="G40" s="100" t="s">
        <v>20</v>
      </c>
      <c r="H40" s="100" t="s">
        <v>646</v>
      </c>
      <c r="I40" s="95" t="s">
        <v>28</v>
      </c>
      <c r="J40" s="100" t="s">
        <v>533</v>
      </c>
      <c r="K40" s="8" t="str">
        <f t="shared" si="1"/>
        <v>REMINDER LETTER SHOULD BE SENT</v>
      </c>
      <c r="L40" s="56">
        <v>45383</v>
      </c>
      <c r="M40" s="79" t="s">
        <v>689</v>
      </c>
      <c r="N40" s="99" t="str">
        <f t="shared" si="2"/>
        <v>FUNKET NIG. LTD.</v>
      </c>
    </row>
    <row r="41" spans="1:14" ht="40.5" customHeight="1">
      <c r="A41" s="94">
        <v>42</v>
      </c>
      <c r="B41" s="100" t="s">
        <v>690</v>
      </c>
      <c r="C41" s="100" t="s">
        <v>691</v>
      </c>
      <c r="D41" s="104" t="s">
        <v>692</v>
      </c>
      <c r="E41" s="5" t="s">
        <v>18</v>
      </c>
      <c r="F41" s="103">
        <v>45050</v>
      </c>
      <c r="G41" s="100" t="s">
        <v>20</v>
      </c>
      <c r="H41" s="100" t="s">
        <v>556</v>
      </c>
      <c r="I41" s="95" t="s">
        <v>28</v>
      </c>
      <c r="J41" s="100" t="s">
        <v>533</v>
      </c>
      <c r="K41" s="8" t="str">
        <f t="shared" si="1"/>
        <v>REMINDER LETTER SHOULD BE SENT</v>
      </c>
      <c r="L41" s="56">
        <v>45383</v>
      </c>
      <c r="M41" s="79" t="s">
        <v>693</v>
      </c>
      <c r="N41" s="99" t="str">
        <f t="shared" si="2"/>
        <v>KATCEE-MACKENZIE &amp;ASSOCIATES</v>
      </c>
    </row>
    <row r="42" spans="1:14" ht="30.75" customHeight="1">
      <c r="A42" s="94">
        <v>43</v>
      </c>
      <c r="B42" s="98" t="s">
        <v>694</v>
      </c>
      <c r="C42" s="100" t="s">
        <v>695</v>
      </c>
      <c r="D42" s="96" t="s">
        <v>696</v>
      </c>
      <c r="E42" s="5" t="s">
        <v>18</v>
      </c>
      <c r="F42" s="98" t="s">
        <v>697</v>
      </c>
      <c r="G42" s="98" t="s">
        <v>298</v>
      </c>
      <c r="H42" s="98" t="s">
        <v>698</v>
      </c>
      <c r="I42" s="95" t="s">
        <v>28</v>
      </c>
      <c r="J42" s="100" t="s">
        <v>533</v>
      </c>
      <c r="K42" s="8" t="str">
        <f t="shared" si="1"/>
        <v>REMINDER LETTER SHOULD BE SENT</v>
      </c>
      <c r="L42" s="56">
        <v>45748</v>
      </c>
      <c r="M42" s="79" t="s">
        <v>699</v>
      </c>
      <c r="N42" s="99" t="str">
        <f t="shared" si="2"/>
        <v>DRUG-IT SOLUTIONS LIMITED</v>
      </c>
    </row>
    <row r="43" spans="1:14" ht="30.75" customHeight="1">
      <c r="A43" s="94">
        <v>44</v>
      </c>
      <c r="B43" s="98" t="s">
        <v>700</v>
      </c>
      <c r="C43" s="100" t="s">
        <v>701</v>
      </c>
      <c r="D43" s="96" t="s">
        <v>702</v>
      </c>
      <c r="E43" s="5" t="s">
        <v>18</v>
      </c>
      <c r="F43" s="98" t="s">
        <v>703</v>
      </c>
      <c r="G43" s="98" t="s">
        <v>279</v>
      </c>
      <c r="H43" s="98" t="s">
        <v>676</v>
      </c>
      <c r="I43" s="95" t="s">
        <v>21</v>
      </c>
      <c r="J43" s="100" t="s">
        <v>518</v>
      </c>
      <c r="K43" s="8" t="str">
        <f t="shared" si="1"/>
        <v>CAPA VERIFICATION SHOULD BE SCHEDULED</v>
      </c>
      <c r="L43" s="56">
        <v>45200</v>
      </c>
      <c r="M43" s="79" t="s">
        <v>704</v>
      </c>
      <c r="N43" s="99" t="str">
        <f t="shared" si="2"/>
        <v>FAMOUS NIG. LTD.</v>
      </c>
    </row>
    <row r="44" spans="1:14" ht="39.75" customHeight="1">
      <c r="A44" s="94">
        <v>45</v>
      </c>
      <c r="B44" s="98" t="s">
        <v>705</v>
      </c>
      <c r="C44" s="100" t="s">
        <v>706</v>
      </c>
      <c r="D44" s="105" t="s">
        <v>707</v>
      </c>
      <c r="E44" s="5" t="s">
        <v>18</v>
      </c>
      <c r="F44" s="103">
        <v>45020</v>
      </c>
      <c r="G44" s="98" t="s">
        <v>188</v>
      </c>
      <c r="H44" s="98" t="s">
        <v>188</v>
      </c>
      <c r="I44" s="95"/>
      <c r="J44" s="98" t="s">
        <v>188</v>
      </c>
      <c r="K44" s="8" t="s">
        <v>708</v>
      </c>
      <c r="M44" s="79" t="s">
        <v>709</v>
      </c>
      <c r="N44" s="99" t="str">
        <f t="shared" si="2"/>
        <v>ALIMOSHO CHEMIST LTD.</v>
      </c>
    </row>
    <row r="45" spans="1:14" ht="28.9">
      <c r="A45" s="94">
        <v>47</v>
      </c>
      <c r="B45" s="100" t="s">
        <v>710</v>
      </c>
      <c r="C45" s="100" t="s">
        <v>711</v>
      </c>
      <c r="D45" s="96" t="s">
        <v>712</v>
      </c>
      <c r="E45" s="5" t="s">
        <v>18</v>
      </c>
      <c r="F45" s="103">
        <v>45204</v>
      </c>
      <c r="G45" s="100" t="s">
        <v>20</v>
      </c>
      <c r="H45" s="102">
        <v>45204</v>
      </c>
      <c r="I45" s="95" t="s">
        <v>28</v>
      </c>
      <c r="J45" s="100" t="s">
        <v>533</v>
      </c>
      <c r="K45" s="8" t="str">
        <f t="shared" ref="K45:K51" si="3">IF(I45="YES","CAPA VERIFICATION SHOULD BE SCHEDULED",IF(I45="NO","REMINDER LETTER SHOULD BE SENT",""))</f>
        <v>REMINDER LETTER SHOULD BE SENT</v>
      </c>
      <c r="L45" s="56">
        <v>45352</v>
      </c>
      <c r="M45" s="79" t="s">
        <v>713</v>
      </c>
      <c r="N45" s="99" t="str">
        <f t="shared" si="2"/>
        <v>GOD 'S FOUNDATION PHARMA LTD.</v>
      </c>
    </row>
    <row r="46" spans="1:14" ht="28.9">
      <c r="A46" s="94">
        <v>48</v>
      </c>
      <c r="B46" s="98" t="s">
        <v>714</v>
      </c>
      <c r="C46" s="100" t="s">
        <v>715</v>
      </c>
      <c r="D46" s="96" t="s">
        <v>716</v>
      </c>
      <c r="E46" s="5" t="s">
        <v>18</v>
      </c>
      <c r="F46" s="103">
        <v>45204</v>
      </c>
      <c r="G46" s="100" t="s">
        <v>20</v>
      </c>
      <c r="H46" s="102">
        <v>45174</v>
      </c>
      <c r="I46" s="95" t="s">
        <v>28</v>
      </c>
      <c r="J46" s="100" t="s">
        <v>533</v>
      </c>
      <c r="K46" s="8" t="str">
        <f t="shared" si="3"/>
        <v>REMINDER LETTER SHOULD BE SENT</v>
      </c>
      <c r="L46" s="56">
        <v>45352</v>
      </c>
      <c r="M46" s="79" t="s">
        <v>717</v>
      </c>
      <c r="N46" s="99" t="str">
        <f t="shared" si="2"/>
        <v>E.U. EMMASON PHARM. CO.LTD.</v>
      </c>
    </row>
    <row r="47" spans="1:14" ht="42">
      <c r="A47" s="94">
        <v>49</v>
      </c>
      <c r="B47" s="98" t="s">
        <v>718</v>
      </c>
      <c r="C47" s="100" t="s">
        <v>719</v>
      </c>
      <c r="D47" s="96" t="s">
        <v>720</v>
      </c>
      <c r="E47" s="5" t="s">
        <v>18</v>
      </c>
      <c r="F47" s="103">
        <v>44990</v>
      </c>
      <c r="G47" s="98" t="s">
        <v>279</v>
      </c>
      <c r="H47" s="102">
        <v>45174</v>
      </c>
      <c r="I47" s="95" t="s">
        <v>28</v>
      </c>
      <c r="J47" s="100" t="s">
        <v>533</v>
      </c>
      <c r="K47" s="8" t="str">
        <f t="shared" si="3"/>
        <v>REMINDER LETTER SHOULD BE SENT</v>
      </c>
      <c r="L47" s="56">
        <v>45231</v>
      </c>
      <c r="M47" s="79" t="s">
        <v>721</v>
      </c>
      <c r="N47" s="99" t="str">
        <f t="shared" si="2"/>
        <v>ANYIWEST PHARMACY LTD.</v>
      </c>
    </row>
    <row r="48" spans="1:14" ht="28.15">
      <c r="A48" s="94">
        <v>50</v>
      </c>
      <c r="B48" s="100" t="s">
        <v>722</v>
      </c>
      <c r="C48" s="100" t="s">
        <v>723</v>
      </c>
      <c r="D48" s="96" t="s">
        <v>724</v>
      </c>
      <c r="E48" s="5" t="s">
        <v>18</v>
      </c>
      <c r="F48" s="103">
        <v>44990</v>
      </c>
      <c r="G48" s="100" t="s">
        <v>20</v>
      </c>
      <c r="H48" s="100"/>
      <c r="I48" s="95"/>
      <c r="J48" s="100" t="s">
        <v>533</v>
      </c>
      <c r="K48" s="8" t="str">
        <f t="shared" si="3"/>
        <v/>
      </c>
      <c r="L48" s="56">
        <v>45352</v>
      </c>
      <c r="M48" s="79" t="s">
        <v>725</v>
      </c>
      <c r="N48" s="99" t="str">
        <f t="shared" si="2"/>
        <v>KRANTZ PHARMACEUTICAL &amp; CHEMICALS LTD.</v>
      </c>
    </row>
    <row r="49" spans="1:14" ht="42">
      <c r="A49" s="94">
        <v>51</v>
      </c>
      <c r="B49" s="98" t="s">
        <v>726</v>
      </c>
      <c r="C49" s="100" t="s">
        <v>727</v>
      </c>
      <c r="D49" s="96" t="s">
        <v>728</v>
      </c>
      <c r="E49" s="5" t="s">
        <v>18</v>
      </c>
      <c r="F49" s="103">
        <v>45174</v>
      </c>
      <c r="G49" s="98" t="s">
        <v>298</v>
      </c>
      <c r="H49" s="103">
        <v>45144</v>
      </c>
      <c r="I49" s="95" t="s">
        <v>21</v>
      </c>
      <c r="J49" s="100" t="s">
        <v>518</v>
      </c>
      <c r="K49" s="8" t="str">
        <f t="shared" si="3"/>
        <v>CAPA VERIFICATION SHOULD BE SCHEDULED</v>
      </c>
      <c r="L49" s="56">
        <v>45717</v>
      </c>
      <c r="M49" s="79" t="s">
        <v>729</v>
      </c>
      <c r="N49" s="99" t="str">
        <f t="shared" si="2"/>
        <v xml:space="preserve">ALGANDA PHARMACY </v>
      </c>
    </row>
    <row r="50" spans="1:14" ht="42">
      <c r="A50" s="94">
        <v>52</v>
      </c>
      <c r="B50" s="98" t="s">
        <v>730</v>
      </c>
      <c r="C50" s="100" t="s">
        <v>731</v>
      </c>
      <c r="D50" s="96" t="s">
        <v>732</v>
      </c>
      <c r="E50" s="5" t="s">
        <v>18</v>
      </c>
      <c r="F50" s="103">
        <v>45174</v>
      </c>
      <c r="G50" s="98" t="s">
        <v>298</v>
      </c>
      <c r="H50" s="103">
        <v>45154</v>
      </c>
      <c r="I50" s="95" t="s">
        <v>28</v>
      </c>
      <c r="J50" s="100" t="s">
        <v>533</v>
      </c>
      <c r="K50" s="8" t="str">
        <f t="shared" si="3"/>
        <v>REMINDER LETTER SHOULD BE SENT</v>
      </c>
      <c r="L50" s="56">
        <v>45717</v>
      </c>
      <c r="M50" s="79" t="s">
        <v>733</v>
      </c>
      <c r="N50" s="99" t="str">
        <f t="shared" si="2"/>
        <v>CIKASON PHARMACY</v>
      </c>
    </row>
    <row r="51" spans="1:14" ht="42">
      <c r="A51" s="94">
        <v>53</v>
      </c>
      <c r="B51" s="100" t="s">
        <v>734</v>
      </c>
      <c r="C51" s="100" t="s">
        <v>735</v>
      </c>
      <c r="D51" s="96" t="s">
        <v>736</v>
      </c>
      <c r="E51" s="5" t="s">
        <v>18</v>
      </c>
      <c r="F51" s="103">
        <v>44990</v>
      </c>
      <c r="G51" s="98" t="s">
        <v>279</v>
      </c>
      <c r="H51" s="103">
        <v>45174</v>
      </c>
      <c r="I51" s="95" t="s">
        <v>28</v>
      </c>
      <c r="J51" s="100" t="s">
        <v>533</v>
      </c>
      <c r="K51" s="8" t="str">
        <f t="shared" si="3"/>
        <v>REMINDER LETTER SHOULD BE SENT</v>
      </c>
      <c r="L51" s="56">
        <v>45231</v>
      </c>
      <c r="M51" s="79" t="s">
        <v>737</v>
      </c>
      <c r="N51" s="99" t="str">
        <f t="shared" si="2"/>
        <v>MARY-IYKE PHARMACY &amp; STORES</v>
      </c>
    </row>
    <row r="52" spans="1:14" ht="32.25" customHeight="1">
      <c r="A52" s="94">
        <v>54</v>
      </c>
      <c r="B52" s="98" t="s">
        <v>738</v>
      </c>
      <c r="C52" s="100" t="s">
        <v>739</v>
      </c>
      <c r="D52" s="96" t="s">
        <v>740</v>
      </c>
      <c r="E52" s="5" t="s">
        <v>18</v>
      </c>
      <c r="F52" s="98" t="s">
        <v>741</v>
      </c>
      <c r="G52" s="98" t="s">
        <v>298</v>
      </c>
      <c r="H52" s="98" t="s">
        <v>188</v>
      </c>
      <c r="I52" s="95" t="s">
        <v>188</v>
      </c>
      <c r="J52" s="100" t="s">
        <v>742</v>
      </c>
      <c r="K52" s="8" t="s">
        <v>743</v>
      </c>
      <c r="L52" s="56">
        <v>45717</v>
      </c>
      <c r="M52" s="79" t="s">
        <v>744</v>
      </c>
      <c r="N52" s="99" t="str">
        <f t="shared" si="2"/>
        <v>DRUG STOC E HUB LIMITED</v>
      </c>
    </row>
    <row r="53" spans="1:14" ht="32.25" customHeight="1">
      <c r="A53" s="94">
        <v>55</v>
      </c>
      <c r="B53" s="100" t="s">
        <v>745</v>
      </c>
      <c r="C53" s="100" t="s">
        <v>746</v>
      </c>
      <c r="D53" s="96" t="s">
        <v>747</v>
      </c>
      <c r="E53" s="5" t="s">
        <v>18</v>
      </c>
      <c r="F53" s="103">
        <v>44962</v>
      </c>
      <c r="G53" s="100" t="s">
        <v>20</v>
      </c>
      <c r="H53" s="102">
        <v>45144</v>
      </c>
      <c r="I53" s="95" t="s">
        <v>28</v>
      </c>
      <c r="J53" s="100" t="s">
        <v>533</v>
      </c>
      <c r="K53" s="8" t="str">
        <f t="shared" ref="K53:K73" si="4">IF(I53="YES","CAPA VERIFICATION SHOULD BE SCHEDULED",IF(I53="NO","REMINDER LETTER SHOULD BE SENT",""))</f>
        <v>REMINDER LETTER SHOULD BE SENT</v>
      </c>
      <c r="L53" s="56">
        <v>45352</v>
      </c>
      <c r="M53" s="79" t="s">
        <v>748</v>
      </c>
      <c r="N53" s="99" t="str">
        <f t="shared" si="2"/>
        <v>MAC EVENTUS PHARM. CO. LTD.</v>
      </c>
    </row>
    <row r="54" spans="1:14" ht="36" customHeight="1">
      <c r="A54" s="94">
        <v>56</v>
      </c>
      <c r="B54" s="98" t="s">
        <v>749</v>
      </c>
      <c r="C54" s="100" t="s">
        <v>750</v>
      </c>
      <c r="D54" s="96" t="s">
        <v>751</v>
      </c>
      <c r="E54" s="5" t="s">
        <v>18</v>
      </c>
      <c r="F54" s="98" t="s">
        <v>741</v>
      </c>
      <c r="G54" s="98" t="s">
        <v>279</v>
      </c>
      <c r="H54" s="102">
        <v>45100</v>
      </c>
      <c r="I54" s="95" t="s">
        <v>28</v>
      </c>
      <c r="J54" s="100" t="s">
        <v>533</v>
      </c>
      <c r="K54" s="8" t="str">
        <f t="shared" si="4"/>
        <v>REMINDER LETTER SHOULD BE SENT</v>
      </c>
      <c r="L54" s="56">
        <v>45231</v>
      </c>
      <c r="M54" s="79" t="s">
        <v>752</v>
      </c>
      <c r="N54" s="99" t="str">
        <f t="shared" si="2"/>
        <v>SAMNTO PHARM. LTD.</v>
      </c>
    </row>
    <row r="55" spans="1:14" ht="31.5" customHeight="1">
      <c r="A55" s="94">
        <v>57</v>
      </c>
      <c r="B55" s="98" t="s">
        <v>753</v>
      </c>
      <c r="C55" s="100" t="s">
        <v>754</v>
      </c>
      <c r="D55" s="96" t="s">
        <v>755</v>
      </c>
      <c r="E55" s="5" t="s">
        <v>18</v>
      </c>
      <c r="F55" s="103">
        <v>44962</v>
      </c>
      <c r="G55" s="98" t="s">
        <v>279</v>
      </c>
      <c r="H55" s="102">
        <v>45075</v>
      </c>
      <c r="I55" s="95" t="s">
        <v>21</v>
      </c>
      <c r="J55" s="100" t="s">
        <v>518</v>
      </c>
      <c r="K55" s="8" t="str">
        <f t="shared" si="4"/>
        <v>CAPA VERIFICATION SHOULD BE SCHEDULED</v>
      </c>
      <c r="L55" s="56">
        <v>45231</v>
      </c>
      <c r="M55" s="74" t="s">
        <v>613</v>
      </c>
      <c r="N55" s="99" t="str">
        <f t="shared" si="2"/>
        <v>ALANTRA PHARMACY</v>
      </c>
    </row>
    <row r="56" spans="1:14" ht="33" customHeight="1">
      <c r="A56" s="94">
        <v>58</v>
      </c>
      <c r="B56" s="98" t="s">
        <v>756</v>
      </c>
      <c r="C56" s="100" t="s">
        <v>757</v>
      </c>
      <c r="D56" s="96" t="s">
        <v>758</v>
      </c>
      <c r="E56" s="5" t="s">
        <v>18</v>
      </c>
      <c r="F56" s="98" t="s">
        <v>759</v>
      </c>
      <c r="G56" s="100" t="s">
        <v>20</v>
      </c>
      <c r="H56" s="102">
        <v>45314</v>
      </c>
      <c r="I56" s="95" t="s">
        <v>21</v>
      </c>
      <c r="J56" s="100" t="s">
        <v>518</v>
      </c>
      <c r="K56" s="8" t="str">
        <f t="shared" si="4"/>
        <v>CAPA VERIFICATION SHOULD BE SCHEDULED</v>
      </c>
      <c r="L56" s="56">
        <v>45352</v>
      </c>
      <c r="M56" s="79" t="s">
        <v>760</v>
      </c>
      <c r="N56" s="99" t="str">
        <f t="shared" si="2"/>
        <v>CHEV PHARMACEUTICALS</v>
      </c>
    </row>
    <row r="57" spans="1:14" ht="32.25" customHeight="1">
      <c r="A57" s="94">
        <v>60</v>
      </c>
      <c r="B57" s="98" t="s">
        <v>761</v>
      </c>
      <c r="C57" s="100" t="s">
        <v>762</v>
      </c>
      <c r="D57" s="96" t="s">
        <v>763</v>
      </c>
      <c r="E57" s="5" t="s">
        <v>18</v>
      </c>
      <c r="F57" s="103">
        <v>44963</v>
      </c>
      <c r="G57" s="98" t="s">
        <v>279</v>
      </c>
      <c r="H57" s="103" t="s">
        <v>764</v>
      </c>
      <c r="I57" s="95" t="s">
        <v>28</v>
      </c>
      <c r="J57" s="100" t="s">
        <v>533</v>
      </c>
      <c r="K57" s="8" t="str">
        <f t="shared" si="4"/>
        <v>REMINDER LETTER SHOULD BE SENT</v>
      </c>
      <c r="L57" s="56">
        <v>45261</v>
      </c>
      <c r="M57" s="79" t="s">
        <v>765</v>
      </c>
      <c r="N57" s="99" t="str">
        <f t="shared" si="2"/>
        <v>REMSON INVESTMENT LTD</v>
      </c>
    </row>
    <row r="58" spans="1:14" ht="30" customHeight="1">
      <c r="A58" s="94">
        <v>61</v>
      </c>
      <c r="B58" s="100" t="s">
        <v>766</v>
      </c>
      <c r="C58" s="100" t="s">
        <v>767</v>
      </c>
      <c r="D58" s="96" t="s">
        <v>768</v>
      </c>
      <c r="E58" s="5" t="s">
        <v>18</v>
      </c>
      <c r="F58" s="103">
        <v>45052</v>
      </c>
      <c r="G58" s="98" t="s">
        <v>279</v>
      </c>
      <c r="H58" s="103" t="s">
        <v>769</v>
      </c>
      <c r="I58" s="95" t="s">
        <v>28</v>
      </c>
      <c r="J58" s="100" t="s">
        <v>533</v>
      </c>
      <c r="K58" s="8" t="str">
        <f t="shared" si="4"/>
        <v>REMINDER LETTER SHOULD BE SENT</v>
      </c>
      <c r="L58" s="56">
        <v>45261</v>
      </c>
      <c r="M58" s="79" t="s">
        <v>770</v>
      </c>
      <c r="N58" s="99" t="str">
        <f t="shared" si="2"/>
        <v>CITY OF GLORY PHARMACEUTICALS</v>
      </c>
    </row>
    <row r="59" spans="1:14" ht="34.5" customHeight="1">
      <c r="A59" s="94">
        <v>62</v>
      </c>
      <c r="B59" s="98" t="s">
        <v>771</v>
      </c>
      <c r="C59" s="100" t="s">
        <v>772</v>
      </c>
      <c r="D59" s="96" t="s">
        <v>773</v>
      </c>
      <c r="E59" s="5" t="s">
        <v>18</v>
      </c>
      <c r="F59" s="103">
        <v>45144</v>
      </c>
      <c r="G59" s="100" t="s">
        <v>20</v>
      </c>
      <c r="H59" s="100"/>
      <c r="I59" s="95" t="s">
        <v>21</v>
      </c>
      <c r="J59" s="100" t="s">
        <v>518</v>
      </c>
      <c r="K59" s="8" t="str">
        <f t="shared" si="4"/>
        <v>CAPA VERIFICATION SHOULD BE SCHEDULED</v>
      </c>
      <c r="L59" s="56">
        <v>45444</v>
      </c>
      <c r="M59" s="79" t="s">
        <v>774</v>
      </c>
      <c r="N59" s="99" t="str">
        <f t="shared" si="2"/>
        <v>CHRIS NELB PHARM. LTD.</v>
      </c>
    </row>
    <row r="60" spans="1:14" ht="40.5" customHeight="1">
      <c r="A60" s="94">
        <v>63</v>
      </c>
      <c r="B60" s="98" t="s">
        <v>775</v>
      </c>
      <c r="C60" s="100" t="s">
        <v>776</v>
      </c>
      <c r="D60" s="96" t="s">
        <v>777</v>
      </c>
      <c r="E60" s="5" t="s">
        <v>18</v>
      </c>
      <c r="F60" s="103">
        <v>44932</v>
      </c>
      <c r="G60" s="100" t="s">
        <v>20</v>
      </c>
      <c r="H60" s="100" t="s">
        <v>778</v>
      </c>
      <c r="I60" s="95" t="s">
        <v>28</v>
      </c>
      <c r="J60" s="100" t="s">
        <v>533</v>
      </c>
      <c r="K60" s="8" t="str">
        <f t="shared" si="4"/>
        <v>REMINDER LETTER SHOULD BE SENT</v>
      </c>
      <c r="L60" s="56">
        <v>45444</v>
      </c>
      <c r="M60" s="79" t="s">
        <v>779</v>
      </c>
      <c r="N60" s="99" t="str">
        <f t="shared" si="2"/>
        <v>SURPLUS PHARMACY LTD.</v>
      </c>
    </row>
    <row r="61" spans="1:14" ht="33.75" customHeight="1">
      <c r="A61" s="94">
        <v>64</v>
      </c>
      <c r="B61" s="98" t="s">
        <v>780</v>
      </c>
      <c r="C61" s="100" t="s">
        <v>781</v>
      </c>
      <c r="D61" s="96" t="s">
        <v>782</v>
      </c>
      <c r="E61" s="5" t="s">
        <v>18</v>
      </c>
      <c r="F61" s="103">
        <v>45052</v>
      </c>
      <c r="G61" s="100" t="s">
        <v>20</v>
      </c>
      <c r="H61" s="100"/>
      <c r="I61" s="95"/>
      <c r="J61" s="100" t="s">
        <v>533</v>
      </c>
      <c r="K61" s="8" t="str">
        <f t="shared" si="4"/>
        <v/>
      </c>
      <c r="L61" s="56">
        <v>45444</v>
      </c>
      <c r="M61" s="79" t="s">
        <v>783</v>
      </c>
      <c r="N61" s="99" t="str">
        <f t="shared" si="2"/>
        <v>JOHN VIKEE PHARM.</v>
      </c>
    </row>
    <row r="62" spans="1:14" ht="36" customHeight="1">
      <c r="A62" s="94">
        <v>65</v>
      </c>
      <c r="B62" s="98" t="s">
        <v>784</v>
      </c>
      <c r="C62" s="100" t="s">
        <v>785</v>
      </c>
      <c r="D62" s="96" t="s">
        <v>786</v>
      </c>
      <c r="E62" s="5" t="s">
        <v>18</v>
      </c>
      <c r="F62" s="103">
        <v>45052</v>
      </c>
      <c r="G62" s="100" t="s">
        <v>20</v>
      </c>
      <c r="H62" s="100" t="s">
        <v>778</v>
      </c>
      <c r="I62" s="95" t="s">
        <v>28</v>
      </c>
      <c r="J62" s="100" t="s">
        <v>533</v>
      </c>
      <c r="K62" s="8" t="str">
        <f t="shared" si="4"/>
        <v>REMINDER LETTER SHOULD BE SENT</v>
      </c>
      <c r="L62" s="56">
        <v>45444</v>
      </c>
      <c r="M62" s="79" t="s">
        <v>787</v>
      </c>
      <c r="N62" s="99" t="str">
        <f t="shared" si="2"/>
        <v>DOMINO PHARMACY LTD.</v>
      </c>
    </row>
    <row r="63" spans="1:14" ht="31.5" customHeight="1">
      <c r="A63" s="94">
        <v>66</v>
      </c>
      <c r="B63" s="98" t="s">
        <v>788</v>
      </c>
      <c r="C63" s="100" t="s">
        <v>789</v>
      </c>
      <c r="D63" s="96" t="s">
        <v>790</v>
      </c>
      <c r="E63" s="5" t="s">
        <v>18</v>
      </c>
      <c r="F63" s="103">
        <v>45144</v>
      </c>
      <c r="G63" s="100" t="s">
        <v>791</v>
      </c>
      <c r="H63" s="100" t="s">
        <v>778</v>
      </c>
      <c r="I63" s="95" t="s">
        <v>28</v>
      </c>
      <c r="J63" s="100" t="s">
        <v>533</v>
      </c>
      <c r="K63" s="8" t="str">
        <f t="shared" si="4"/>
        <v>REMINDER LETTER SHOULD BE SENT</v>
      </c>
      <c r="L63" s="56">
        <v>45444</v>
      </c>
      <c r="M63" s="79" t="s">
        <v>792</v>
      </c>
      <c r="N63" s="99" t="str">
        <f t="shared" si="2"/>
        <v>HOLEX PHARMACEUTCAL LTD.</v>
      </c>
    </row>
    <row r="64" spans="1:14" ht="33.75" customHeight="1">
      <c r="A64" s="94">
        <v>67</v>
      </c>
      <c r="B64" s="98" t="s">
        <v>793</v>
      </c>
      <c r="C64" s="100" t="s">
        <v>794</v>
      </c>
      <c r="D64" s="96" t="s">
        <v>795</v>
      </c>
      <c r="E64" s="5" t="s">
        <v>18</v>
      </c>
      <c r="F64" s="103">
        <v>45052</v>
      </c>
      <c r="G64" s="100" t="s">
        <v>20</v>
      </c>
      <c r="H64" s="100" t="s">
        <v>778</v>
      </c>
      <c r="I64" s="95" t="s">
        <v>28</v>
      </c>
      <c r="J64" s="100" t="s">
        <v>533</v>
      </c>
      <c r="K64" s="8" t="str">
        <f t="shared" si="4"/>
        <v>REMINDER LETTER SHOULD BE SENT</v>
      </c>
      <c r="L64" s="56">
        <v>45444</v>
      </c>
      <c r="M64" s="79" t="s">
        <v>796</v>
      </c>
      <c r="N64" s="99" t="str">
        <f t="shared" si="2"/>
        <v>WINDON PHARMACY</v>
      </c>
    </row>
    <row r="65" spans="1:14" ht="31.5" customHeight="1">
      <c r="A65" s="94">
        <v>68</v>
      </c>
      <c r="B65" s="98" t="s">
        <v>797</v>
      </c>
      <c r="C65" s="100" t="s">
        <v>798</v>
      </c>
      <c r="D65" s="96" t="s">
        <v>799</v>
      </c>
      <c r="E65" s="5" t="s">
        <v>18</v>
      </c>
      <c r="F65" s="103">
        <v>44963</v>
      </c>
      <c r="G65" s="98" t="s">
        <v>279</v>
      </c>
      <c r="H65" s="103" t="s">
        <v>769</v>
      </c>
      <c r="I65" s="95" t="s">
        <v>28</v>
      </c>
      <c r="J65" s="100" t="s">
        <v>533</v>
      </c>
      <c r="K65" s="8" t="str">
        <f t="shared" si="4"/>
        <v>REMINDER LETTER SHOULD BE SENT</v>
      </c>
      <c r="L65" s="56">
        <v>45261</v>
      </c>
      <c r="M65" s="79" t="s">
        <v>800</v>
      </c>
      <c r="N65" s="99" t="str">
        <f t="shared" si="2"/>
        <v xml:space="preserve">JOSFEKMART PHARMACY </v>
      </c>
    </row>
    <row r="66" spans="1:14" ht="31.5" customHeight="1">
      <c r="A66" s="94">
        <v>69</v>
      </c>
      <c r="B66" s="98" t="s">
        <v>801</v>
      </c>
      <c r="C66" s="100" t="s">
        <v>802</v>
      </c>
      <c r="D66" s="96" t="s">
        <v>803</v>
      </c>
      <c r="E66" s="5" t="s">
        <v>18</v>
      </c>
      <c r="F66" s="103">
        <v>45175</v>
      </c>
      <c r="G66" s="100" t="s">
        <v>804</v>
      </c>
      <c r="H66" s="100" t="s">
        <v>778</v>
      </c>
      <c r="I66" s="95" t="s">
        <v>21</v>
      </c>
      <c r="J66" s="100" t="s">
        <v>533</v>
      </c>
      <c r="K66" s="8" t="str">
        <f t="shared" si="4"/>
        <v>CAPA VERIFICATION SHOULD BE SCHEDULED</v>
      </c>
      <c r="L66" s="56">
        <v>45444</v>
      </c>
      <c r="M66" s="79" t="s">
        <v>805</v>
      </c>
      <c r="N66" s="99" t="str">
        <f t="shared" si="2"/>
        <v>LINCO STAR PHARMACEUTICALS</v>
      </c>
    </row>
    <row r="67" spans="1:14" ht="31.5" customHeight="1">
      <c r="A67" s="94">
        <v>70</v>
      </c>
      <c r="B67" s="98" t="s">
        <v>806</v>
      </c>
      <c r="C67" s="100" t="s">
        <v>807</v>
      </c>
      <c r="D67" s="96" t="s">
        <v>808</v>
      </c>
      <c r="E67" s="5" t="s">
        <v>18</v>
      </c>
      <c r="F67" s="103">
        <v>45052</v>
      </c>
      <c r="G67" s="98" t="s">
        <v>279</v>
      </c>
      <c r="H67" s="103" t="s">
        <v>769</v>
      </c>
      <c r="I67" s="95" t="s">
        <v>28</v>
      </c>
      <c r="J67" s="100" t="s">
        <v>533</v>
      </c>
      <c r="K67" s="8" t="str">
        <f t="shared" si="4"/>
        <v>REMINDER LETTER SHOULD BE SENT</v>
      </c>
      <c r="L67" s="56">
        <v>45261</v>
      </c>
      <c r="M67" s="79" t="s">
        <v>809</v>
      </c>
      <c r="N67" s="99" t="str">
        <f t="shared" ref="N67:N98" si="5">IF(M67="","",HYPERLINK(M67,B67))</f>
        <v>E. EGBESON CHEM. PHARM.</v>
      </c>
    </row>
    <row r="68" spans="1:14" ht="33.75" customHeight="1">
      <c r="A68" s="94">
        <v>71</v>
      </c>
      <c r="B68" s="98" t="s">
        <v>810</v>
      </c>
      <c r="C68" s="100" t="s">
        <v>811</v>
      </c>
      <c r="D68" s="96" t="s">
        <v>812</v>
      </c>
      <c r="E68" s="5" t="s">
        <v>18</v>
      </c>
      <c r="F68" s="103">
        <v>45052</v>
      </c>
      <c r="G68" s="98" t="s">
        <v>279</v>
      </c>
      <c r="H68" s="103" t="s">
        <v>769</v>
      </c>
      <c r="I68" s="95" t="s">
        <v>28</v>
      </c>
      <c r="J68" s="100" t="s">
        <v>533</v>
      </c>
      <c r="K68" s="8" t="str">
        <f t="shared" si="4"/>
        <v>REMINDER LETTER SHOULD BE SENT</v>
      </c>
      <c r="L68" s="56">
        <v>45261</v>
      </c>
      <c r="M68" s="79" t="s">
        <v>813</v>
      </c>
      <c r="N68" s="99" t="str">
        <f t="shared" si="5"/>
        <v>DE GOOD GOD PHARMACY</v>
      </c>
    </row>
    <row r="69" spans="1:14" ht="33.75" customHeight="1">
      <c r="A69" s="94">
        <v>72</v>
      </c>
      <c r="B69" s="98" t="s">
        <v>814</v>
      </c>
      <c r="C69" s="100" t="s">
        <v>815</v>
      </c>
      <c r="D69" s="96" t="s">
        <v>816</v>
      </c>
      <c r="E69" s="5" t="s">
        <v>18</v>
      </c>
      <c r="F69" s="103">
        <v>45113</v>
      </c>
      <c r="G69" s="98" t="s">
        <v>279</v>
      </c>
      <c r="H69" s="103" t="s">
        <v>769</v>
      </c>
      <c r="I69" s="95" t="s">
        <v>28</v>
      </c>
      <c r="J69" s="100" t="s">
        <v>533</v>
      </c>
      <c r="K69" s="8" t="str">
        <f t="shared" si="4"/>
        <v>REMINDER LETTER SHOULD BE SENT</v>
      </c>
      <c r="L69" s="56">
        <v>45261</v>
      </c>
      <c r="M69" s="79" t="s">
        <v>817</v>
      </c>
      <c r="N69" s="99" t="str">
        <f t="shared" si="5"/>
        <v>ALKATRICE PHARMACEUTICALS</v>
      </c>
    </row>
    <row r="70" spans="1:14" ht="30" customHeight="1">
      <c r="A70" s="94">
        <v>73</v>
      </c>
      <c r="B70" s="98" t="s">
        <v>818</v>
      </c>
      <c r="C70" s="100" t="s">
        <v>819</v>
      </c>
      <c r="D70" s="96" t="s">
        <v>820</v>
      </c>
      <c r="E70" s="5" t="s">
        <v>18</v>
      </c>
      <c r="F70" s="103">
        <v>45113</v>
      </c>
      <c r="G70" s="100" t="s">
        <v>279</v>
      </c>
      <c r="H70" s="103" t="s">
        <v>769</v>
      </c>
      <c r="I70" s="95" t="s">
        <v>28</v>
      </c>
      <c r="J70" s="100" t="s">
        <v>533</v>
      </c>
      <c r="K70" s="8" t="str">
        <f t="shared" si="4"/>
        <v>REMINDER LETTER SHOULD BE SENT</v>
      </c>
      <c r="L70" s="56">
        <v>45261</v>
      </c>
      <c r="M70" s="79" t="s">
        <v>821</v>
      </c>
      <c r="N70" s="99" t="str">
        <f t="shared" si="5"/>
        <v>LIVE MORE PHARMACY</v>
      </c>
    </row>
    <row r="71" spans="1:14" ht="35.25" customHeight="1">
      <c r="A71" s="94">
        <v>74</v>
      </c>
      <c r="B71" s="98" t="s">
        <v>822</v>
      </c>
      <c r="C71" s="100" t="s">
        <v>823</v>
      </c>
      <c r="D71" s="96" t="s">
        <v>824</v>
      </c>
      <c r="E71" s="5" t="s">
        <v>18</v>
      </c>
      <c r="F71" s="103">
        <v>45175</v>
      </c>
      <c r="G71" s="98" t="s">
        <v>279</v>
      </c>
      <c r="H71" s="103" t="s">
        <v>825</v>
      </c>
      <c r="I71" s="95" t="s">
        <v>28</v>
      </c>
      <c r="J71" s="100" t="s">
        <v>533</v>
      </c>
      <c r="K71" s="8" t="str">
        <f t="shared" si="4"/>
        <v>REMINDER LETTER SHOULD BE SENT</v>
      </c>
      <c r="L71" s="56">
        <v>45261</v>
      </c>
      <c r="M71" s="79" t="s">
        <v>826</v>
      </c>
      <c r="N71" s="99" t="str">
        <f t="shared" si="5"/>
        <v>UZOKENN PHARMACY</v>
      </c>
    </row>
    <row r="72" spans="1:14" ht="36" customHeight="1">
      <c r="A72" s="94">
        <v>75</v>
      </c>
      <c r="B72" s="98" t="s">
        <v>827</v>
      </c>
      <c r="C72" s="100" t="s">
        <v>828</v>
      </c>
      <c r="D72" s="96" t="s">
        <v>829</v>
      </c>
      <c r="E72" s="5" t="s">
        <v>18</v>
      </c>
      <c r="F72" s="98" t="s">
        <v>830</v>
      </c>
      <c r="G72" s="98" t="s">
        <v>279</v>
      </c>
      <c r="H72" s="103" t="s">
        <v>825</v>
      </c>
      <c r="I72" s="95" t="s">
        <v>28</v>
      </c>
      <c r="J72" s="100" t="s">
        <v>533</v>
      </c>
      <c r="K72" s="8" t="str">
        <f t="shared" si="4"/>
        <v>REMINDER LETTER SHOULD BE SENT</v>
      </c>
      <c r="L72" s="56">
        <v>45261</v>
      </c>
      <c r="M72" s="79" t="s">
        <v>831</v>
      </c>
      <c r="N72" s="99" t="str">
        <f t="shared" si="5"/>
        <v>EVITA MOORE NIG. LTD.</v>
      </c>
    </row>
    <row r="73" spans="1:14" ht="34.5" customHeight="1">
      <c r="A73" s="94">
        <v>76</v>
      </c>
      <c r="B73" s="98" t="s">
        <v>832</v>
      </c>
      <c r="C73" s="100" t="s">
        <v>833</v>
      </c>
      <c r="D73" s="96" t="s">
        <v>834</v>
      </c>
      <c r="E73" s="5" t="s">
        <v>18</v>
      </c>
      <c r="F73" s="103">
        <v>45083</v>
      </c>
      <c r="G73" s="98" t="s">
        <v>298</v>
      </c>
      <c r="H73" s="98" t="s">
        <v>835</v>
      </c>
      <c r="I73" s="95" t="s">
        <v>28</v>
      </c>
      <c r="J73" s="100" t="s">
        <v>533</v>
      </c>
      <c r="K73" s="8" t="str">
        <f t="shared" si="4"/>
        <v>REMINDER LETTER SHOULD BE SENT</v>
      </c>
      <c r="L73" s="56">
        <v>45261</v>
      </c>
      <c r="M73" s="79" t="s">
        <v>836</v>
      </c>
      <c r="N73" s="99" t="str">
        <f t="shared" si="5"/>
        <v>GLACK PHARMACEUTICALS LTD.</v>
      </c>
    </row>
    <row r="74" spans="1:14" ht="30.75" customHeight="1">
      <c r="A74" s="94">
        <v>77</v>
      </c>
      <c r="B74" s="98" t="s">
        <v>837</v>
      </c>
      <c r="C74" s="100" t="s">
        <v>838</v>
      </c>
      <c r="D74" s="96" t="s">
        <v>839</v>
      </c>
      <c r="E74" s="5" t="s">
        <v>18</v>
      </c>
      <c r="F74" s="98" t="s">
        <v>840</v>
      </c>
      <c r="G74" s="100" t="s">
        <v>841</v>
      </c>
      <c r="H74" s="100" t="s">
        <v>188</v>
      </c>
      <c r="I74" s="95" t="s">
        <v>188</v>
      </c>
      <c r="J74" s="100" t="s">
        <v>518</v>
      </c>
      <c r="K74" s="8" t="s">
        <v>842</v>
      </c>
      <c r="L74" s="56">
        <v>45444</v>
      </c>
      <c r="M74" s="79" t="s">
        <v>843</v>
      </c>
      <c r="N74" s="99" t="str">
        <f t="shared" si="5"/>
        <v>DRUG FIELD PHARMACEUTICALS</v>
      </c>
    </row>
    <row r="75" spans="1:14" ht="36" customHeight="1">
      <c r="A75" s="94">
        <v>78</v>
      </c>
      <c r="B75" s="98" t="s">
        <v>844</v>
      </c>
      <c r="C75" s="100" t="s">
        <v>845</v>
      </c>
      <c r="D75" s="96" t="s">
        <v>846</v>
      </c>
      <c r="E75" s="5" t="s">
        <v>18</v>
      </c>
      <c r="F75" s="98" t="s">
        <v>840</v>
      </c>
      <c r="G75" s="100" t="s">
        <v>635</v>
      </c>
      <c r="H75" s="102">
        <v>45160</v>
      </c>
      <c r="I75" s="95" t="s">
        <v>28</v>
      </c>
      <c r="J75" s="100" t="s">
        <v>533</v>
      </c>
      <c r="K75" s="8" t="str">
        <f t="shared" ref="K75:K89" si="6">IF(I75="YES","CAPA VERIFICATION SHOULD BE SCHEDULED",IF(I75="NO","REMINDER LETTER SHOULD BE SENT",""))</f>
        <v>REMINDER LETTER SHOULD BE SENT</v>
      </c>
      <c r="L75" s="56">
        <v>45444</v>
      </c>
      <c r="M75" s="79" t="s">
        <v>847</v>
      </c>
      <c r="N75" s="99" t="str">
        <f t="shared" si="5"/>
        <v>DIVINE LIFT PHARMACEUTICALS</v>
      </c>
    </row>
    <row r="76" spans="1:14" ht="28.5" customHeight="1">
      <c r="A76" s="94">
        <v>79</v>
      </c>
      <c r="B76" s="98" t="s">
        <v>756</v>
      </c>
      <c r="C76" s="100" t="s">
        <v>757</v>
      </c>
      <c r="D76" s="96" t="s">
        <v>758</v>
      </c>
      <c r="E76" s="5" t="s">
        <v>18</v>
      </c>
      <c r="F76" s="98" t="s">
        <v>759</v>
      </c>
      <c r="G76" s="100" t="s">
        <v>20</v>
      </c>
      <c r="H76" s="100"/>
      <c r="I76" s="95" t="s">
        <v>21</v>
      </c>
      <c r="J76" s="100" t="s">
        <v>533</v>
      </c>
      <c r="K76" s="8" t="str">
        <f t="shared" si="6"/>
        <v>CAPA VERIFICATION SHOULD BE SCHEDULED</v>
      </c>
      <c r="L76" s="56">
        <v>45444</v>
      </c>
      <c r="M76" s="79" t="s">
        <v>760</v>
      </c>
      <c r="N76" s="99" t="str">
        <f t="shared" si="5"/>
        <v>CHEV PHARMACEUTICALS</v>
      </c>
    </row>
    <row r="77" spans="1:14" ht="34.5" customHeight="1">
      <c r="A77" s="94">
        <v>80</v>
      </c>
      <c r="B77" s="100" t="s">
        <v>848</v>
      </c>
      <c r="C77" s="100" t="s">
        <v>849</v>
      </c>
      <c r="D77" s="96" t="s">
        <v>850</v>
      </c>
      <c r="E77" s="5" t="s">
        <v>18</v>
      </c>
      <c r="F77" s="103">
        <v>44932</v>
      </c>
      <c r="G77" s="100" t="s">
        <v>20</v>
      </c>
      <c r="H77" s="103" t="s">
        <v>769</v>
      </c>
      <c r="I77" s="95" t="s">
        <v>28</v>
      </c>
      <c r="J77" s="100" t="s">
        <v>533</v>
      </c>
      <c r="K77" s="8" t="str">
        <f t="shared" si="6"/>
        <v>REMINDER LETTER SHOULD BE SENT</v>
      </c>
      <c r="L77" s="56">
        <v>45444</v>
      </c>
      <c r="M77" s="75" t="s">
        <v>851</v>
      </c>
      <c r="N77" s="99" t="str">
        <f t="shared" si="5"/>
        <v>A.N. CHIDOZIE PHARMACEUTICALS</v>
      </c>
    </row>
    <row r="78" spans="1:14" ht="42.75" customHeight="1">
      <c r="A78" s="94">
        <v>81</v>
      </c>
      <c r="B78" s="100" t="s">
        <v>852</v>
      </c>
      <c r="C78" s="100" t="s">
        <v>853</v>
      </c>
      <c r="D78" s="96" t="s">
        <v>854</v>
      </c>
      <c r="E78" s="5" t="s">
        <v>18</v>
      </c>
      <c r="F78" s="103">
        <v>44932</v>
      </c>
      <c r="G78" s="100" t="s">
        <v>841</v>
      </c>
      <c r="H78" s="103" t="s">
        <v>769</v>
      </c>
      <c r="I78" s="95" t="s">
        <v>28</v>
      </c>
      <c r="J78" s="100" t="s">
        <v>533</v>
      </c>
      <c r="K78" s="8" t="str">
        <f t="shared" si="6"/>
        <v>REMINDER LETTER SHOULD BE SENT</v>
      </c>
      <c r="L78" s="56">
        <v>45444</v>
      </c>
      <c r="M78" s="79" t="s">
        <v>855</v>
      </c>
      <c r="N78" s="99" t="str">
        <f t="shared" si="5"/>
        <v xml:space="preserve">OBITEX DIVINE PHARMACEUTICALS
</v>
      </c>
    </row>
    <row r="79" spans="1:14" ht="55.9">
      <c r="A79" s="94">
        <v>82</v>
      </c>
      <c r="B79" s="100" t="s">
        <v>856</v>
      </c>
      <c r="C79" s="100" t="s">
        <v>857</v>
      </c>
      <c r="D79" s="96" t="s">
        <v>858</v>
      </c>
      <c r="E79" s="5" t="s">
        <v>18</v>
      </c>
      <c r="F79" s="103">
        <v>45144</v>
      </c>
      <c r="G79" s="100" t="s">
        <v>841</v>
      </c>
      <c r="H79" s="100" t="s">
        <v>778</v>
      </c>
      <c r="I79" s="95" t="s">
        <v>28</v>
      </c>
      <c r="J79" s="100" t="s">
        <v>533</v>
      </c>
      <c r="K79" s="8" t="str">
        <f t="shared" si="6"/>
        <v>REMINDER LETTER SHOULD BE SENT</v>
      </c>
      <c r="L79" s="56">
        <v>45444</v>
      </c>
      <c r="M79" s="79" t="s">
        <v>859</v>
      </c>
      <c r="N79" s="99" t="str">
        <f t="shared" si="5"/>
        <v xml:space="preserve">DRUG AMBASSADOR PHARM LTD.
</v>
      </c>
    </row>
    <row r="80" spans="1:14" ht="30.75" customHeight="1">
      <c r="A80" s="94">
        <v>84</v>
      </c>
      <c r="B80" s="98" t="s">
        <v>860</v>
      </c>
      <c r="C80" s="100" t="s">
        <v>861</v>
      </c>
      <c r="D80" s="96" t="s">
        <v>862</v>
      </c>
      <c r="E80" s="5" t="s">
        <v>18</v>
      </c>
      <c r="F80" s="103">
        <v>45114</v>
      </c>
      <c r="G80" s="100" t="s">
        <v>20</v>
      </c>
      <c r="H80" s="100" t="s">
        <v>863</v>
      </c>
      <c r="I80" s="95" t="s">
        <v>28</v>
      </c>
      <c r="J80" s="100" t="s">
        <v>533</v>
      </c>
      <c r="K80" s="8" t="str">
        <f t="shared" si="6"/>
        <v>REMINDER LETTER SHOULD BE SENT</v>
      </c>
      <c r="L80" s="56">
        <v>45474</v>
      </c>
      <c r="M80" s="79" t="s">
        <v>864</v>
      </c>
      <c r="N80" s="99" t="str">
        <f t="shared" si="5"/>
        <v>BLESSED NOEDYKE PHARM. CO</v>
      </c>
    </row>
    <row r="81" spans="1:14" ht="46.5" customHeight="1">
      <c r="A81" s="94">
        <v>85</v>
      </c>
      <c r="B81" s="98" t="s">
        <v>865</v>
      </c>
      <c r="C81" s="100" t="s">
        <v>866</v>
      </c>
      <c r="D81" s="96" t="s">
        <v>867</v>
      </c>
      <c r="E81" s="5" t="s">
        <v>18</v>
      </c>
      <c r="F81" s="98" t="s">
        <v>868</v>
      </c>
      <c r="G81" s="100" t="s">
        <v>20</v>
      </c>
      <c r="H81" s="102">
        <v>44934</v>
      </c>
      <c r="I81" s="95" t="s">
        <v>21</v>
      </c>
      <c r="J81" s="100" t="s">
        <v>518</v>
      </c>
      <c r="K81" s="8" t="str">
        <f t="shared" si="6"/>
        <v>CAPA VERIFICATION SHOULD BE SCHEDULED</v>
      </c>
      <c r="L81" t="s">
        <v>667</v>
      </c>
      <c r="M81" s="79" t="s">
        <v>869</v>
      </c>
      <c r="N81" s="99" t="str">
        <f t="shared" si="5"/>
        <v>ELBE PHARMA.NIG.LTD</v>
      </c>
    </row>
    <row r="82" spans="1:14" ht="71.25" customHeight="1">
      <c r="A82" s="94">
        <v>86</v>
      </c>
      <c r="B82" s="98" t="s">
        <v>870</v>
      </c>
      <c r="C82" s="100" t="s">
        <v>871</v>
      </c>
      <c r="D82" s="96" t="s">
        <v>872</v>
      </c>
      <c r="E82" s="5" t="s">
        <v>18</v>
      </c>
      <c r="F82" s="98" t="s">
        <v>873</v>
      </c>
      <c r="G82" s="100" t="s">
        <v>874</v>
      </c>
      <c r="H82" s="100" t="s">
        <v>875</v>
      </c>
      <c r="I82" s="95" t="s">
        <v>21</v>
      </c>
      <c r="J82" s="100" t="s">
        <v>518</v>
      </c>
      <c r="K82" s="8" t="str">
        <f t="shared" si="6"/>
        <v>CAPA VERIFICATION SHOULD BE SCHEDULED</v>
      </c>
      <c r="L82" t="s">
        <v>667</v>
      </c>
      <c r="M82" s="79" t="s">
        <v>876</v>
      </c>
      <c r="N82" s="99" t="str">
        <f t="shared" si="5"/>
        <v>GREENLIFE PHARMA</v>
      </c>
    </row>
    <row r="83" spans="1:14" ht="66" customHeight="1">
      <c r="A83" s="94">
        <v>87</v>
      </c>
      <c r="B83" s="98" t="s">
        <v>877</v>
      </c>
      <c r="C83" s="100" t="s">
        <v>878</v>
      </c>
      <c r="D83" s="96" t="s">
        <v>879</v>
      </c>
      <c r="E83" s="5" t="s">
        <v>18</v>
      </c>
      <c r="F83" s="98" t="s">
        <v>880</v>
      </c>
      <c r="G83" s="100" t="s">
        <v>841</v>
      </c>
      <c r="H83" s="102">
        <v>44934</v>
      </c>
      <c r="I83" s="95" t="s">
        <v>28</v>
      </c>
      <c r="J83" s="100" t="s">
        <v>518</v>
      </c>
      <c r="K83" s="8" t="str">
        <f t="shared" si="6"/>
        <v>REMINDER LETTER SHOULD BE SENT</v>
      </c>
      <c r="L83" s="56">
        <v>45292</v>
      </c>
      <c r="M83" s="79" t="s">
        <v>881</v>
      </c>
      <c r="N83" s="99" t="str">
        <f t="shared" si="5"/>
        <v>EMBASSY PHARM</v>
      </c>
    </row>
    <row r="84" spans="1:14" ht="56.25" customHeight="1">
      <c r="A84" s="94">
        <v>88</v>
      </c>
      <c r="B84" s="98" t="s">
        <v>882</v>
      </c>
      <c r="C84" s="100" t="s">
        <v>883</v>
      </c>
      <c r="D84" s="96" t="s">
        <v>884</v>
      </c>
      <c r="E84" s="5" t="s">
        <v>18</v>
      </c>
      <c r="F84" s="98" t="s">
        <v>880</v>
      </c>
      <c r="G84" s="100" t="s">
        <v>791</v>
      </c>
      <c r="H84" s="102">
        <v>44934</v>
      </c>
      <c r="I84" s="95" t="s">
        <v>21</v>
      </c>
      <c r="J84" s="100" t="s">
        <v>518</v>
      </c>
      <c r="K84" s="8" t="str">
        <f t="shared" si="6"/>
        <v>CAPA VERIFICATION SHOULD BE SCHEDULED</v>
      </c>
      <c r="L84" t="s">
        <v>667</v>
      </c>
      <c r="M84" s="79" t="s">
        <v>885</v>
      </c>
      <c r="N84" s="99" t="str">
        <f t="shared" si="5"/>
        <v>TEKA PHARMACEUTICALS</v>
      </c>
    </row>
    <row r="85" spans="1:14" ht="53.25" customHeight="1">
      <c r="A85" s="94">
        <v>89</v>
      </c>
      <c r="B85" s="98" t="s">
        <v>886</v>
      </c>
      <c r="C85" s="100" t="s">
        <v>887</v>
      </c>
      <c r="D85" s="96" t="s">
        <v>888</v>
      </c>
      <c r="E85" s="5" t="s">
        <v>18</v>
      </c>
      <c r="F85" s="98" t="s">
        <v>889</v>
      </c>
      <c r="G85" s="100" t="s">
        <v>890</v>
      </c>
      <c r="H85" s="100" t="s">
        <v>891</v>
      </c>
      <c r="I85" s="95" t="s">
        <v>21</v>
      </c>
      <c r="J85" s="100" t="s">
        <v>518</v>
      </c>
      <c r="K85" s="8" t="str">
        <f t="shared" si="6"/>
        <v>CAPA VERIFICATION SHOULD BE SCHEDULED</v>
      </c>
      <c r="L85" s="56">
        <v>45292</v>
      </c>
      <c r="M85" s="79" t="s">
        <v>892</v>
      </c>
      <c r="N85" s="99" t="str">
        <f t="shared" si="5"/>
        <v>CLARION HEALTHCARE</v>
      </c>
    </row>
    <row r="86" spans="1:14" ht="46.5" customHeight="1">
      <c r="A86" s="94">
        <v>90</v>
      </c>
      <c r="B86" s="98" t="s">
        <v>893</v>
      </c>
      <c r="C86" s="100" t="s">
        <v>894</v>
      </c>
      <c r="D86" s="96" t="s">
        <v>895</v>
      </c>
      <c r="E86" s="5" t="s">
        <v>18</v>
      </c>
      <c r="F86" s="98" t="s">
        <v>868</v>
      </c>
      <c r="G86" s="100" t="s">
        <v>20</v>
      </c>
      <c r="H86" s="100" t="s">
        <v>896</v>
      </c>
      <c r="I86" s="95" t="s">
        <v>21</v>
      </c>
      <c r="J86" s="100" t="s">
        <v>518</v>
      </c>
      <c r="K86" s="8" t="str">
        <f t="shared" si="6"/>
        <v>CAPA VERIFICATION SHOULD BE SCHEDULED</v>
      </c>
      <c r="L86" s="56">
        <v>45474</v>
      </c>
      <c r="M86" s="79" t="s">
        <v>897</v>
      </c>
      <c r="N86" s="99" t="str">
        <f t="shared" si="5"/>
        <v>HUGO DRUGS LIMITED</v>
      </c>
    </row>
    <row r="87" spans="1:14" ht="63.75" customHeight="1">
      <c r="A87" s="94">
        <v>91</v>
      </c>
      <c r="B87" s="98" t="s">
        <v>898</v>
      </c>
      <c r="C87" s="100" t="s">
        <v>899</v>
      </c>
      <c r="D87" s="96" t="s">
        <v>900</v>
      </c>
      <c r="E87" s="5" t="s">
        <v>18</v>
      </c>
      <c r="F87" s="98" t="s">
        <v>901</v>
      </c>
      <c r="G87" s="100" t="s">
        <v>791</v>
      </c>
      <c r="H87" s="102">
        <v>44934</v>
      </c>
      <c r="I87" s="95" t="s">
        <v>21</v>
      </c>
      <c r="J87" s="100" t="s">
        <v>533</v>
      </c>
      <c r="K87" s="8" t="str">
        <f t="shared" si="6"/>
        <v>CAPA VERIFICATION SHOULD BE SCHEDULED</v>
      </c>
      <c r="L87" s="56">
        <v>45474</v>
      </c>
      <c r="M87" s="79" t="s">
        <v>902</v>
      </c>
      <c r="N87" s="99" t="str">
        <f t="shared" si="5"/>
        <v>MARK PHARMACEUTICALS</v>
      </c>
    </row>
    <row r="88" spans="1:14" ht="63.75" customHeight="1">
      <c r="A88" s="94">
        <v>92</v>
      </c>
      <c r="B88" s="98" t="s">
        <v>903</v>
      </c>
      <c r="C88" s="100" t="s">
        <v>904</v>
      </c>
      <c r="D88" s="96" t="s">
        <v>905</v>
      </c>
      <c r="E88" s="5" t="s">
        <v>18</v>
      </c>
      <c r="F88" s="98" t="s">
        <v>901</v>
      </c>
      <c r="G88" s="100" t="s">
        <v>298</v>
      </c>
      <c r="H88" s="100"/>
      <c r="I88" s="95"/>
      <c r="J88" s="100" t="s">
        <v>906</v>
      </c>
      <c r="K88" s="8" t="str">
        <f t="shared" si="6"/>
        <v/>
      </c>
      <c r="L88" s="56">
        <v>45839</v>
      </c>
      <c r="M88" s="79" t="s">
        <v>907</v>
      </c>
      <c r="N88" s="99" t="str">
        <f t="shared" si="5"/>
        <v>DERM PHARMACEUTICALS</v>
      </c>
    </row>
    <row r="89" spans="1:14" ht="45" customHeight="1">
      <c r="A89" s="94">
        <v>93</v>
      </c>
      <c r="B89" s="98" t="s">
        <v>908</v>
      </c>
      <c r="C89" s="100" t="s">
        <v>909</v>
      </c>
      <c r="D89" s="96" t="s">
        <v>910</v>
      </c>
      <c r="E89" s="5" t="s">
        <v>18</v>
      </c>
      <c r="F89" s="98" t="s">
        <v>880</v>
      </c>
      <c r="G89" s="100" t="s">
        <v>911</v>
      </c>
      <c r="H89" s="102">
        <v>44934</v>
      </c>
      <c r="I89" s="95" t="s">
        <v>21</v>
      </c>
      <c r="J89" s="100" t="s">
        <v>518</v>
      </c>
      <c r="K89" s="8" t="str">
        <f t="shared" si="6"/>
        <v>CAPA VERIFICATION SHOULD BE SCHEDULED</v>
      </c>
      <c r="L89" t="s">
        <v>667</v>
      </c>
      <c r="M89" s="79" t="s">
        <v>912</v>
      </c>
      <c r="N89" s="99" t="str">
        <f t="shared" si="5"/>
        <v>SAGAR VITACEUTICALS</v>
      </c>
    </row>
    <row r="90" spans="1:14" ht="64.5" customHeight="1">
      <c r="A90" s="94">
        <v>94</v>
      </c>
      <c r="B90" s="98" t="s">
        <v>913</v>
      </c>
      <c r="C90" s="100" t="s">
        <v>914</v>
      </c>
      <c r="D90" s="96" t="s">
        <v>915</v>
      </c>
      <c r="E90" s="5" t="s">
        <v>18</v>
      </c>
      <c r="F90" s="98" t="s">
        <v>868</v>
      </c>
      <c r="G90" s="100" t="s">
        <v>298</v>
      </c>
      <c r="H90" s="102">
        <v>44934</v>
      </c>
      <c r="I90" s="95" t="s">
        <v>21</v>
      </c>
      <c r="J90" s="100" t="s">
        <v>518</v>
      </c>
      <c r="K90" s="8" t="s">
        <v>519</v>
      </c>
      <c r="L90" t="s">
        <v>667</v>
      </c>
      <c r="M90" s="79" t="s">
        <v>916</v>
      </c>
      <c r="N90" s="99" t="str">
        <f t="shared" si="5"/>
        <v>VINCO PHARMACEUTICAL</v>
      </c>
    </row>
    <row r="91" spans="1:14" ht="51.75" customHeight="1">
      <c r="A91" s="94">
        <v>95</v>
      </c>
      <c r="B91" s="98" t="s">
        <v>917</v>
      </c>
      <c r="C91" s="100" t="s">
        <v>918</v>
      </c>
      <c r="D91" s="96" t="s">
        <v>919</v>
      </c>
      <c r="E91" s="5" t="s">
        <v>18</v>
      </c>
      <c r="F91" s="98" t="s">
        <v>868</v>
      </c>
      <c r="G91" s="100" t="s">
        <v>20</v>
      </c>
      <c r="H91" s="102">
        <v>44934</v>
      </c>
      <c r="I91" s="95" t="s">
        <v>28</v>
      </c>
      <c r="J91" s="100" t="s">
        <v>533</v>
      </c>
      <c r="K91" s="8" t="str">
        <f t="shared" ref="K91:K98" si="7">IF(I91="YES","CAPA VERIFICATION SHOULD BE SCHEDULED",IF(I91="NO","REMINDER LETTER SHOULD BE SENT",""))</f>
        <v>REMINDER LETTER SHOULD BE SENT</v>
      </c>
      <c r="L91" s="56">
        <v>45474</v>
      </c>
      <c r="M91" s="79" t="s">
        <v>920</v>
      </c>
      <c r="N91" s="99" t="str">
        <f t="shared" si="5"/>
        <v>ONIFAM LABORATORIES LTD.</v>
      </c>
    </row>
    <row r="92" spans="1:14" ht="49.5" customHeight="1">
      <c r="A92" s="94">
        <v>97</v>
      </c>
      <c r="B92" s="98" t="s">
        <v>921</v>
      </c>
      <c r="C92" s="100" t="s">
        <v>922</v>
      </c>
      <c r="D92" s="96" t="s">
        <v>923</v>
      </c>
      <c r="E92" s="5" t="s">
        <v>18</v>
      </c>
      <c r="F92" s="98" t="s">
        <v>924</v>
      </c>
      <c r="G92" s="100" t="s">
        <v>20</v>
      </c>
      <c r="H92" s="102">
        <v>44934</v>
      </c>
      <c r="I92" s="95" t="s">
        <v>28</v>
      </c>
      <c r="J92" s="100" t="s">
        <v>533</v>
      </c>
      <c r="K92" s="8" t="str">
        <f t="shared" si="7"/>
        <v>REMINDER LETTER SHOULD BE SENT</v>
      </c>
      <c r="L92" s="56">
        <v>45505</v>
      </c>
      <c r="M92" s="75" t="s">
        <v>925</v>
      </c>
      <c r="N92" s="99" t="str">
        <f t="shared" si="5"/>
        <v>AGARY PHARMACEUTICALS</v>
      </c>
    </row>
    <row r="93" spans="1:14" ht="44.25" customHeight="1">
      <c r="A93" s="94">
        <v>98</v>
      </c>
      <c r="B93" s="98" t="s">
        <v>926</v>
      </c>
      <c r="C93" s="100" t="s">
        <v>927</v>
      </c>
      <c r="D93" s="96" t="s">
        <v>928</v>
      </c>
      <c r="E93" s="5" t="s">
        <v>18</v>
      </c>
      <c r="F93" s="98" t="s">
        <v>929</v>
      </c>
      <c r="G93" s="100" t="s">
        <v>298</v>
      </c>
      <c r="H93" s="102">
        <v>44934</v>
      </c>
      <c r="I93" s="95" t="s">
        <v>28</v>
      </c>
      <c r="J93" s="98" t="s">
        <v>930</v>
      </c>
      <c r="K93" s="8" t="str">
        <f t="shared" si="7"/>
        <v>REMINDER LETTER SHOULD BE SENT</v>
      </c>
      <c r="L93" s="56">
        <v>45870</v>
      </c>
      <c r="M93" s="79" t="s">
        <v>931</v>
      </c>
      <c r="N93" s="99" t="str">
        <f t="shared" si="5"/>
        <v>SHALINA HEALTHCARE</v>
      </c>
    </row>
    <row r="94" spans="1:14" ht="45.75" customHeight="1">
      <c r="A94" s="94">
        <v>99</v>
      </c>
      <c r="B94" s="98" t="s">
        <v>932</v>
      </c>
      <c r="C94" s="100" t="s">
        <v>933</v>
      </c>
      <c r="D94" s="96" t="s">
        <v>934</v>
      </c>
      <c r="E94" s="5" t="s">
        <v>18</v>
      </c>
      <c r="F94" s="103">
        <v>44934</v>
      </c>
      <c r="G94" s="100" t="s">
        <v>935</v>
      </c>
      <c r="H94" s="102">
        <v>45884</v>
      </c>
      <c r="I94" s="95" t="s">
        <v>21</v>
      </c>
      <c r="J94" s="100" t="s">
        <v>518</v>
      </c>
      <c r="K94" s="8" t="str">
        <f t="shared" si="7"/>
        <v>CAPA VERIFICATION SHOULD BE SCHEDULED</v>
      </c>
      <c r="L94" s="56">
        <v>45870</v>
      </c>
      <c r="N94" s="99" t="str">
        <f t="shared" si="5"/>
        <v/>
      </c>
    </row>
    <row r="95" spans="1:14" ht="40.5" customHeight="1">
      <c r="A95" s="94">
        <v>101</v>
      </c>
      <c r="B95" s="98" t="s">
        <v>936</v>
      </c>
      <c r="C95" s="100" t="s">
        <v>937</v>
      </c>
      <c r="D95" s="96" t="s">
        <v>938</v>
      </c>
      <c r="E95" s="5" t="s">
        <v>18</v>
      </c>
      <c r="F95" s="103">
        <v>45270</v>
      </c>
      <c r="G95" s="100" t="s">
        <v>791</v>
      </c>
      <c r="H95" s="100" t="s">
        <v>939</v>
      </c>
      <c r="I95" s="95" t="s">
        <v>28</v>
      </c>
      <c r="J95" s="100" t="s">
        <v>533</v>
      </c>
      <c r="K95" s="8" t="str">
        <f t="shared" si="7"/>
        <v>REMINDER LETTER SHOULD BE SENT</v>
      </c>
      <c r="L95" s="56">
        <v>45536</v>
      </c>
      <c r="M95" s="79" t="s">
        <v>940</v>
      </c>
      <c r="N95" s="99" t="str">
        <f t="shared" si="5"/>
        <v>IMMACULATE CARE PHARMACY</v>
      </c>
    </row>
    <row r="96" spans="1:14" ht="28.5" customHeight="1">
      <c r="A96" s="94">
        <v>102</v>
      </c>
      <c r="B96" s="98" t="s">
        <v>941</v>
      </c>
      <c r="C96" s="100" t="s">
        <v>942</v>
      </c>
      <c r="D96" s="96" t="s">
        <v>943</v>
      </c>
      <c r="E96" s="5" t="s">
        <v>18</v>
      </c>
      <c r="F96" s="103">
        <v>45270</v>
      </c>
      <c r="G96" s="100" t="s">
        <v>298</v>
      </c>
      <c r="H96" s="100" t="s">
        <v>939</v>
      </c>
      <c r="I96" s="95" t="s">
        <v>21</v>
      </c>
      <c r="J96" s="100" t="s">
        <v>518</v>
      </c>
      <c r="K96" s="8" t="str">
        <f t="shared" si="7"/>
        <v>CAPA VERIFICATION SHOULD BE SCHEDULED</v>
      </c>
      <c r="L96" s="56">
        <v>45901</v>
      </c>
      <c r="M96" s="79" t="s">
        <v>944</v>
      </c>
      <c r="N96" s="99" t="str">
        <f t="shared" si="5"/>
        <v>COLLIBEX PHARMACY</v>
      </c>
    </row>
    <row r="97" spans="1:14" ht="42" customHeight="1">
      <c r="A97" s="94">
        <v>103</v>
      </c>
      <c r="B97" s="98" t="s">
        <v>945</v>
      </c>
      <c r="C97" s="100" t="s">
        <v>946</v>
      </c>
      <c r="D97" s="96" t="s">
        <v>947</v>
      </c>
      <c r="E97" s="5" t="s">
        <v>18</v>
      </c>
      <c r="F97" s="103">
        <v>45270</v>
      </c>
      <c r="G97" s="100" t="s">
        <v>20</v>
      </c>
      <c r="H97" s="100" t="s">
        <v>939</v>
      </c>
      <c r="I97" s="95" t="s">
        <v>28</v>
      </c>
      <c r="J97" s="100" t="s">
        <v>533</v>
      </c>
      <c r="K97" s="8" t="str">
        <f t="shared" si="7"/>
        <v>REMINDER LETTER SHOULD BE SENT</v>
      </c>
      <c r="L97" s="56">
        <v>45536</v>
      </c>
      <c r="M97" s="79" t="s">
        <v>948</v>
      </c>
      <c r="N97" s="99" t="str">
        <f t="shared" si="5"/>
        <v>EMMASTEV PHARMACY</v>
      </c>
    </row>
    <row r="98" spans="1:14" ht="45" customHeight="1">
      <c r="A98" s="94">
        <v>104</v>
      </c>
      <c r="B98" s="98" t="s">
        <v>949</v>
      </c>
      <c r="C98" s="100" t="s">
        <v>950</v>
      </c>
      <c r="D98" s="96" t="s">
        <v>951</v>
      </c>
      <c r="E98" s="5" t="s">
        <v>18</v>
      </c>
      <c r="F98" s="98" t="s">
        <v>952</v>
      </c>
      <c r="G98" s="100" t="s">
        <v>298</v>
      </c>
      <c r="H98" s="100" t="s">
        <v>953</v>
      </c>
      <c r="I98" s="95" t="s">
        <v>21</v>
      </c>
      <c r="J98" s="100" t="s">
        <v>518</v>
      </c>
      <c r="K98" s="8" t="str">
        <f t="shared" si="7"/>
        <v>CAPA VERIFICATION SHOULD BE SCHEDULED</v>
      </c>
      <c r="L98" s="56">
        <v>45901</v>
      </c>
      <c r="M98" s="79" t="s">
        <v>954</v>
      </c>
      <c r="N98" s="99" t="str">
        <f t="shared" si="5"/>
        <v>SKY PHARMACEUTICAL</v>
      </c>
    </row>
    <row r="99" spans="1:14" ht="45" customHeight="1">
      <c r="A99" s="94">
        <v>104</v>
      </c>
      <c r="B99" s="98" t="s">
        <v>913</v>
      </c>
      <c r="C99" s="100" t="s">
        <v>914</v>
      </c>
      <c r="D99" s="96" t="s">
        <v>915</v>
      </c>
      <c r="E99" s="5" t="s">
        <v>955</v>
      </c>
      <c r="F99" s="98" t="s">
        <v>956</v>
      </c>
      <c r="G99" s="100" t="s">
        <v>298</v>
      </c>
      <c r="H99" s="102">
        <v>44934</v>
      </c>
      <c r="I99" s="95" t="s">
        <v>188</v>
      </c>
      <c r="J99" s="100" t="s">
        <v>957</v>
      </c>
      <c r="K99" s="8" t="s">
        <v>743</v>
      </c>
      <c r="L99" s="56">
        <v>45901</v>
      </c>
      <c r="M99" s="79" t="s">
        <v>916</v>
      </c>
      <c r="N99" s="99" t="str">
        <f t="shared" ref="N99:N108" si="8">IF(M99="","",HYPERLINK(M99,B99))</f>
        <v>VINCO PHARMACEUTICAL</v>
      </c>
    </row>
    <row r="100" spans="1:14" ht="41.25" customHeight="1">
      <c r="A100" s="94">
        <v>105</v>
      </c>
      <c r="B100" s="98" t="s">
        <v>958</v>
      </c>
      <c r="C100" s="100" t="s">
        <v>959</v>
      </c>
      <c r="D100" s="96" t="s">
        <v>960</v>
      </c>
      <c r="E100" s="5" t="s">
        <v>18</v>
      </c>
      <c r="F100" s="103">
        <v>45209</v>
      </c>
      <c r="G100" s="100" t="s">
        <v>961</v>
      </c>
      <c r="H100" s="100" t="s">
        <v>939</v>
      </c>
      <c r="I100" s="95" t="s">
        <v>28</v>
      </c>
      <c r="J100" s="100" t="s">
        <v>533</v>
      </c>
      <c r="K100" s="8" t="str">
        <f>IF(I100="YES","CAPA VERIFICATION SHOULD BE SCHEDULED",IF(I100="NO","REMINDER LETTER SHOULD BE SENT",""))</f>
        <v>REMINDER LETTER SHOULD BE SENT</v>
      </c>
      <c r="L100" s="56">
        <v>45901</v>
      </c>
      <c r="M100" s="162" t="s">
        <v>962</v>
      </c>
      <c r="N100" s="99" t="str">
        <f t="shared" si="8"/>
        <v>AJAO SAMUEL PHARMACY</v>
      </c>
    </row>
    <row r="101" spans="1:14" ht="36" customHeight="1">
      <c r="A101" s="94">
        <v>106</v>
      </c>
      <c r="B101" s="98" t="s">
        <v>963</v>
      </c>
      <c r="C101" s="100" t="s">
        <v>964</v>
      </c>
      <c r="D101" s="96" t="s">
        <v>965</v>
      </c>
      <c r="E101" s="5" t="s">
        <v>18</v>
      </c>
      <c r="F101" s="98" t="s">
        <v>966</v>
      </c>
      <c r="G101" s="100" t="s">
        <v>20</v>
      </c>
      <c r="H101" s="100" t="s">
        <v>939</v>
      </c>
      <c r="I101" s="95" t="s">
        <v>28</v>
      </c>
      <c r="J101" s="100" t="s">
        <v>518</v>
      </c>
      <c r="K101" s="8" t="str">
        <f>IF(I101="YES","CAPA VERIFICATION SHOULD BE SCHEDULED",IF(I101="NO","REMINDER LETTER SHOULD BE SENT",""))</f>
        <v>REMINDER LETTER SHOULD BE SENT</v>
      </c>
      <c r="L101" s="56">
        <v>45536</v>
      </c>
      <c r="M101" s="79" t="s">
        <v>967</v>
      </c>
      <c r="N101" s="99" t="str">
        <f t="shared" si="8"/>
        <v>MALVEN MEDICS LIMITED</v>
      </c>
    </row>
    <row r="102" spans="1:14" ht="42.75" customHeight="1">
      <c r="A102" s="94">
        <v>107</v>
      </c>
      <c r="B102" s="98" t="s">
        <v>968</v>
      </c>
      <c r="C102" s="100" t="s">
        <v>969</v>
      </c>
      <c r="D102" s="96" t="s">
        <v>970</v>
      </c>
      <c r="E102" s="5" t="s">
        <v>18</v>
      </c>
      <c r="F102" s="98" t="s">
        <v>952</v>
      </c>
      <c r="G102" s="100" t="s">
        <v>298</v>
      </c>
      <c r="H102" s="100"/>
      <c r="I102" s="95"/>
      <c r="J102" s="100" t="s">
        <v>971</v>
      </c>
      <c r="K102" s="8" t="str">
        <f>IF(I102="YES","CAPA VERIFICATION SHOULD BE SCHEDULED",IF(I102="NO","REMINDER LETTER SHOULD BE SENT",""))</f>
        <v/>
      </c>
      <c r="L102" s="56">
        <v>45901</v>
      </c>
      <c r="M102" s="79" t="s">
        <v>972</v>
      </c>
      <c r="N102" s="99" t="str">
        <f t="shared" si="8"/>
        <v>TUM TAY COMPANY LIMITED</v>
      </c>
    </row>
    <row r="103" spans="1:14" ht="46.5" customHeight="1">
      <c r="A103" s="94">
        <v>108</v>
      </c>
      <c r="B103" s="98" t="s">
        <v>973</v>
      </c>
      <c r="C103" s="100" t="s">
        <v>974</v>
      </c>
      <c r="D103" s="96" t="s">
        <v>928</v>
      </c>
      <c r="E103" s="5" t="s">
        <v>18</v>
      </c>
      <c r="F103" s="98" t="s">
        <v>975</v>
      </c>
      <c r="G103" s="100" t="s">
        <v>298</v>
      </c>
      <c r="H103" s="100" t="s">
        <v>188</v>
      </c>
      <c r="I103" s="95" t="s">
        <v>188</v>
      </c>
      <c r="J103" s="100" t="s">
        <v>971</v>
      </c>
      <c r="K103" s="8" t="s">
        <v>743</v>
      </c>
      <c r="L103" s="56">
        <v>45901</v>
      </c>
      <c r="M103" s="93" t="s">
        <v>976</v>
      </c>
      <c r="N103" s="99" t="str">
        <f t="shared" si="8"/>
        <v>VIBORATH PHARMACY</v>
      </c>
    </row>
    <row r="104" spans="1:14" ht="46.5" customHeight="1">
      <c r="A104" s="94">
        <v>110</v>
      </c>
      <c r="B104" s="100" t="s">
        <v>977</v>
      </c>
      <c r="C104" s="100" t="s">
        <v>978</v>
      </c>
      <c r="D104" s="96" t="s">
        <v>979</v>
      </c>
      <c r="E104" s="5" t="s">
        <v>18</v>
      </c>
      <c r="F104" s="103">
        <v>44937</v>
      </c>
      <c r="G104" s="100" t="s">
        <v>935</v>
      </c>
      <c r="H104" s="102">
        <v>45210</v>
      </c>
      <c r="I104" s="95" t="s">
        <v>28</v>
      </c>
      <c r="J104" s="100" t="s">
        <v>533</v>
      </c>
      <c r="K104" s="8" t="str">
        <f>IF(I104="YES","CAPA VERIFICATION SHOULD BE SCHEDULED",IF(I104="NO","REMINDER LETTER SHOULD BE SENT",""))</f>
        <v>REMINDER LETTER SHOULD BE SENT</v>
      </c>
      <c r="L104" s="56">
        <v>45962</v>
      </c>
      <c r="M104" s="79" t="s">
        <v>980</v>
      </c>
      <c r="N104" s="99" t="str">
        <f t="shared" si="8"/>
        <v>SAM SUNNY PHARMA &amp; STORE LIMITED</v>
      </c>
    </row>
    <row r="105" spans="1:14" ht="48" customHeight="1">
      <c r="A105" s="94">
        <v>111</v>
      </c>
      <c r="B105" s="100" t="s">
        <v>981</v>
      </c>
      <c r="C105" s="100" t="s">
        <v>982</v>
      </c>
      <c r="D105" s="96" t="s">
        <v>983</v>
      </c>
      <c r="E105" s="5" t="s">
        <v>18</v>
      </c>
      <c r="F105" s="103">
        <v>44937</v>
      </c>
      <c r="G105" s="100" t="s">
        <v>298</v>
      </c>
      <c r="H105" s="102">
        <v>45210</v>
      </c>
      <c r="I105" s="95" t="s">
        <v>21</v>
      </c>
      <c r="J105" s="100" t="s">
        <v>518</v>
      </c>
      <c r="K105" s="8" t="str">
        <f>IF(I105="YES","CAPA VERIFICATION SHOULD BE SCHEDULED",IF(I105="NO","REMINDER LETTER SHOULD BE SENT",""))</f>
        <v>CAPA VERIFICATION SHOULD BE SCHEDULED</v>
      </c>
      <c r="L105" s="56">
        <v>45962</v>
      </c>
      <c r="M105" s="79" t="s">
        <v>984</v>
      </c>
      <c r="N105" s="99" t="str">
        <f t="shared" si="8"/>
        <v>GOD SAINTS PHARMACEUTICALS LIMITED</v>
      </c>
    </row>
    <row r="106" spans="1:14" ht="35.25" customHeight="1">
      <c r="A106" s="94">
        <v>112</v>
      </c>
      <c r="B106" s="98" t="s">
        <v>985</v>
      </c>
      <c r="C106" s="100" t="s">
        <v>986</v>
      </c>
      <c r="D106" s="96" t="s">
        <v>987</v>
      </c>
      <c r="E106" s="5" t="s">
        <v>18</v>
      </c>
      <c r="F106" s="103">
        <v>44968</v>
      </c>
      <c r="G106" s="100" t="s">
        <v>298</v>
      </c>
      <c r="H106" s="100"/>
      <c r="I106" s="95"/>
      <c r="J106" s="100" t="s">
        <v>533</v>
      </c>
      <c r="K106" s="8" t="str">
        <f>IF(I106="YES","CAPA VERIFICATION SHOULD BE SCHEDULED",IF(I106="NO","REMINDER LETTER SHOULD BE SENT",""))</f>
        <v/>
      </c>
      <c r="L106" s="56">
        <v>45962</v>
      </c>
      <c r="M106" s="79" t="s">
        <v>988</v>
      </c>
      <c r="N106" s="99" t="str">
        <f t="shared" si="8"/>
        <v>JUSTINAK PHARMACY</v>
      </c>
    </row>
    <row r="107" spans="1:14" ht="33.75" customHeight="1">
      <c r="A107" s="94">
        <v>113</v>
      </c>
      <c r="B107" s="100" t="s">
        <v>989</v>
      </c>
      <c r="C107" s="100" t="s">
        <v>990</v>
      </c>
      <c r="D107" s="96" t="s">
        <v>991</v>
      </c>
      <c r="E107" s="5" t="s">
        <v>18</v>
      </c>
      <c r="F107" s="103">
        <v>44968</v>
      </c>
      <c r="G107" s="100" t="s">
        <v>298</v>
      </c>
      <c r="H107" s="102">
        <v>44968</v>
      </c>
      <c r="I107" s="95" t="s">
        <v>28</v>
      </c>
      <c r="J107" s="100" t="s">
        <v>533</v>
      </c>
      <c r="K107" s="8" t="str">
        <f>IF(I107="YES","CAPA VERIFICATION SHOULD BE SCHEDULED",IF(I107="NO","REMINDER LETTER SHOULD BE SENT",""))</f>
        <v>REMINDER LETTER SHOULD BE SENT</v>
      </c>
      <c r="L107" s="56">
        <v>45962</v>
      </c>
      <c r="M107" s="79" t="s">
        <v>992</v>
      </c>
      <c r="N107" s="99" t="str">
        <f t="shared" si="8"/>
        <v>INSPIRATION PHARMACY NIG.LIMITED</v>
      </c>
    </row>
    <row r="108" spans="1:14">
      <c r="A108" s="94">
        <v>115</v>
      </c>
      <c r="B108" s="106" t="s">
        <v>993</v>
      </c>
      <c r="C108" s="5"/>
      <c r="D108" s="96"/>
      <c r="E108" s="5"/>
      <c r="F108" s="103"/>
      <c r="G108" s="100"/>
      <c r="H108" s="100"/>
      <c r="I108" s="100"/>
      <c r="J108" s="5"/>
      <c r="N108" s="99" t="str">
        <f t="shared" si="8"/>
        <v/>
      </c>
    </row>
    <row r="109" spans="1:14" ht="15" customHeight="1"/>
    <row r="110" spans="1:14" ht="14.25" customHeight="1"/>
    <row r="112" spans="1:14" ht="15" customHeight="1"/>
    <row r="113" ht="15" customHeight="1"/>
    <row r="122" ht="15" customHeight="1"/>
    <row r="134" ht="15" customHeight="1"/>
    <row r="143" ht="15" customHeight="1"/>
    <row r="152" ht="15" customHeight="1"/>
    <row r="155" ht="15" customHeight="1"/>
    <row r="158" ht="15" customHeight="1"/>
    <row r="161" ht="15" customHeight="1"/>
    <row r="164" ht="15" customHeight="1"/>
    <row r="167" ht="15" customHeight="1"/>
    <row r="173" ht="15" customHeight="1"/>
    <row r="197" ht="15" customHeight="1"/>
    <row r="203" ht="15" customHeight="1"/>
    <row r="206" ht="15" customHeight="1"/>
    <row r="209" ht="15" customHeight="1"/>
    <row r="215" ht="15" customHeight="1"/>
    <row r="218" ht="15" customHeight="1"/>
    <row r="221" ht="15" customHeight="1"/>
    <row r="227" ht="15" customHeight="1"/>
    <row r="230" ht="15" customHeight="1"/>
    <row r="233" ht="15" customHeight="1"/>
    <row r="236" ht="15" customHeight="1"/>
    <row r="239" ht="15" customHeight="1"/>
    <row r="242" ht="15" customHeight="1"/>
    <row r="245" ht="15" customHeight="1"/>
    <row r="248" ht="15" customHeight="1"/>
    <row r="251" ht="15" customHeight="1"/>
    <row r="254" ht="15" customHeight="1"/>
    <row r="257" ht="15" customHeight="1"/>
    <row r="260" ht="15" customHeight="1"/>
    <row r="264" ht="15" customHeight="1"/>
    <row r="268" ht="15" customHeight="1"/>
    <row r="272" ht="15" customHeight="1"/>
    <row r="276" ht="15" customHeight="1"/>
    <row r="279" ht="15" customHeight="1"/>
    <row r="283" ht="15" customHeight="1"/>
    <row r="287" ht="15" customHeight="1"/>
    <row r="290" ht="15" customHeight="1"/>
    <row r="293" ht="15" customHeight="1"/>
    <row r="296" ht="15" customHeight="1"/>
    <row r="299" ht="15" customHeight="1"/>
  </sheetData>
  <mergeCells count="1">
    <mergeCell ref="A1:J1"/>
  </mergeCells>
  <conditionalFormatting sqref="I3:I1048576">
    <cfRule type="containsText" dxfId="72" priority="1" operator="containsText" text="NO">
      <formula>NOT(ISERROR(SEARCH("NO",I3)))</formula>
    </cfRule>
    <cfRule type="containsText" dxfId="71" priority="2" operator="containsText" text="YES">
      <formula>NOT(ISERROR(SEARCH("YES",I3)))</formula>
    </cfRule>
  </conditionalFormatting>
  <dataValidations count="1">
    <dataValidation type="list" allowBlank="1" showInputMessage="1" showErrorMessage="1" sqref="A1:J1 I3:I1048576" xr:uid="{AF8780B0-5D4F-448E-991D-A03A54C30B62}">
      <formula1>"YES,NO,N/A"</formula1>
    </dataValidation>
  </dataValidations>
  <hyperlinks>
    <hyperlink ref="M77" r:id="rId1" xr:uid="{8CC0EADC-DFA2-49EF-A41B-46A07BABD13A}"/>
    <hyperlink ref="M32" r:id="rId2" xr:uid="{3BE46F8E-88C7-4E71-B6F0-50B445323A84}"/>
    <hyperlink ref="M92" r:id="rId3" xr:uid="{53F4348B-A09D-4725-B604-925526E75CC8}"/>
    <hyperlink ref="M26" r:id="rId4" xr:uid="{02E949D8-B3AA-4DEC-B859-80DC0E19BADE}"/>
    <hyperlink ref="M24" r:id="rId5" xr:uid="{585495F5-AA0C-4CA3-A118-ED21A2AD53ED}"/>
    <hyperlink ref="M55" r:id="rId6" xr:uid="{7F512C66-676E-4050-87E6-D00750F34DED}"/>
    <hyperlink ref="M21" r:id="rId7" xr:uid="{7322E5BB-BC9E-4BD4-B7D8-9E898DB40668}"/>
    <hyperlink ref="M100" r:id="rId8" xr:uid="{A6427FB9-6011-4C50-BFC8-3226BBF64E3A}"/>
    <hyperlink ref="M12" r:id="rId9" xr:uid="{4F35F54A-E97D-4205-A68E-038969DC2500}"/>
  </hyperlinks>
  <pageMargins left="0.7" right="0.7" top="0.75" bottom="0.75" header="0.3" footer="0.3"/>
  <pageSetup orientation="portrait" r:id="rId10"/>
  <tableParts count="1"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82"/>
  <sheetViews>
    <sheetView topLeftCell="E1" zoomScale="65" zoomScaleNormal="77" workbookViewId="0">
      <selection activeCell="M7" sqref="M7"/>
    </sheetView>
  </sheetViews>
  <sheetFormatPr defaultColWidth="9.140625" defaultRowHeight="15.6"/>
  <cols>
    <col min="1" max="1" width="9.140625" style="57"/>
    <col min="2" max="2" width="42.42578125" style="57" customWidth="1"/>
    <col min="3" max="3" width="72" style="57" customWidth="1"/>
    <col min="4" max="4" width="34.85546875" style="57" customWidth="1"/>
    <col min="5" max="5" width="23.5703125" style="57" customWidth="1"/>
    <col min="6" max="6" width="20.140625" style="57" customWidth="1"/>
    <col min="7" max="7" width="19.5703125" style="57" customWidth="1"/>
    <col min="8" max="9" width="14.140625" style="57" customWidth="1"/>
    <col min="10" max="10" width="19.28515625" style="57" customWidth="1"/>
    <col min="11" max="11" width="17.28515625" style="57" customWidth="1"/>
    <col min="12" max="12" width="19" style="57" customWidth="1"/>
    <col min="13" max="13" width="19" style="109" customWidth="1"/>
    <col min="14" max="14" width="27.28515625" style="7" customWidth="1"/>
    <col min="15" max="16384" width="9.140625" style="7"/>
  </cols>
  <sheetData>
    <row r="1" spans="1:14" ht="13.5" customHeight="1">
      <c r="A1" s="224" t="s">
        <v>994</v>
      </c>
      <c r="B1" s="224"/>
      <c r="C1" s="224"/>
      <c r="D1" s="224"/>
      <c r="E1" s="224"/>
      <c r="F1" s="224"/>
      <c r="G1" s="224"/>
      <c r="H1" s="224"/>
      <c r="I1" s="224"/>
      <c r="J1" s="224"/>
    </row>
    <row r="2" spans="1:14" ht="14.1" customHeight="1">
      <c r="A2" s="58"/>
      <c r="B2" s="58"/>
      <c r="C2" s="58"/>
      <c r="D2" s="58"/>
      <c r="E2" s="58"/>
      <c r="F2" s="58"/>
      <c r="G2" s="58"/>
      <c r="H2" s="58"/>
      <c r="I2" s="58"/>
      <c r="J2" s="58"/>
    </row>
    <row r="3" spans="1:14" ht="51" customHeight="1">
      <c r="A3" s="57" t="s">
        <v>1</v>
      </c>
      <c r="B3" s="57" t="s">
        <v>2</v>
      </c>
      <c r="C3" s="57" t="s">
        <v>3</v>
      </c>
      <c r="D3" s="57" t="s">
        <v>4</v>
      </c>
      <c r="E3" s="57" t="s">
        <v>5</v>
      </c>
      <c r="F3" s="57" t="s">
        <v>6</v>
      </c>
      <c r="G3" s="57" t="s">
        <v>7</v>
      </c>
      <c r="H3" s="57" t="s">
        <v>995</v>
      </c>
      <c r="I3" s="57" t="s">
        <v>9</v>
      </c>
      <c r="J3" s="57" t="s">
        <v>10</v>
      </c>
      <c r="K3" s="57" t="s">
        <v>11</v>
      </c>
      <c r="L3" s="57" t="s">
        <v>12</v>
      </c>
      <c r="M3" s="110" t="s">
        <v>996</v>
      </c>
      <c r="N3" s="108" t="s">
        <v>997</v>
      </c>
    </row>
    <row r="4" spans="1:14" s="112" customFormat="1" ht="39" hidden="1" customHeight="1">
      <c r="A4" s="57">
        <v>1</v>
      </c>
      <c r="B4" s="57" t="s">
        <v>998</v>
      </c>
      <c r="C4" s="57" t="s">
        <v>999</v>
      </c>
      <c r="D4" s="57" t="s">
        <v>1000</v>
      </c>
      <c r="E4" s="57" t="s">
        <v>18</v>
      </c>
      <c r="F4" s="57" t="s">
        <v>1001</v>
      </c>
      <c r="G4" s="57" t="s">
        <v>1002</v>
      </c>
      <c r="H4" s="57" t="s">
        <v>1003</v>
      </c>
      <c r="I4" s="57" t="s">
        <v>28</v>
      </c>
      <c r="J4" s="57" t="s">
        <v>29</v>
      </c>
      <c r="K4" s="57" t="str">
        <f>IF(I4="YES","CAPA VERIFICATION SHOULD BE SCHEDULED",IF(I4="NO","REMINDER LETTER SHOULD BE SENT",""))</f>
        <v>REMINDER LETTER SHOULD BE SENT</v>
      </c>
      <c r="L4" s="123">
        <v>45717</v>
      </c>
      <c r="M4" s="89" t="s">
        <v>1004</v>
      </c>
      <c r="N4" s="111" t="str">
        <f t="shared" ref="N4:N35" si="0">IF(M4="","",HYPERLINK(M4,B4))</f>
        <v xml:space="preserve">DI MAGGO PHARMACEUTICALS
</v>
      </c>
    </row>
    <row r="5" spans="1:14" s="112" customFormat="1" ht="62.45" hidden="1">
      <c r="A5" s="57">
        <v>2</v>
      </c>
      <c r="B5" s="57" t="s">
        <v>1005</v>
      </c>
      <c r="C5" s="57" t="s">
        <v>1006</v>
      </c>
      <c r="D5" s="57" t="s">
        <v>1007</v>
      </c>
      <c r="E5" s="57" t="s">
        <v>18</v>
      </c>
      <c r="F5" s="57" t="s">
        <v>1001</v>
      </c>
      <c r="G5" s="57" t="s">
        <v>1002</v>
      </c>
      <c r="H5" s="57" t="s">
        <v>1008</v>
      </c>
      <c r="I5" s="57" t="s">
        <v>28</v>
      </c>
      <c r="J5" s="57" t="s">
        <v>29</v>
      </c>
      <c r="K5" s="57" t="str">
        <f>IF(I5="YES","CAPA VERIFICATION SHOULD BE SCHEDULED",IF(I5="NO","REMINDER LETTER SHOULD BE SENT",""))</f>
        <v>REMINDER LETTER SHOULD BE SENT</v>
      </c>
      <c r="L5" s="123">
        <v>45717</v>
      </c>
      <c r="M5" s="109" t="s">
        <v>1009</v>
      </c>
      <c r="N5" s="155" t="str">
        <f t="shared" si="0"/>
        <v xml:space="preserve">SONYDON AND SONS PHARM NIG. LTD
</v>
      </c>
    </row>
    <row r="6" spans="1:14" s="112" customFormat="1" ht="62.45" hidden="1">
      <c r="A6" s="57">
        <v>3</v>
      </c>
      <c r="B6" s="57" t="s">
        <v>1010</v>
      </c>
      <c r="C6" s="57" t="s">
        <v>1011</v>
      </c>
      <c r="D6" s="57" t="s">
        <v>1012</v>
      </c>
      <c r="E6" s="57" t="s">
        <v>18</v>
      </c>
      <c r="F6" s="57" t="s">
        <v>1013</v>
      </c>
      <c r="G6" s="57" t="s">
        <v>1002</v>
      </c>
      <c r="H6" s="57" t="s">
        <v>1014</v>
      </c>
      <c r="I6" s="57" t="s">
        <v>28</v>
      </c>
      <c r="J6" s="57" t="s">
        <v>29</v>
      </c>
      <c r="K6" s="57" t="str">
        <f>IF(I7="YES","CAPA VERIFICATION SHOULD BE SCHEDULED",IF(I7="NO","REMINDER LETTER SHOULD BE SENT",""))</f>
        <v>REMINDER LETTER SHOULD BE SENT</v>
      </c>
      <c r="L6" s="123">
        <v>45717</v>
      </c>
      <c r="M6" s="113" t="s">
        <v>1015</v>
      </c>
      <c r="N6" s="114" t="str">
        <f t="shared" si="0"/>
        <v xml:space="preserve">SOLOCHUCKS PHARMACEUTICALS
</v>
      </c>
    </row>
    <row r="7" spans="1:14" s="112" customFormat="1" ht="62.45" hidden="1">
      <c r="A7" s="57">
        <v>4</v>
      </c>
      <c r="B7" s="57" t="s">
        <v>1016</v>
      </c>
      <c r="C7" s="57" t="s">
        <v>1017</v>
      </c>
      <c r="D7" s="57" t="s">
        <v>1018</v>
      </c>
      <c r="E7" s="57" t="s">
        <v>18</v>
      </c>
      <c r="F7" s="57" t="s">
        <v>1013</v>
      </c>
      <c r="G7" s="57" t="s">
        <v>1002</v>
      </c>
      <c r="H7" s="57" t="s">
        <v>1019</v>
      </c>
      <c r="I7" s="57" t="s">
        <v>28</v>
      </c>
      <c r="J7" s="57" t="s">
        <v>29</v>
      </c>
      <c r="K7" s="57" t="e">
        <f>IF(#REF!="YES","CAPA VERIFICATION SHOULD BE SCHEDULED",IF(#REF!="NO","REMINDER LETTER SHOULD BE SENT",""))</f>
        <v>#REF!</v>
      </c>
      <c r="L7" s="123">
        <v>45717</v>
      </c>
      <c r="M7" s="180" t="s">
        <v>1020</v>
      </c>
      <c r="N7" s="114" t="str">
        <f t="shared" si="0"/>
        <v xml:space="preserve">SLOCHARS PHARMACEUTICALS
</v>
      </c>
    </row>
    <row r="8" spans="1:14" s="112" customFormat="1" ht="62.45" hidden="1">
      <c r="A8" s="57">
        <v>5</v>
      </c>
      <c r="B8" s="57" t="s">
        <v>1021</v>
      </c>
      <c r="C8" s="57" t="s">
        <v>1022</v>
      </c>
      <c r="D8" s="57" t="s">
        <v>1023</v>
      </c>
      <c r="E8" s="57" t="s">
        <v>18</v>
      </c>
      <c r="F8" s="57" t="s">
        <v>1024</v>
      </c>
      <c r="G8" s="57" t="s">
        <v>1002</v>
      </c>
      <c r="H8" s="57" t="s">
        <v>1003</v>
      </c>
      <c r="I8" s="57" t="s">
        <v>28</v>
      </c>
      <c r="J8" s="57" t="s">
        <v>29</v>
      </c>
      <c r="K8" s="57" t="str">
        <f t="shared" ref="K8:K28" si="1">IF(I8="YES","CAPA VERIFICATION SHOULD BE SCHEDULED",IF(I8="NO","REMINDER LETTER SHOULD BE SENT",""))</f>
        <v>REMINDER LETTER SHOULD BE SENT</v>
      </c>
      <c r="L8" s="123">
        <v>45717</v>
      </c>
      <c r="M8" s="113" t="s">
        <v>1025</v>
      </c>
      <c r="N8" s="114" t="str">
        <f t="shared" si="0"/>
        <v>GRACEJOHNSON LIMITED</v>
      </c>
    </row>
    <row r="9" spans="1:14" s="112" customFormat="1" ht="62.45" hidden="1">
      <c r="A9" s="57">
        <v>6</v>
      </c>
      <c r="B9" s="57" t="s">
        <v>1026</v>
      </c>
      <c r="C9" s="57" t="s">
        <v>1027</v>
      </c>
      <c r="D9" s="57" t="s">
        <v>1028</v>
      </c>
      <c r="E9" s="57" t="s">
        <v>18</v>
      </c>
      <c r="F9" s="57" t="s">
        <v>1029</v>
      </c>
      <c r="G9" s="57" t="s">
        <v>1002</v>
      </c>
      <c r="H9" s="57" t="s">
        <v>1003</v>
      </c>
      <c r="I9" s="57" t="s">
        <v>28</v>
      </c>
      <c r="J9" s="57" t="s">
        <v>29</v>
      </c>
      <c r="K9" s="57" t="str">
        <f t="shared" si="1"/>
        <v>REMINDER LETTER SHOULD BE SENT</v>
      </c>
      <c r="L9" s="123">
        <v>45717</v>
      </c>
      <c r="M9" s="113" t="s">
        <v>1030</v>
      </c>
      <c r="N9" s="114" t="str">
        <f t="shared" si="0"/>
        <v>EL-NOSCO PHARMACY</v>
      </c>
    </row>
    <row r="10" spans="1:14" s="112" customFormat="1" ht="62.45" hidden="1">
      <c r="A10" s="57">
        <v>7</v>
      </c>
      <c r="B10" s="57" t="s">
        <v>1031</v>
      </c>
      <c r="C10" s="57" t="s">
        <v>1032</v>
      </c>
      <c r="D10" s="57" t="s">
        <v>1033</v>
      </c>
      <c r="E10" s="57" t="s">
        <v>18</v>
      </c>
      <c r="F10" s="57" t="s">
        <v>1029</v>
      </c>
      <c r="G10" s="57" t="s">
        <v>1002</v>
      </c>
      <c r="H10" s="57" t="s">
        <v>1003</v>
      </c>
      <c r="I10" s="57" t="s">
        <v>28</v>
      </c>
      <c r="J10" s="57" t="s">
        <v>29</v>
      </c>
      <c r="K10" s="57" t="str">
        <f t="shared" si="1"/>
        <v>REMINDER LETTER SHOULD BE SENT</v>
      </c>
      <c r="L10" s="123">
        <v>45717</v>
      </c>
      <c r="M10" s="113" t="s">
        <v>1034</v>
      </c>
      <c r="N10" s="114" t="str">
        <f t="shared" si="0"/>
        <v>S. UMUNNA PHARMACEUTICALS</v>
      </c>
    </row>
    <row r="11" spans="1:14" s="112" customFormat="1" ht="62.45" hidden="1">
      <c r="A11" s="57">
        <v>8</v>
      </c>
      <c r="B11" s="57" t="s">
        <v>1035</v>
      </c>
      <c r="C11" s="57" t="s">
        <v>1036</v>
      </c>
      <c r="D11" s="57" t="s">
        <v>1037</v>
      </c>
      <c r="E11" s="57" t="s">
        <v>18</v>
      </c>
      <c r="F11" s="57" t="s">
        <v>1001</v>
      </c>
      <c r="G11" s="57" t="s">
        <v>1002</v>
      </c>
      <c r="H11" s="57" t="s">
        <v>1038</v>
      </c>
      <c r="I11" s="57" t="s">
        <v>28</v>
      </c>
      <c r="J11" s="57" t="s">
        <v>29</v>
      </c>
      <c r="K11" s="57" t="str">
        <f t="shared" si="1"/>
        <v>REMINDER LETTER SHOULD BE SENT</v>
      </c>
      <c r="L11" s="123">
        <v>45717</v>
      </c>
      <c r="M11" s="113" t="s">
        <v>1039</v>
      </c>
      <c r="N11" s="114" t="str">
        <f t="shared" si="0"/>
        <v>TONIVIC PHARMACY</v>
      </c>
    </row>
    <row r="12" spans="1:14" s="112" customFormat="1" ht="62.45" hidden="1">
      <c r="A12" s="57">
        <v>9</v>
      </c>
      <c r="B12" s="57" t="s">
        <v>1040</v>
      </c>
      <c r="C12" s="57" t="s">
        <v>1041</v>
      </c>
      <c r="D12" s="57" t="s">
        <v>1042</v>
      </c>
      <c r="E12" s="57" t="s">
        <v>18</v>
      </c>
      <c r="F12" s="57" t="s">
        <v>1043</v>
      </c>
      <c r="G12" s="57" t="s">
        <v>1002</v>
      </c>
      <c r="H12" s="57" t="s">
        <v>1003</v>
      </c>
      <c r="I12" s="57" t="s">
        <v>28</v>
      </c>
      <c r="J12" s="57" t="s">
        <v>29</v>
      </c>
      <c r="K12" s="57" t="str">
        <f t="shared" si="1"/>
        <v>REMINDER LETTER SHOULD BE SENT</v>
      </c>
      <c r="L12" s="123">
        <v>45717</v>
      </c>
      <c r="M12" s="113" t="s">
        <v>1044</v>
      </c>
      <c r="N12" s="114" t="str">
        <f t="shared" si="0"/>
        <v>JOEBIZ PHARMACY</v>
      </c>
    </row>
    <row r="13" spans="1:14" s="112" customFormat="1" ht="62.45">
      <c r="A13" s="57">
        <v>10</v>
      </c>
      <c r="B13" s="57" t="s">
        <v>1045</v>
      </c>
      <c r="C13" s="115" t="s">
        <v>1046</v>
      </c>
      <c r="D13" s="57">
        <v>8064266572</v>
      </c>
      <c r="E13" s="57" t="s">
        <v>955</v>
      </c>
      <c r="F13" s="57" t="s">
        <v>1043</v>
      </c>
      <c r="G13" s="57" t="s">
        <v>1002</v>
      </c>
      <c r="H13" s="57" t="s">
        <v>1003</v>
      </c>
      <c r="I13" s="57" t="s">
        <v>21</v>
      </c>
      <c r="J13" s="57" t="s">
        <v>1047</v>
      </c>
      <c r="K13" s="57" t="str">
        <f t="shared" si="1"/>
        <v>CAPA VERIFICATION SHOULD BE SCHEDULED</v>
      </c>
      <c r="L13" s="123">
        <v>45717</v>
      </c>
      <c r="M13" s="89" t="s">
        <v>561</v>
      </c>
      <c r="N13" s="114" t="str">
        <f t="shared" si="0"/>
        <v>GOODCARE PHARMACEUTICALS LTD (CAPA)</v>
      </c>
    </row>
    <row r="14" spans="1:14" s="112" customFormat="1" ht="62.45">
      <c r="A14" s="57">
        <v>11</v>
      </c>
      <c r="B14" s="115" t="s">
        <v>1048</v>
      </c>
      <c r="C14" s="57" t="s">
        <v>545</v>
      </c>
      <c r="D14" s="57">
        <v>8037588238</v>
      </c>
      <c r="E14" s="57" t="s">
        <v>955</v>
      </c>
      <c r="F14" s="57" t="s">
        <v>1049</v>
      </c>
      <c r="G14" s="57" t="s">
        <v>1002</v>
      </c>
      <c r="H14" s="116" t="s">
        <v>1050</v>
      </c>
      <c r="I14" s="57" t="s">
        <v>28</v>
      </c>
      <c r="J14" s="57" t="s">
        <v>1047</v>
      </c>
      <c r="K14" s="57" t="str">
        <f t="shared" si="1"/>
        <v>REMINDER LETTER SHOULD BE SENT</v>
      </c>
      <c r="L14" s="123">
        <v>45717</v>
      </c>
      <c r="M14" s="113" t="s">
        <v>547</v>
      </c>
      <c r="N14" s="114" t="str">
        <f t="shared" si="0"/>
        <v>RALPHONES PHARMACEUTICAL (CAPA)</v>
      </c>
    </row>
    <row r="15" spans="1:14" s="112" customFormat="1" ht="31.15" hidden="1">
      <c r="A15" s="57">
        <v>12</v>
      </c>
      <c r="B15" s="57" t="s">
        <v>1051</v>
      </c>
      <c r="C15" s="57" t="s">
        <v>1052</v>
      </c>
      <c r="D15" s="57" t="s">
        <v>1053</v>
      </c>
      <c r="E15" s="57" t="s">
        <v>18</v>
      </c>
      <c r="F15" s="57" t="s">
        <v>1043</v>
      </c>
      <c r="G15" s="57" t="s">
        <v>1002</v>
      </c>
      <c r="H15" s="57" t="s">
        <v>1003</v>
      </c>
      <c r="I15" s="57"/>
      <c r="J15" s="57" t="s">
        <v>29</v>
      </c>
      <c r="K15" s="57" t="str">
        <f t="shared" si="1"/>
        <v/>
      </c>
      <c r="L15" s="123">
        <v>45717</v>
      </c>
      <c r="M15" s="74" t="s">
        <v>1054</v>
      </c>
      <c r="N15" s="114" t="str">
        <f t="shared" si="0"/>
        <v>ROYAL PRIESTHOOD LAB LTD.</v>
      </c>
    </row>
    <row r="16" spans="1:14" s="112" customFormat="1" ht="62.45">
      <c r="A16" s="57">
        <v>13</v>
      </c>
      <c r="B16" s="57" t="s">
        <v>1055</v>
      </c>
      <c r="C16" s="57" t="s">
        <v>1056</v>
      </c>
      <c r="D16" s="57">
        <v>8161396721</v>
      </c>
      <c r="E16" s="57" t="s">
        <v>955</v>
      </c>
      <c r="F16" s="57" t="s">
        <v>1057</v>
      </c>
      <c r="G16" s="57" t="s">
        <v>1058</v>
      </c>
      <c r="H16" s="57" t="s">
        <v>1003</v>
      </c>
      <c r="I16" s="57" t="s">
        <v>21</v>
      </c>
      <c r="J16" s="57" t="s">
        <v>1047</v>
      </c>
      <c r="K16" s="57" t="str">
        <f t="shared" si="1"/>
        <v>CAPA VERIFICATION SHOULD BE SCHEDULED</v>
      </c>
      <c r="L16" s="123">
        <v>46082</v>
      </c>
      <c r="M16" s="113" t="s">
        <v>677</v>
      </c>
      <c r="N16" s="114" t="str">
        <f t="shared" si="0"/>
        <v>MIVERO PHARM LTD (CAPA)</v>
      </c>
    </row>
    <row r="17" spans="1:14" s="112" customFormat="1" ht="62.45" hidden="1">
      <c r="A17" s="57">
        <v>14</v>
      </c>
      <c r="B17" s="57" t="s">
        <v>1059</v>
      </c>
      <c r="C17" s="57" t="s">
        <v>1060</v>
      </c>
      <c r="D17" s="57" t="s">
        <v>1061</v>
      </c>
      <c r="E17" s="57" t="s">
        <v>18</v>
      </c>
      <c r="F17" s="57" t="s">
        <v>1057</v>
      </c>
      <c r="G17" s="57" t="s">
        <v>1002</v>
      </c>
      <c r="H17" s="57" t="s">
        <v>1003</v>
      </c>
      <c r="I17" s="57" t="s">
        <v>28</v>
      </c>
      <c r="J17" s="57" t="s">
        <v>29</v>
      </c>
      <c r="K17" s="57" t="str">
        <f t="shared" si="1"/>
        <v>REMINDER LETTER SHOULD BE SENT</v>
      </c>
      <c r="L17" s="123">
        <v>45717</v>
      </c>
      <c r="M17" s="113" t="s">
        <v>1062</v>
      </c>
      <c r="N17" s="114" t="str">
        <f t="shared" si="0"/>
        <v>SEC PHARMACY</v>
      </c>
    </row>
    <row r="18" spans="1:14" s="112" customFormat="1" ht="62.45">
      <c r="A18" s="57">
        <v>15</v>
      </c>
      <c r="B18" s="57" t="s">
        <v>1063</v>
      </c>
      <c r="C18" s="57" t="s">
        <v>1064</v>
      </c>
      <c r="D18" s="57" t="s">
        <v>1065</v>
      </c>
      <c r="E18" s="57" t="s">
        <v>18</v>
      </c>
      <c r="F18" s="57" t="s">
        <v>1057</v>
      </c>
      <c r="G18" s="57" t="s">
        <v>1058</v>
      </c>
      <c r="H18" s="57" t="s">
        <v>1003</v>
      </c>
      <c r="I18" s="57" t="s">
        <v>21</v>
      </c>
      <c r="J18" s="57" t="s">
        <v>1047</v>
      </c>
      <c r="K18" s="57" t="str">
        <f t="shared" si="1"/>
        <v>CAPA VERIFICATION SHOULD BE SCHEDULED</v>
      </c>
      <c r="L18" s="123">
        <v>46082</v>
      </c>
      <c r="M18" s="113" t="s">
        <v>1066</v>
      </c>
      <c r="N18" s="114" t="str">
        <f t="shared" si="0"/>
        <v>FEDESON PHARMACY</v>
      </c>
    </row>
    <row r="19" spans="1:14" s="112" customFormat="1" ht="62.45">
      <c r="A19" s="118">
        <v>16</v>
      </c>
      <c r="B19" s="57" t="s">
        <v>1067</v>
      </c>
      <c r="C19" s="57" t="s">
        <v>1068</v>
      </c>
      <c r="D19" s="57" t="s">
        <v>1069</v>
      </c>
      <c r="E19" s="57" t="s">
        <v>955</v>
      </c>
      <c r="F19" s="57" t="s">
        <v>1070</v>
      </c>
      <c r="G19" s="57" t="s">
        <v>1058</v>
      </c>
      <c r="H19" s="57" t="s">
        <v>1071</v>
      </c>
      <c r="I19" s="57" t="s">
        <v>21</v>
      </c>
      <c r="J19" s="57" t="s">
        <v>1047</v>
      </c>
      <c r="K19" s="57" t="str">
        <f t="shared" si="1"/>
        <v>CAPA VERIFICATION SHOULD BE SCHEDULED</v>
      </c>
      <c r="L19" s="124">
        <v>46143</v>
      </c>
      <c r="M19" s="74" t="s">
        <v>1072</v>
      </c>
      <c r="N19" s="114" t="str">
        <f t="shared" si="0"/>
        <v>ALATRA PHARMACEUTICALS (CAPA)</v>
      </c>
    </row>
    <row r="20" spans="1:14" s="112" customFormat="1" ht="62.45" hidden="1">
      <c r="A20" s="57">
        <v>17</v>
      </c>
      <c r="B20" s="57" t="s">
        <v>1073</v>
      </c>
      <c r="C20" s="57" t="s">
        <v>1074</v>
      </c>
      <c r="D20" s="57" t="s">
        <v>1075</v>
      </c>
      <c r="E20" s="57" t="s">
        <v>18</v>
      </c>
      <c r="F20" s="57" t="s">
        <v>1076</v>
      </c>
      <c r="G20" s="57" t="s">
        <v>1002</v>
      </c>
      <c r="H20" s="57" t="s">
        <v>1003</v>
      </c>
      <c r="I20" s="57" t="s">
        <v>28</v>
      </c>
      <c r="J20" s="57" t="s">
        <v>29</v>
      </c>
      <c r="K20" s="57" t="str">
        <f t="shared" si="1"/>
        <v>REMINDER LETTER SHOULD BE SENT</v>
      </c>
      <c r="L20" s="123">
        <v>45717</v>
      </c>
      <c r="M20" s="113" t="s">
        <v>1077</v>
      </c>
      <c r="N20" s="114" t="str">
        <f t="shared" si="0"/>
        <v>EZE-SUNICH PHARMACY</v>
      </c>
    </row>
    <row r="21" spans="1:14" s="112" customFormat="1" ht="62.45" hidden="1">
      <c r="A21" s="57">
        <v>18</v>
      </c>
      <c r="B21" s="57" t="s">
        <v>1078</v>
      </c>
      <c r="C21" s="57" t="s">
        <v>1079</v>
      </c>
      <c r="D21" s="57" t="s">
        <v>1080</v>
      </c>
      <c r="E21" s="57" t="s">
        <v>18</v>
      </c>
      <c r="F21" s="57" t="s">
        <v>1081</v>
      </c>
      <c r="G21" s="57" t="s">
        <v>1002</v>
      </c>
      <c r="H21" s="57" t="s">
        <v>1082</v>
      </c>
      <c r="I21" s="57" t="s">
        <v>28</v>
      </c>
      <c r="J21" s="57" t="s">
        <v>29</v>
      </c>
      <c r="K21" s="57" t="str">
        <f t="shared" si="1"/>
        <v>REMINDER LETTER SHOULD BE SENT</v>
      </c>
      <c r="L21" s="124">
        <v>45778</v>
      </c>
      <c r="M21" s="109"/>
      <c r="N21" s="114" t="str">
        <f t="shared" si="0"/>
        <v/>
      </c>
    </row>
    <row r="22" spans="1:14" s="112" customFormat="1" ht="62.45">
      <c r="A22" s="57">
        <v>19</v>
      </c>
      <c r="B22" s="57" t="s">
        <v>1083</v>
      </c>
      <c r="C22" s="57" t="s">
        <v>1084</v>
      </c>
      <c r="D22" s="57" t="s">
        <v>1085</v>
      </c>
      <c r="E22" s="57" t="s">
        <v>18</v>
      </c>
      <c r="F22" s="57" t="s">
        <v>1086</v>
      </c>
      <c r="G22" s="57" t="s">
        <v>1058</v>
      </c>
      <c r="H22" s="116">
        <v>45570</v>
      </c>
      <c r="I22" s="57" t="s">
        <v>21</v>
      </c>
      <c r="J22" s="57" t="s">
        <v>269</v>
      </c>
      <c r="K22" s="57" t="str">
        <f t="shared" si="1"/>
        <v>CAPA VERIFICATION SHOULD BE SCHEDULED</v>
      </c>
      <c r="L22" s="124">
        <v>46143</v>
      </c>
      <c r="M22" s="113" t="s">
        <v>1087</v>
      </c>
      <c r="N22" s="114" t="str">
        <f t="shared" si="0"/>
        <v xml:space="preserve">CHUPET PHARMACEUTICAL
</v>
      </c>
    </row>
    <row r="23" spans="1:14" s="112" customFormat="1" ht="62.45" hidden="1">
      <c r="A23" s="57">
        <v>20</v>
      </c>
      <c r="B23" s="57" t="s">
        <v>1088</v>
      </c>
      <c r="C23" s="57" t="s">
        <v>1089</v>
      </c>
      <c r="D23" s="57" t="s">
        <v>1090</v>
      </c>
      <c r="E23" s="57" t="s">
        <v>18</v>
      </c>
      <c r="F23" s="57" t="s">
        <v>1091</v>
      </c>
      <c r="G23" s="57" t="s">
        <v>1002</v>
      </c>
      <c r="H23" s="57" t="s">
        <v>1092</v>
      </c>
      <c r="I23" s="57" t="s">
        <v>28</v>
      </c>
      <c r="J23" s="57" t="s">
        <v>29</v>
      </c>
      <c r="K23" s="57" t="str">
        <f t="shared" si="1"/>
        <v>REMINDER LETTER SHOULD BE SENT</v>
      </c>
      <c r="L23" s="124">
        <v>45778</v>
      </c>
      <c r="M23" s="162" t="s">
        <v>1093</v>
      </c>
      <c r="N23" s="114" t="str">
        <f t="shared" si="0"/>
        <v>SPINE PRODUCT LTD</v>
      </c>
    </row>
    <row r="24" spans="1:14" s="112" customFormat="1" ht="62.45" hidden="1">
      <c r="A24" s="57">
        <v>21</v>
      </c>
      <c r="B24" s="57" t="s">
        <v>1094</v>
      </c>
      <c r="C24" s="57" t="s">
        <v>1095</v>
      </c>
      <c r="D24" s="57" t="s">
        <v>1096</v>
      </c>
      <c r="E24" s="57" t="s">
        <v>18</v>
      </c>
      <c r="F24" s="57" t="s">
        <v>1097</v>
      </c>
      <c r="G24" s="57" t="s">
        <v>1002</v>
      </c>
      <c r="H24" s="57" t="s">
        <v>1098</v>
      </c>
      <c r="I24" s="57" t="s">
        <v>28</v>
      </c>
      <c r="J24" s="57" t="s">
        <v>29</v>
      </c>
      <c r="K24" s="57" t="str">
        <f t="shared" si="1"/>
        <v>REMINDER LETTER SHOULD BE SENT</v>
      </c>
      <c r="L24" s="124">
        <v>45778</v>
      </c>
      <c r="M24" s="113" t="s">
        <v>1099</v>
      </c>
      <c r="N24" s="114" t="str">
        <f t="shared" si="0"/>
        <v>HOLY TRINTY PHARMACY</v>
      </c>
    </row>
    <row r="25" spans="1:14" s="112" customFormat="1" ht="31.15" hidden="1">
      <c r="A25" s="57">
        <v>22</v>
      </c>
      <c r="B25" s="57" t="s">
        <v>1100</v>
      </c>
      <c r="C25" s="57" t="s">
        <v>1101</v>
      </c>
      <c r="D25" s="57" t="s">
        <v>1102</v>
      </c>
      <c r="E25" s="57" t="s">
        <v>18</v>
      </c>
      <c r="F25" s="57" t="s">
        <v>1097</v>
      </c>
      <c r="G25" s="57" t="s">
        <v>1002</v>
      </c>
      <c r="H25" s="57"/>
      <c r="I25" s="57"/>
      <c r="J25" s="57" t="s">
        <v>29</v>
      </c>
      <c r="K25" s="57" t="str">
        <f t="shared" si="1"/>
        <v/>
      </c>
      <c r="L25" s="124">
        <v>45778</v>
      </c>
      <c r="M25" s="113" t="s">
        <v>1103</v>
      </c>
      <c r="N25" s="114" t="str">
        <f t="shared" si="0"/>
        <v>J.O SARCHMORE PHARMACY</v>
      </c>
    </row>
    <row r="26" spans="1:14" s="112" customFormat="1" ht="31.15" hidden="1">
      <c r="A26" s="57">
        <v>23</v>
      </c>
      <c r="B26" s="57" t="s">
        <v>1104</v>
      </c>
      <c r="C26" s="57" t="s">
        <v>1105</v>
      </c>
      <c r="D26" s="57" t="s">
        <v>1106</v>
      </c>
      <c r="E26" s="57" t="s">
        <v>18</v>
      </c>
      <c r="F26" s="57" t="s">
        <v>1107</v>
      </c>
      <c r="G26" s="57" t="s">
        <v>1002</v>
      </c>
      <c r="H26" s="57"/>
      <c r="I26" s="57"/>
      <c r="J26" s="57" t="s">
        <v>29</v>
      </c>
      <c r="K26" s="57" t="str">
        <f t="shared" si="1"/>
        <v/>
      </c>
      <c r="L26" s="124">
        <v>45778</v>
      </c>
      <c r="M26" s="113" t="s">
        <v>1108</v>
      </c>
      <c r="N26" s="114" t="str">
        <f t="shared" si="0"/>
        <v>SUNLIGHT LINKS PHARMACY LTD</v>
      </c>
    </row>
    <row r="27" spans="1:14" s="112" customFormat="1" ht="62.45" hidden="1">
      <c r="A27" s="57">
        <v>24</v>
      </c>
      <c r="B27" s="57" t="s">
        <v>1109</v>
      </c>
      <c r="C27" s="57" t="s">
        <v>1110</v>
      </c>
      <c r="D27" s="57" t="s">
        <v>1111</v>
      </c>
      <c r="E27" s="57" t="s">
        <v>18</v>
      </c>
      <c r="F27" s="57" t="s">
        <v>1112</v>
      </c>
      <c r="G27" s="57" t="s">
        <v>1002</v>
      </c>
      <c r="H27" s="57" t="s">
        <v>1071</v>
      </c>
      <c r="I27" s="57" t="s">
        <v>28</v>
      </c>
      <c r="J27" s="57" t="s">
        <v>29</v>
      </c>
      <c r="K27" s="57" t="str">
        <f t="shared" si="1"/>
        <v>REMINDER LETTER SHOULD BE SENT</v>
      </c>
      <c r="L27" s="124">
        <v>45778</v>
      </c>
      <c r="M27" s="113" t="s">
        <v>1113</v>
      </c>
      <c r="N27" s="114" t="str">
        <f t="shared" si="0"/>
        <v>AL-TINEZ PHARMACEUTICALS</v>
      </c>
    </row>
    <row r="28" spans="1:14" s="112" customFormat="1" ht="31.15" hidden="1">
      <c r="A28" s="57">
        <v>25</v>
      </c>
      <c r="B28" s="57" t="s">
        <v>1114</v>
      </c>
      <c r="C28" s="57" t="s">
        <v>1115</v>
      </c>
      <c r="D28" s="57" t="s">
        <v>1116</v>
      </c>
      <c r="E28" s="57" t="s">
        <v>18</v>
      </c>
      <c r="F28" s="57" t="s">
        <v>1117</v>
      </c>
      <c r="G28" s="57" t="s">
        <v>1002</v>
      </c>
      <c r="H28" s="57"/>
      <c r="I28" s="57"/>
      <c r="J28" s="57" t="s">
        <v>29</v>
      </c>
      <c r="K28" s="57" t="str">
        <f t="shared" si="1"/>
        <v/>
      </c>
      <c r="L28" s="124">
        <v>45778</v>
      </c>
      <c r="M28" s="109"/>
      <c r="N28" s="114" t="str">
        <f t="shared" si="0"/>
        <v/>
      </c>
    </row>
    <row r="29" spans="1:14" s="112" customFormat="1" ht="46.9" hidden="1">
      <c r="A29" s="57">
        <v>26</v>
      </c>
      <c r="B29" s="57" t="s">
        <v>1118</v>
      </c>
      <c r="C29" s="57" t="s">
        <v>1119</v>
      </c>
      <c r="D29" s="57">
        <v>8029702822</v>
      </c>
      <c r="E29" s="57" t="s">
        <v>955</v>
      </c>
      <c r="F29" s="57" t="s">
        <v>1120</v>
      </c>
      <c r="G29" s="57" t="s">
        <v>1058</v>
      </c>
      <c r="H29" s="57"/>
      <c r="I29" s="57" t="s">
        <v>188</v>
      </c>
      <c r="J29" s="57" t="s">
        <v>188</v>
      </c>
      <c r="K29" s="57" t="s">
        <v>188</v>
      </c>
      <c r="L29" s="124">
        <v>46143</v>
      </c>
      <c r="M29" s="131" t="s">
        <v>1121</v>
      </c>
      <c r="N29" s="114" t="str">
        <f t="shared" si="0"/>
        <v>EMBASSY PHARMACEUTICALS (CAPA)</v>
      </c>
    </row>
    <row r="30" spans="1:14" s="112" customFormat="1" ht="62.45" hidden="1">
      <c r="A30" s="57">
        <v>27</v>
      </c>
      <c r="B30" s="57" t="s">
        <v>1122</v>
      </c>
      <c r="C30" s="57" t="s">
        <v>1123</v>
      </c>
      <c r="D30" s="57" t="s">
        <v>1124</v>
      </c>
      <c r="E30" s="57" t="s">
        <v>18</v>
      </c>
      <c r="F30" s="57" t="s">
        <v>1120</v>
      </c>
      <c r="G30" s="57" t="s">
        <v>1002</v>
      </c>
      <c r="H30" s="57"/>
      <c r="I30" s="57" t="s">
        <v>21</v>
      </c>
      <c r="J30" s="57" t="s">
        <v>29</v>
      </c>
      <c r="K30" s="57" t="str">
        <f t="shared" ref="K30:K39" si="2">IF(I30="YES","CAPA VERIFICATION SHOULD BE SCHEDULED",IF(I30="NO","REMINDER LETTER SHOULD BE SENT",""))</f>
        <v>CAPA VERIFICATION SHOULD BE SCHEDULED</v>
      </c>
      <c r="L30" s="124">
        <v>45778</v>
      </c>
      <c r="M30" s="113" t="s">
        <v>1125</v>
      </c>
      <c r="N30" s="114" t="str">
        <f t="shared" si="0"/>
        <v>HILLY PHARMACY</v>
      </c>
    </row>
    <row r="31" spans="1:14" s="112" customFormat="1" ht="62.45" hidden="1">
      <c r="A31" s="58">
        <v>28</v>
      </c>
      <c r="B31" s="115" t="s">
        <v>1126</v>
      </c>
      <c r="C31" s="115" t="s">
        <v>1127</v>
      </c>
      <c r="D31" s="57" t="s">
        <v>1128</v>
      </c>
      <c r="E31" s="57" t="s">
        <v>18</v>
      </c>
      <c r="F31" s="115" t="s">
        <v>1129</v>
      </c>
      <c r="G31" s="57" t="s">
        <v>1002</v>
      </c>
      <c r="H31" s="116">
        <v>45481</v>
      </c>
      <c r="I31" s="57" t="s">
        <v>28</v>
      </c>
      <c r="J31" s="57" t="s">
        <v>29</v>
      </c>
      <c r="K31" s="57" t="str">
        <f t="shared" si="2"/>
        <v>REMINDER LETTER SHOULD BE SENT</v>
      </c>
      <c r="L31" s="123">
        <v>45870</v>
      </c>
      <c r="M31" s="113" t="s">
        <v>1130</v>
      </c>
      <c r="N31" s="114" t="str">
        <f t="shared" si="0"/>
        <v>ZADIP PHARMA NIG. LTD</v>
      </c>
    </row>
    <row r="32" spans="1:14" s="112" customFormat="1" ht="62.45">
      <c r="A32" s="121">
        <v>29</v>
      </c>
      <c r="B32" s="115" t="s">
        <v>1131</v>
      </c>
      <c r="C32" s="115" t="s">
        <v>1132</v>
      </c>
      <c r="D32" s="115" t="s">
        <v>1133</v>
      </c>
      <c r="E32" s="57" t="s">
        <v>18</v>
      </c>
      <c r="F32" s="115" t="s">
        <v>1134</v>
      </c>
      <c r="G32" s="57" t="s">
        <v>1002</v>
      </c>
      <c r="H32" s="57" t="s">
        <v>1135</v>
      </c>
      <c r="I32" s="57" t="s">
        <v>21</v>
      </c>
      <c r="J32" s="57" t="s">
        <v>269</v>
      </c>
      <c r="K32" s="57" t="str">
        <f t="shared" si="2"/>
        <v>CAPA VERIFICATION SHOULD BE SCHEDULED</v>
      </c>
      <c r="L32" s="124">
        <v>45597</v>
      </c>
      <c r="M32" s="131" t="s">
        <v>1136</v>
      </c>
      <c r="N32" s="114" t="str">
        <f t="shared" si="0"/>
        <v>UNIQUE PHARM LTD</v>
      </c>
    </row>
    <row r="33" spans="1:14" s="112" customFormat="1" ht="29.25" customHeight="1">
      <c r="A33" s="58">
        <v>30</v>
      </c>
      <c r="B33" s="115" t="s">
        <v>1137</v>
      </c>
      <c r="C33" s="115" t="s">
        <v>1138</v>
      </c>
      <c r="D33" s="115" t="s">
        <v>1139</v>
      </c>
      <c r="E33" s="57" t="s">
        <v>18</v>
      </c>
      <c r="F33" s="115" t="s">
        <v>1140</v>
      </c>
      <c r="G33" s="57" t="s">
        <v>1002</v>
      </c>
      <c r="H33" s="57" t="s">
        <v>1141</v>
      </c>
      <c r="I33" s="57" t="s">
        <v>21</v>
      </c>
      <c r="J33" s="57" t="s">
        <v>1047</v>
      </c>
      <c r="K33" s="57" t="str">
        <f t="shared" si="2"/>
        <v>CAPA VERIFICATION SHOULD BE SCHEDULED</v>
      </c>
      <c r="L33" s="57" t="s">
        <v>667</v>
      </c>
      <c r="M33" s="113" t="s">
        <v>1142</v>
      </c>
      <c r="N33" s="114" t="str">
        <f t="shared" si="0"/>
        <v>GENERICS &amp; SPECIALITIES LTD</v>
      </c>
    </row>
    <row r="34" spans="1:14" s="112" customFormat="1" ht="40.5" hidden="1" customHeight="1">
      <c r="A34" s="58">
        <v>31</v>
      </c>
      <c r="B34" s="115" t="s">
        <v>1143</v>
      </c>
      <c r="C34" s="115" t="s">
        <v>1144</v>
      </c>
      <c r="D34" s="115">
        <v>8033329209</v>
      </c>
      <c r="E34" s="57" t="s">
        <v>18</v>
      </c>
      <c r="F34" s="115" t="s">
        <v>1145</v>
      </c>
      <c r="G34" s="57" t="s">
        <v>1002</v>
      </c>
      <c r="H34" s="57" t="s">
        <v>1146</v>
      </c>
      <c r="I34" s="57" t="s">
        <v>28</v>
      </c>
      <c r="J34" s="57" t="s">
        <v>29</v>
      </c>
      <c r="K34" s="57" t="str">
        <f t="shared" si="2"/>
        <v>REMINDER LETTER SHOULD BE SENT</v>
      </c>
      <c r="L34" s="123">
        <v>45870</v>
      </c>
      <c r="M34" s="113" t="s">
        <v>1147</v>
      </c>
      <c r="N34" s="114" t="str">
        <f t="shared" si="0"/>
        <v xml:space="preserve">INTERPHARM GMBH </v>
      </c>
    </row>
    <row r="35" spans="1:14" s="112" customFormat="1" ht="32.25" customHeight="1">
      <c r="A35" s="58">
        <v>32</v>
      </c>
      <c r="B35" s="115" t="s">
        <v>1148</v>
      </c>
      <c r="C35" s="115" t="s">
        <v>1149</v>
      </c>
      <c r="D35" s="115" t="s">
        <v>1150</v>
      </c>
      <c r="E35" s="57" t="s">
        <v>955</v>
      </c>
      <c r="F35" s="115" t="s">
        <v>1151</v>
      </c>
      <c r="G35" s="57" t="s">
        <v>1002</v>
      </c>
      <c r="H35" s="57" t="s">
        <v>1152</v>
      </c>
      <c r="I35" s="57" t="s">
        <v>21</v>
      </c>
      <c r="J35" s="57" t="s">
        <v>65</v>
      </c>
      <c r="K35" s="57" t="str">
        <f t="shared" si="2"/>
        <v>CAPA VERIFICATION SHOULD BE SCHEDULED</v>
      </c>
      <c r="L35" s="57" t="s">
        <v>667</v>
      </c>
      <c r="M35" s="113" t="s">
        <v>1153</v>
      </c>
      <c r="N35" s="114" t="str">
        <f t="shared" si="0"/>
        <v>AWARD GLOBAL COMPANY LTD (CAPA)</v>
      </c>
    </row>
    <row r="36" spans="1:14" s="112" customFormat="1" ht="37.5" customHeight="1">
      <c r="A36" s="58">
        <v>33</v>
      </c>
      <c r="B36" s="115" t="s">
        <v>1154</v>
      </c>
      <c r="C36" s="57" t="s">
        <v>1155</v>
      </c>
      <c r="D36" s="115" t="s">
        <v>1156</v>
      </c>
      <c r="E36" s="57" t="s">
        <v>18</v>
      </c>
      <c r="F36" s="115" t="s">
        <v>1157</v>
      </c>
      <c r="G36" s="57" t="s">
        <v>1002</v>
      </c>
      <c r="H36" s="57" t="s">
        <v>1158</v>
      </c>
      <c r="I36" s="57" t="s">
        <v>21</v>
      </c>
      <c r="J36" s="57" t="s">
        <v>269</v>
      </c>
      <c r="K36" s="57" t="str">
        <f t="shared" si="2"/>
        <v>CAPA VERIFICATION SHOULD BE SCHEDULED</v>
      </c>
      <c r="L36" s="120">
        <v>45954</v>
      </c>
      <c r="M36" s="113" t="s">
        <v>1159</v>
      </c>
      <c r="N36" s="114" t="str">
        <f t="shared" ref="N36:N67" si="3">IF(M36="","",HYPERLINK(M36,B36))</f>
        <v xml:space="preserve">MARCSON HEALTHCARE </v>
      </c>
    </row>
    <row r="37" spans="1:14" s="112" customFormat="1" ht="39" hidden="1" customHeight="1">
      <c r="A37" s="58">
        <v>34</v>
      </c>
      <c r="B37" s="115" t="s">
        <v>1160</v>
      </c>
      <c r="C37" s="115" t="s">
        <v>1161</v>
      </c>
      <c r="D37" s="115" t="s">
        <v>1162</v>
      </c>
      <c r="E37" s="57" t="s">
        <v>18</v>
      </c>
      <c r="F37" s="115" t="s">
        <v>1163</v>
      </c>
      <c r="G37" s="57" t="s">
        <v>1002</v>
      </c>
      <c r="H37" s="57" t="s">
        <v>1135</v>
      </c>
      <c r="I37" s="57" t="s">
        <v>28</v>
      </c>
      <c r="J37" s="57" t="s">
        <v>29</v>
      </c>
      <c r="K37" s="57" t="str">
        <f t="shared" si="2"/>
        <v>REMINDER LETTER SHOULD BE SENT</v>
      </c>
      <c r="L37" s="120">
        <v>45894</v>
      </c>
      <c r="M37" s="74" t="s">
        <v>1164</v>
      </c>
      <c r="N37" s="114" t="str">
        <f t="shared" si="3"/>
        <v xml:space="preserve">PHARMAMAX NIGERIA LTD </v>
      </c>
    </row>
    <row r="38" spans="1:14" s="112" customFormat="1" ht="35.25" hidden="1" customHeight="1">
      <c r="A38" s="58">
        <v>35</v>
      </c>
      <c r="B38" s="115" t="s">
        <v>1165</v>
      </c>
      <c r="C38" s="115" t="s">
        <v>1166</v>
      </c>
      <c r="D38" s="115" t="s">
        <v>1167</v>
      </c>
      <c r="E38" s="57" t="s">
        <v>18</v>
      </c>
      <c r="F38" s="115" t="s">
        <v>1168</v>
      </c>
      <c r="G38" s="57" t="s">
        <v>1002</v>
      </c>
      <c r="H38" s="57" t="s">
        <v>1169</v>
      </c>
      <c r="I38" s="57" t="s">
        <v>28</v>
      </c>
      <c r="J38" s="57" t="s">
        <v>29</v>
      </c>
      <c r="K38" s="57" t="str">
        <f t="shared" si="2"/>
        <v>REMINDER LETTER SHOULD BE SENT</v>
      </c>
      <c r="L38" s="120">
        <v>45894</v>
      </c>
      <c r="M38" s="74" t="s">
        <v>1170</v>
      </c>
      <c r="N38" s="114" t="str">
        <f t="shared" si="3"/>
        <v>INTERPHARMA INDUSTRIES LTD</v>
      </c>
    </row>
    <row r="39" spans="1:14" s="112" customFormat="1" ht="32.25" customHeight="1">
      <c r="A39" s="58">
        <v>36</v>
      </c>
      <c r="B39" s="115" t="s">
        <v>1171</v>
      </c>
      <c r="C39" s="115" t="s">
        <v>1172</v>
      </c>
      <c r="D39" s="115" t="s">
        <v>1173</v>
      </c>
      <c r="E39" s="57" t="s">
        <v>18</v>
      </c>
      <c r="F39" s="115" t="s">
        <v>1174</v>
      </c>
      <c r="G39" s="57" t="s">
        <v>1002</v>
      </c>
      <c r="H39" s="57" t="s">
        <v>1175</v>
      </c>
      <c r="I39" s="57" t="s">
        <v>21</v>
      </c>
      <c r="J39" s="57" t="s">
        <v>1047</v>
      </c>
      <c r="K39" s="57" t="str">
        <f t="shared" si="2"/>
        <v>CAPA VERIFICATION SHOULD BE SCHEDULED</v>
      </c>
      <c r="L39" s="57" t="s">
        <v>667</v>
      </c>
      <c r="M39" s="113" t="s">
        <v>1176</v>
      </c>
      <c r="N39" s="114" t="str">
        <f t="shared" si="3"/>
        <v>KCH CONSUMER HEALTHCARE LTD</v>
      </c>
    </row>
    <row r="40" spans="1:14" s="112" customFormat="1" ht="32.25" hidden="1" customHeight="1">
      <c r="A40" s="58">
        <v>37</v>
      </c>
      <c r="B40" s="57" t="s">
        <v>1177</v>
      </c>
      <c r="C40" s="57" t="s">
        <v>1178</v>
      </c>
      <c r="D40" s="57" t="s">
        <v>1179</v>
      </c>
      <c r="E40" s="57" t="s">
        <v>18</v>
      </c>
      <c r="F40" s="57" t="s">
        <v>1180</v>
      </c>
      <c r="G40" s="57" t="s">
        <v>1002</v>
      </c>
      <c r="H40" s="116">
        <v>45786</v>
      </c>
      <c r="I40" s="57" t="s">
        <v>28</v>
      </c>
      <c r="J40" s="57" t="s">
        <v>29</v>
      </c>
      <c r="K40" s="57" t="s">
        <v>1181</v>
      </c>
      <c r="L40" s="123">
        <v>45870</v>
      </c>
      <c r="M40" s="113" t="s">
        <v>1182</v>
      </c>
      <c r="N40" s="114" t="str">
        <f t="shared" si="3"/>
        <v>XCEL PHARMA LTD</v>
      </c>
    </row>
    <row r="41" spans="1:14" s="112" customFormat="1" ht="29.25" customHeight="1">
      <c r="A41" s="58">
        <v>38</v>
      </c>
      <c r="B41" s="57" t="s">
        <v>1183</v>
      </c>
      <c r="C41" s="57" t="s">
        <v>1184</v>
      </c>
      <c r="D41" s="57" t="s">
        <v>1185</v>
      </c>
      <c r="E41" s="57" t="s">
        <v>18</v>
      </c>
      <c r="F41" s="57" t="s">
        <v>1186</v>
      </c>
      <c r="G41" s="57" t="s">
        <v>1002</v>
      </c>
      <c r="H41" s="57" t="s">
        <v>1187</v>
      </c>
      <c r="I41" s="57" t="s">
        <v>21</v>
      </c>
      <c r="J41" s="57" t="s">
        <v>269</v>
      </c>
      <c r="K41" s="57" t="str">
        <f t="shared" ref="K41:K48" si="4">IF(I41="YES","CAPA VERIFICATION SHOULD BE SCHEDULED",IF(I41="NO","REMINDER LETTER SHOULD BE SENT",""))</f>
        <v>CAPA VERIFICATION SHOULD BE SCHEDULED</v>
      </c>
      <c r="L41" s="57" t="s">
        <v>667</v>
      </c>
      <c r="M41" s="131" t="s">
        <v>1188</v>
      </c>
      <c r="N41" s="114" t="str">
        <f t="shared" si="3"/>
        <v>MEDVACC PHARMACY LTD</v>
      </c>
    </row>
    <row r="42" spans="1:14" s="112" customFormat="1" ht="30" customHeight="1">
      <c r="A42" s="58">
        <v>39</v>
      </c>
      <c r="B42" s="57" t="s">
        <v>1189</v>
      </c>
      <c r="C42" s="57" t="s">
        <v>1190</v>
      </c>
      <c r="D42" s="57" t="s">
        <v>1191</v>
      </c>
      <c r="E42" s="57" t="s">
        <v>955</v>
      </c>
      <c r="F42" s="57" t="s">
        <v>1186</v>
      </c>
      <c r="G42" s="57" t="s">
        <v>1002</v>
      </c>
      <c r="H42" s="57"/>
      <c r="I42" s="57"/>
      <c r="J42" s="57" t="s">
        <v>1047</v>
      </c>
      <c r="K42" s="57" t="str">
        <f t="shared" si="4"/>
        <v/>
      </c>
      <c r="L42" s="123">
        <v>45901</v>
      </c>
      <c r="M42" s="113" t="s">
        <v>247</v>
      </c>
      <c r="N42" s="114" t="str">
        <f t="shared" si="3"/>
        <v>VACCIPHARM LTD (CAPA)</v>
      </c>
    </row>
    <row r="43" spans="1:14" s="112" customFormat="1" ht="30" hidden="1" customHeight="1">
      <c r="A43" s="121">
        <v>40</v>
      </c>
      <c r="B43" s="57" t="s">
        <v>1192</v>
      </c>
      <c r="C43" s="57" t="s">
        <v>1193</v>
      </c>
      <c r="D43" s="57" t="s">
        <v>1194</v>
      </c>
      <c r="E43" s="57" t="s">
        <v>18</v>
      </c>
      <c r="F43" s="57" t="s">
        <v>1195</v>
      </c>
      <c r="G43" s="57" t="s">
        <v>1002</v>
      </c>
      <c r="H43" s="57" t="s">
        <v>1196</v>
      </c>
      <c r="I43" s="57" t="s">
        <v>21</v>
      </c>
      <c r="J43" s="57" t="s">
        <v>29</v>
      </c>
      <c r="K43" s="57" t="str">
        <f t="shared" si="4"/>
        <v>CAPA VERIFICATION SHOULD BE SCHEDULED</v>
      </c>
      <c r="L43" s="119" t="s">
        <v>667</v>
      </c>
      <c r="M43" s="113" t="s">
        <v>1197</v>
      </c>
      <c r="N43" s="114" t="str">
        <f t="shared" si="3"/>
        <v>PLACEWARE NIG. LTD</v>
      </c>
    </row>
    <row r="44" spans="1:14" s="112" customFormat="1" ht="28.5" hidden="1" customHeight="1">
      <c r="A44" s="58">
        <v>41</v>
      </c>
      <c r="B44" s="57" t="s">
        <v>1198</v>
      </c>
      <c r="C44" s="57" t="s">
        <v>1199</v>
      </c>
      <c r="D44" s="57" t="s">
        <v>1200</v>
      </c>
      <c r="E44" s="57" t="s">
        <v>18</v>
      </c>
      <c r="F44" s="57" t="s">
        <v>1201</v>
      </c>
      <c r="G44" s="57" t="s">
        <v>1002</v>
      </c>
      <c r="H44" s="57" t="s">
        <v>1187</v>
      </c>
      <c r="I44" s="57" t="s">
        <v>28</v>
      </c>
      <c r="J44" s="57" t="s">
        <v>29</v>
      </c>
      <c r="K44" s="57" t="str">
        <f t="shared" si="4"/>
        <v>REMINDER LETTER SHOULD BE SENT</v>
      </c>
      <c r="L44" s="120">
        <v>45925</v>
      </c>
      <c r="M44" s="113" t="s">
        <v>1202</v>
      </c>
      <c r="N44" s="114" t="str">
        <f t="shared" si="3"/>
        <v xml:space="preserve">SUMMIT HEALTHCARE PHARMACEUTICAL </v>
      </c>
    </row>
    <row r="45" spans="1:14" s="112" customFormat="1" ht="24" hidden="1" customHeight="1">
      <c r="A45" s="58">
        <v>42</v>
      </c>
      <c r="B45" s="57" t="s">
        <v>1203</v>
      </c>
      <c r="C45" s="57" t="s">
        <v>1204</v>
      </c>
      <c r="D45" s="57" t="s">
        <v>1205</v>
      </c>
      <c r="E45" s="57" t="s">
        <v>18</v>
      </c>
      <c r="F45" s="57" t="s">
        <v>1206</v>
      </c>
      <c r="G45" s="57" t="s">
        <v>1058</v>
      </c>
      <c r="H45" s="57" t="s">
        <v>1207</v>
      </c>
      <c r="I45" s="57" t="s">
        <v>28</v>
      </c>
      <c r="J45" s="57" t="s">
        <v>29</v>
      </c>
      <c r="K45" s="57" t="str">
        <f t="shared" si="4"/>
        <v>REMINDER LETTER SHOULD BE SENT</v>
      </c>
      <c r="L45" s="120">
        <v>45925</v>
      </c>
      <c r="M45" s="131" t="s">
        <v>1208</v>
      </c>
      <c r="N45" s="114" t="str">
        <f t="shared" si="3"/>
        <v xml:space="preserve">MERIT HEALTHCARE LTD
</v>
      </c>
    </row>
    <row r="46" spans="1:14" s="112" customFormat="1" ht="26.25" customHeight="1">
      <c r="A46" s="58">
        <v>43</v>
      </c>
      <c r="B46" s="57" t="s">
        <v>1209</v>
      </c>
      <c r="C46" s="57" t="s">
        <v>1210</v>
      </c>
      <c r="D46" s="57" t="s">
        <v>1211</v>
      </c>
      <c r="E46" s="57" t="s">
        <v>18</v>
      </c>
      <c r="F46" s="57" t="s">
        <v>1206</v>
      </c>
      <c r="G46" s="57" t="s">
        <v>1212</v>
      </c>
      <c r="H46" s="57"/>
      <c r="I46" s="57"/>
      <c r="J46" s="57" t="s">
        <v>1047</v>
      </c>
      <c r="K46" s="57" t="str">
        <f t="shared" si="4"/>
        <v/>
      </c>
      <c r="L46" s="123">
        <v>45717</v>
      </c>
      <c r="M46" s="131" t="s">
        <v>1213</v>
      </c>
      <c r="N46" s="114" t="str">
        <f t="shared" si="3"/>
        <v>EXXON PHARM. LTD</v>
      </c>
    </row>
    <row r="47" spans="1:14" s="112" customFormat="1" ht="24" hidden="1" customHeight="1">
      <c r="A47" s="58">
        <v>44</v>
      </c>
      <c r="B47" s="57" t="s">
        <v>1214</v>
      </c>
      <c r="C47" s="57" t="s">
        <v>1215</v>
      </c>
      <c r="D47" s="57" t="s">
        <v>1216</v>
      </c>
      <c r="E47" s="57" t="s">
        <v>18</v>
      </c>
      <c r="F47" s="57" t="s">
        <v>1217</v>
      </c>
      <c r="G47" s="57" t="s">
        <v>1002</v>
      </c>
      <c r="H47" s="57" t="s">
        <v>1218</v>
      </c>
      <c r="I47" s="57" t="s">
        <v>28</v>
      </c>
      <c r="J47" s="57" t="s">
        <v>29</v>
      </c>
      <c r="K47" s="57" t="str">
        <f t="shared" si="4"/>
        <v>REMINDER LETTER SHOULD BE SENT</v>
      </c>
      <c r="L47" s="120">
        <v>45925</v>
      </c>
      <c r="M47" s="113" t="s">
        <v>1219</v>
      </c>
      <c r="N47" s="114" t="str">
        <f t="shared" si="3"/>
        <v>NEOLIFE INTERNATIONAL LTD.</v>
      </c>
    </row>
    <row r="48" spans="1:14" s="112" customFormat="1" ht="32.25" customHeight="1">
      <c r="A48" s="58">
        <v>45</v>
      </c>
      <c r="B48" s="115" t="s">
        <v>1148</v>
      </c>
      <c r="C48" s="115" t="s">
        <v>1149</v>
      </c>
      <c r="D48" s="115" t="s">
        <v>1150</v>
      </c>
      <c r="E48" s="57" t="s">
        <v>955</v>
      </c>
      <c r="F48" s="57" t="s">
        <v>1217</v>
      </c>
      <c r="G48" s="57" t="s">
        <v>1002</v>
      </c>
      <c r="H48" s="57" t="s">
        <v>1218</v>
      </c>
      <c r="I48" s="57" t="s">
        <v>21</v>
      </c>
      <c r="J48" s="57" t="s">
        <v>1047</v>
      </c>
      <c r="K48" s="57" t="str">
        <f t="shared" si="4"/>
        <v>CAPA VERIFICATION SHOULD BE SCHEDULED</v>
      </c>
      <c r="L48" s="57" t="s">
        <v>667</v>
      </c>
      <c r="M48" s="74" t="s">
        <v>1220</v>
      </c>
      <c r="N48" s="114" t="str">
        <f t="shared" si="3"/>
        <v>AWARD GLOBAL COMPANY LTD (CAPA)</v>
      </c>
    </row>
    <row r="49" spans="1:14" s="112" customFormat="1" ht="25.5" hidden="1" customHeight="1">
      <c r="A49" s="57">
        <v>46</v>
      </c>
      <c r="B49" s="117" t="s">
        <v>1221</v>
      </c>
      <c r="C49" s="117" t="s">
        <v>1222</v>
      </c>
      <c r="D49" s="117">
        <v>8024153514</v>
      </c>
      <c r="E49" s="57" t="s">
        <v>955</v>
      </c>
      <c r="F49" s="57" t="s">
        <v>1223</v>
      </c>
      <c r="G49" s="57" t="s">
        <v>1058</v>
      </c>
      <c r="H49" s="57" t="s">
        <v>1146</v>
      </c>
      <c r="I49" s="57" t="s">
        <v>188</v>
      </c>
      <c r="J49" s="57" t="s">
        <v>906</v>
      </c>
      <c r="K49" s="57" t="s">
        <v>743</v>
      </c>
      <c r="L49" s="123">
        <v>46296</v>
      </c>
      <c r="M49" s="113" t="s">
        <v>1224</v>
      </c>
      <c r="N49" s="114" t="str">
        <f t="shared" si="3"/>
        <v>CHANRAI HEALTHCARE LTD. (CAPA)</v>
      </c>
    </row>
    <row r="50" spans="1:14" s="112" customFormat="1" ht="26.25" hidden="1" customHeight="1">
      <c r="A50" s="57">
        <v>47</v>
      </c>
      <c r="B50" s="57" t="s">
        <v>1225</v>
      </c>
      <c r="C50" s="57" t="s">
        <v>1226</v>
      </c>
      <c r="D50" s="57">
        <v>8033082688</v>
      </c>
      <c r="E50" s="57" t="s">
        <v>18</v>
      </c>
      <c r="F50" s="57" t="s">
        <v>1227</v>
      </c>
      <c r="G50" s="57" t="s">
        <v>1002</v>
      </c>
      <c r="H50" s="116">
        <v>45454</v>
      </c>
      <c r="I50" s="57" t="s">
        <v>28</v>
      </c>
      <c r="J50" s="57" t="s">
        <v>29</v>
      </c>
      <c r="K50" s="57" t="str">
        <f>IF(I50="YES","CAPA VERIFICATION SHOULD BE SCHEDULED",IF(I50="NO","REMINDER LETTER SHOULD BE SENT",""))</f>
        <v>REMINDER LETTER SHOULD BE SENT</v>
      </c>
      <c r="L50" s="123">
        <v>45962</v>
      </c>
      <c r="M50" s="113" t="s">
        <v>1228</v>
      </c>
      <c r="N50" s="114" t="str">
        <f t="shared" si="3"/>
        <v>TRICARE PHARM.</v>
      </c>
    </row>
    <row r="51" spans="1:14" s="112" customFormat="1" ht="37.5" customHeight="1">
      <c r="A51" s="57">
        <v>48</v>
      </c>
      <c r="B51" s="57" t="s">
        <v>1229</v>
      </c>
      <c r="C51" s="57" t="s">
        <v>1230</v>
      </c>
      <c r="D51" s="57">
        <v>8034676220</v>
      </c>
      <c r="E51" s="57" t="s">
        <v>18</v>
      </c>
      <c r="F51" s="57" t="s">
        <v>1227</v>
      </c>
      <c r="G51" s="57" t="s">
        <v>1002</v>
      </c>
      <c r="H51" s="116">
        <v>45605</v>
      </c>
      <c r="I51" s="57" t="s">
        <v>188</v>
      </c>
      <c r="J51" s="57" t="s">
        <v>1047</v>
      </c>
      <c r="K51" s="57" t="s">
        <v>743</v>
      </c>
      <c r="L51" s="123">
        <v>45962</v>
      </c>
      <c r="M51" s="113" t="s">
        <v>1231</v>
      </c>
      <c r="N51" s="114" t="str">
        <f t="shared" si="3"/>
        <v>STERLING BIOPHARM</v>
      </c>
    </row>
    <row r="52" spans="1:14" s="112" customFormat="1" ht="37.5" customHeight="1">
      <c r="A52" s="118">
        <v>49</v>
      </c>
      <c r="B52" s="57" t="s">
        <v>1232</v>
      </c>
      <c r="C52" s="57" t="s">
        <v>1233</v>
      </c>
      <c r="D52" s="57" t="s">
        <v>1234</v>
      </c>
      <c r="E52" s="57" t="s">
        <v>18</v>
      </c>
      <c r="F52" s="57" t="s">
        <v>1235</v>
      </c>
      <c r="G52" s="57" t="s">
        <v>1212</v>
      </c>
      <c r="H52" s="116">
        <v>45605</v>
      </c>
      <c r="I52" s="57" t="s">
        <v>21</v>
      </c>
      <c r="J52" s="57" t="s">
        <v>65</v>
      </c>
      <c r="K52" s="57" t="str">
        <f t="shared" ref="K52:K69" si="5">IF(I52="YES","CAPA VERIFICATION SHOULD BE SCHEDULED",IF(I52="NO","REMINDER LETTER SHOULD BE SENT",""))</f>
        <v>CAPA VERIFICATION SHOULD BE SCHEDULED</v>
      </c>
      <c r="L52" s="124">
        <v>45778</v>
      </c>
      <c r="M52" s="131" t="s">
        <v>1236</v>
      </c>
      <c r="N52" s="114" t="str">
        <f t="shared" si="3"/>
        <v>SEAGREEN PHARMACEUTICALS</v>
      </c>
    </row>
    <row r="53" spans="1:14" s="112" customFormat="1" ht="26.25" hidden="1" customHeight="1">
      <c r="A53" s="57">
        <v>50</v>
      </c>
      <c r="B53" s="57" t="s">
        <v>1237</v>
      </c>
      <c r="C53" s="57" t="s">
        <v>1238</v>
      </c>
      <c r="D53" s="57" t="s">
        <v>1239</v>
      </c>
      <c r="E53" s="57" t="s">
        <v>18</v>
      </c>
      <c r="F53" s="57" t="s">
        <v>1240</v>
      </c>
      <c r="G53" s="57" t="s">
        <v>1212</v>
      </c>
      <c r="H53" s="116">
        <v>45618</v>
      </c>
      <c r="I53" s="57" t="s">
        <v>28</v>
      </c>
      <c r="J53" s="57" t="s">
        <v>1241</v>
      </c>
      <c r="K53" s="57" t="str">
        <f t="shared" si="5"/>
        <v>REMINDER LETTER SHOULD BE SENT</v>
      </c>
      <c r="L53" s="124">
        <v>45778</v>
      </c>
      <c r="M53" s="131" t="s">
        <v>1242</v>
      </c>
      <c r="N53" s="114" t="str">
        <f t="shared" si="3"/>
        <v>BRENT CROSS PHARM LTD.</v>
      </c>
    </row>
    <row r="54" spans="1:14" s="112" customFormat="1" ht="62.45" hidden="1">
      <c r="A54" s="57">
        <v>51</v>
      </c>
      <c r="B54" s="57" t="s">
        <v>1243</v>
      </c>
      <c r="C54" s="57" t="s">
        <v>1244</v>
      </c>
      <c r="D54" s="57" t="s">
        <v>1245</v>
      </c>
      <c r="E54" s="57" t="s">
        <v>18</v>
      </c>
      <c r="F54" s="57" t="s">
        <v>1246</v>
      </c>
      <c r="G54" s="57" t="s">
        <v>1002</v>
      </c>
      <c r="H54" s="116">
        <v>45333</v>
      </c>
      <c r="I54" s="57" t="s">
        <v>28</v>
      </c>
      <c r="J54" s="57" t="s">
        <v>29</v>
      </c>
      <c r="K54" s="57" t="str">
        <f t="shared" si="5"/>
        <v>REMINDER LETTER SHOULD BE SENT</v>
      </c>
      <c r="L54" s="123">
        <v>45962</v>
      </c>
      <c r="M54" s="113" t="s">
        <v>1247</v>
      </c>
      <c r="N54" s="114" t="str">
        <f t="shared" si="3"/>
        <v>PHARMGATE HEALTHCARE LTD.</v>
      </c>
    </row>
    <row r="55" spans="1:14" s="112" customFormat="1" ht="62.45" hidden="1">
      <c r="A55" s="57">
        <v>52</v>
      </c>
      <c r="B55" s="57" t="s">
        <v>1248</v>
      </c>
      <c r="C55" s="57" t="s">
        <v>1249</v>
      </c>
      <c r="D55" s="57" t="s">
        <v>1250</v>
      </c>
      <c r="E55" s="57" t="s">
        <v>18</v>
      </c>
      <c r="F55" s="57" t="s">
        <v>1246</v>
      </c>
      <c r="G55" s="57" t="s">
        <v>1002</v>
      </c>
      <c r="H55" s="57" t="s">
        <v>1251</v>
      </c>
      <c r="I55" s="57" t="s">
        <v>28</v>
      </c>
      <c r="J55" s="57" t="s">
        <v>29</v>
      </c>
      <c r="K55" s="57" t="str">
        <f t="shared" si="5"/>
        <v>REMINDER LETTER SHOULD BE SENT</v>
      </c>
      <c r="L55" s="123">
        <v>45962</v>
      </c>
      <c r="M55" s="113" t="s">
        <v>1252</v>
      </c>
      <c r="N55" s="114" t="str">
        <f t="shared" si="3"/>
        <v>NECTAR HEALTHCARE LTD.</v>
      </c>
    </row>
    <row r="56" spans="1:14" s="112" customFormat="1" ht="31.15" hidden="1">
      <c r="A56" s="57">
        <v>53</v>
      </c>
      <c r="B56" s="57" t="s">
        <v>1253</v>
      </c>
      <c r="C56" s="57" t="s">
        <v>1254</v>
      </c>
      <c r="D56" s="57" t="s">
        <v>1255</v>
      </c>
      <c r="E56" s="57" t="s">
        <v>18</v>
      </c>
      <c r="F56" s="57" t="s">
        <v>1246</v>
      </c>
      <c r="G56" s="57" t="s">
        <v>1002</v>
      </c>
      <c r="H56" s="57"/>
      <c r="I56" s="57"/>
      <c r="J56" s="57" t="s">
        <v>29</v>
      </c>
      <c r="K56" s="57" t="str">
        <f t="shared" si="5"/>
        <v/>
      </c>
      <c r="L56" s="123">
        <v>45962</v>
      </c>
      <c r="M56" s="113" t="s">
        <v>1256</v>
      </c>
      <c r="N56" s="114" t="str">
        <f t="shared" si="3"/>
        <v>ZOGGER PHARMA LTD.</v>
      </c>
    </row>
    <row r="57" spans="1:14" s="112" customFormat="1" ht="31.15" hidden="1">
      <c r="A57" s="57">
        <v>54</v>
      </c>
      <c r="B57" s="57" t="s">
        <v>1257</v>
      </c>
      <c r="C57" s="57" t="s">
        <v>1258</v>
      </c>
      <c r="D57" s="57" t="s">
        <v>1259</v>
      </c>
      <c r="E57" s="57" t="s">
        <v>18</v>
      </c>
      <c r="F57" s="57" t="s">
        <v>1260</v>
      </c>
      <c r="G57" s="57" t="s">
        <v>1002</v>
      </c>
      <c r="H57" s="57"/>
      <c r="I57" s="57"/>
      <c r="J57" s="57" t="s">
        <v>29</v>
      </c>
      <c r="K57" s="57" t="str">
        <f t="shared" si="5"/>
        <v/>
      </c>
      <c r="L57" s="123">
        <v>45962</v>
      </c>
      <c r="M57" s="113" t="s">
        <v>1261</v>
      </c>
      <c r="N57" s="114" t="str">
        <f t="shared" si="3"/>
        <v>FAES FARMA NIG. LTD.</v>
      </c>
    </row>
    <row r="58" spans="1:14" s="112" customFormat="1" ht="62.45" hidden="1">
      <c r="A58" s="57">
        <v>55</v>
      </c>
      <c r="B58" s="57" t="s">
        <v>1262</v>
      </c>
      <c r="C58" s="57" t="s">
        <v>1263</v>
      </c>
      <c r="D58" s="57" t="s">
        <v>1264</v>
      </c>
      <c r="E58" s="57" t="s">
        <v>18</v>
      </c>
      <c r="F58" s="57" t="s">
        <v>1260</v>
      </c>
      <c r="G58" s="57" t="s">
        <v>1002</v>
      </c>
      <c r="H58" s="57" t="s">
        <v>1098</v>
      </c>
      <c r="I58" s="57" t="s">
        <v>28</v>
      </c>
      <c r="J58" s="57" t="s">
        <v>29</v>
      </c>
      <c r="K58" s="57" t="str">
        <f t="shared" si="5"/>
        <v>REMINDER LETTER SHOULD BE SENT</v>
      </c>
      <c r="L58" s="123">
        <v>45962</v>
      </c>
      <c r="M58" s="113" t="s">
        <v>1265</v>
      </c>
      <c r="N58" s="114" t="str">
        <f t="shared" si="3"/>
        <v>LYN-EDGE PHARMACEUTICALS</v>
      </c>
    </row>
    <row r="59" spans="1:14" s="112" customFormat="1" ht="62.45">
      <c r="A59" s="57">
        <v>56</v>
      </c>
      <c r="B59" s="57" t="s">
        <v>1266</v>
      </c>
      <c r="C59" s="122" t="s">
        <v>1267</v>
      </c>
      <c r="D59" s="57" t="s">
        <v>1268</v>
      </c>
      <c r="E59" s="57" t="s">
        <v>18</v>
      </c>
      <c r="F59" s="57" t="s">
        <v>1269</v>
      </c>
      <c r="G59" s="57" t="s">
        <v>1002</v>
      </c>
      <c r="H59" s="57" t="s">
        <v>1270</v>
      </c>
      <c r="I59" s="57" t="s">
        <v>21</v>
      </c>
      <c r="J59" s="57" t="s">
        <v>65</v>
      </c>
      <c r="K59" s="57" t="str">
        <f t="shared" si="5"/>
        <v>CAPA VERIFICATION SHOULD BE SCHEDULED</v>
      </c>
      <c r="L59" s="123">
        <v>45962</v>
      </c>
      <c r="M59" s="113" t="s">
        <v>1271</v>
      </c>
      <c r="N59" s="114" t="str">
        <f t="shared" si="3"/>
        <v>TETA PHARMACEUTICALS</v>
      </c>
    </row>
    <row r="60" spans="1:14" s="112" customFormat="1" ht="62.45" hidden="1">
      <c r="A60" s="57">
        <v>57</v>
      </c>
      <c r="B60" s="57" t="s">
        <v>1272</v>
      </c>
      <c r="C60" s="57" t="s">
        <v>1064</v>
      </c>
      <c r="D60" s="57"/>
      <c r="E60" s="57" t="s">
        <v>955</v>
      </c>
      <c r="F60" s="57" t="s">
        <v>1269</v>
      </c>
      <c r="G60" s="57" t="s">
        <v>1058</v>
      </c>
      <c r="H60" s="116">
        <v>45424</v>
      </c>
      <c r="I60" s="57" t="s">
        <v>28</v>
      </c>
      <c r="J60" s="57" t="s">
        <v>29</v>
      </c>
      <c r="K60" s="57" t="str">
        <f t="shared" si="5"/>
        <v>REMINDER LETTER SHOULD BE SENT</v>
      </c>
      <c r="L60" s="123">
        <v>46357</v>
      </c>
      <c r="M60" s="113" t="s">
        <v>1273</v>
      </c>
      <c r="N60" s="114" t="str">
        <f t="shared" si="3"/>
        <v>FEDESON PHARMACY (CAPA)</v>
      </c>
    </row>
    <row r="61" spans="1:14" s="112" customFormat="1" ht="62.45" hidden="1">
      <c r="A61" s="57">
        <v>58</v>
      </c>
      <c r="B61" s="57" t="s">
        <v>1274</v>
      </c>
      <c r="C61" s="57" t="s">
        <v>1275</v>
      </c>
      <c r="D61" s="57" t="s">
        <v>1276</v>
      </c>
      <c r="E61" s="57" t="s">
        <v>18</v>
      </c>
      <c r="F61" s="57" t="s">
        <v>1277</v>
      </c>
      <c r="G61" s="57" t="s">
        <v>1002</v>
      </c>
      <c r="H61" s="116">
        <v>45424</v>
      </c>
      <c r="I61" s="57" t="s">
        <v>21</v>
      </c>
      <c r="J61" s="57" t="s">
        <v>29</v>
      </c>
      <c r="K61" s="57" t="str">
        <f t="shared" si="5"/>
        <v>CAPA VERIFICATION SHOULD BE SCHEDULED</v>
      </c>
      <c r="L61" s="123">
        <v>45992</v>
      </c>
      <c r="M61" s="113" t="s">
        <v>1278</v>
      </c>
      <c r="N61" s="114" t="str">
        <f t="shared" si="3"/>
        <v>IDEAL EAGLES</v>
      </c>
    </row>
    <row r="62" spans="1:14" s="112" customFormat="1" ht="62.45">
      <c r="A62" s="57">
        <v>59</v>
      </c>
      <c r="B62" s="57" t="s">
        <v>1279</v>
      </c>
      <c r="C62" s="57" t="s">
        <v>1280</v>
      </c>
      <c r="D62" s="57"/>
      <c r="E62" s="57" t="s">
        <v>18</v>
      </c>
      <c r="F62" s="57" t="s">
        <v>1281</v>
      </c>
      <c r="G62" s="57" t="s">
        <v>1002</v>
      </c>
      <c r="H62" s="116">
        <v>45547</v>
      </c>
      <c r="I62" s="57" t="s">
        <v>21</v>
      </c>
      <c r="J62" s="57" t="s">
        <v>1047</v>
      </c>
      <c r="K62" s="57" t="str">
        <f t="shared" si="5"/>
        <v>CAPA VERIFICATION SHOULD BE SCHEDULED</v>
      </c>
      <c r="L62" s="123">
        <v>45992</v>
      </c>
      <c r="M62" s="113" t="s">
        <v>1282</v>
      </c>
      <c r="N62" s="114" t="str">
        <f t="shared" si="3"/>
        <v>CHARTERHOUSE PHARM. LTD.</v>
      </c>
    </row>
    <row r="63" spans="1:14" s="112" customFormat="1" ht="62.45" hidden="1">
      <c r="A63" s="118">
        <v>60</v>
      </c>
      <c r="B63" s="57" t="s">
        <v>1283</v>
      </c>
      <c r="C63" s="57" t="s">
        <v>1284</v>
      </c>
      <c r="D63" s="57" t="s">
        <v>1285</v>
      </c>
      <c r="E63" s="57" t="s">
        <v>955</v>
      </c>
      <c r="F63" s="57" t="s">
        <v>1286</v>
      </c>
      <c r="G63" s="57" t="s">
        <v>1002</v>
      </c>
      <c r="H63" s="116">
        <v>45637</v>
      </c>
      <c r="I63" s="57" t="s">
        <v>21</v>
      </c>
      <c r="J63" s="57" t="s">
        <v>29</v>
      </c>
      <c r="K63" s="57" t="str">
        <f t="shared" si="5"/>
        <v>CAPA VERIFICATION SHOULD BE SCHEDULED</v>
      </c>
      <c r="L63" s="123">
        <v>45992</v>
      </c>
      <c r="M63" s="113" t="s">
        <v>1287</v>
      </c>
      <c r="N63" s="114" t="str">
        <f t="shared" si="3"/>
        <v xml:space="preserve">CHUPET PHARMACEUTICAL(CAPA)
</v>
      </c>
    </row>
    <row r="64" spans="1:14" s="112" customFormat="1" ht="62.45">
      <c r="A64" s="128">
        <v>61</v>
      </c>
      <c r="B64" s="128" t="s">
        <v>1288</v>
      </c>
      <c r="C64" s="128" t="s">
        <v>1289</v>
      </c>
      <c r="D64" s="128" t="s">
        <v>1290</v>
      </c>
      <c r="E64" s="128" t="s">
        <v>18</v>
      </c>
      <c r="F64" s="128" t="s">
        <v>1286</v>
      </c>
      <c r="G64" s="128" t="s">
        <v>1002</v>
      </c>
      <c r="H64" s="130">
        <v>45577</v>
      </c>
      <c r="I64" s="128" t="s">
        <v>21</v>
      </c>
      <c r="J64" s="128" t="s">
        <v>1047</v>
      </c>
      <c r="K64" s="128" t="str">
        <f t="shared" si="5"/>
        <v>CAPA VERIFICATION SHOULD BE SCHEDULED</v>
      </c>
      <c r="L64" s="123">
        <v>45992</v>
      </c>
      <c r="M64" s="113" t="s">
        <v>1291</v>
      </c>
      <c r="N64" s="129" t="str">
        <f t="shared" si="3"/>
        <v>GBGL PHARM.</v>
      </c>
    </row>
    <row r="65" spans="1:14" s="112" customFormat="1">
      <c r="A65" s="7"/>
      <c r="B65" s="7"/>
      <c r="C65" s="7"/>
      <c r="D65" s="7"/>
      <c r="E65" s="7"/>
      <c r="F65" s="7"/>
      <c r="G65" s="7"/>
      <c r="H65" s="7"/>
      <c r="I65" s="7"/>
      <c r="J65" s="7"/>
      <c r="K65" s="7" t="str">
        <f t="shared" si="5"/>
        <v/>
      </c>
      <c r="L65" s="7"/>
      <c r="M65" s="109"/>
      <c r="N65" s="125" t="str">
        <f t="shared" si="3"/>
        <v/>
      </c>
    </row>
    <row r="66" spans="1:14" s="112" customFormat="1">
      <c r="K66" s="112" t="str">
        <f t="shared" si="5"/>
        <v/>
      </c>
      <c r="M66" s="126"/>
      <c r="N66" s="127" t="str">
        <f t="shared" si="3"/>
        <v/>
      </c>
    </row>
    <row r="67" spans="1:14" s="112" customFormat="1">
      <c r="K67" s="112" t="str">
        <f t="shared" si="5"/>
        <v/>
      </c>
      <c r="M67" s="126"/>
      <c r="N67" s="127" t="str">
        <f t="shared" si="3"/>
        <v/>
      </c>
    </row>
    <row r="68" spans="1:14" s="112" customFormat="1">
      <c r="K68" s="112" t="str">
        <f t="shared" si="5"/>
        <v/>
      </c>
      <c r="M68" s="126"/>
      <c r="N68" s="127" t="str">
        <f t="shared" ref="N68:N69" si="6">IF(M68="","",HYPERLINK(M68,B68))</f>
        <v/>
      </c>
    </row>
    <row r="69" spans="1:14" s="112" customFormat="1">
      <c r="K69" s="112" t="str">
        <f t="shared" si="5"/>
        <v/>
      </c>
      <c r="M69" s="126"/>
      <c r="N69" s="127" t="str">
        <f t="shared" si="6"/>
        <v/>
      </c>
    </row>
    <row r="70" spans="1:14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spans="1:14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spans="1:14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 spans="1:14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 spans="1:1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 spans="1:14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 spans="1:14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  <row r="77" spans="1:14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</row>
    <row r="78" spans="1:14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 spans="1:14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</row>
    <row r="80" spans="1:14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  <row r="81" spans="13:13" s="7" customFormat="1">
      <c r="M81" s="109"/>
    </row>
    <row r="82" spans="13:13" s="7" customFormat="1">
      <c r="M82" s="109"/>
    </row>
    <row r="83" spans="13:13" s="7" customFormat="1">
      <c r="M83" s="109"/>
    </row>
    <row r="84" spans="13:13" s="7" customFormat="1">
      <c r="M84" s="109"/>
    </row>
    <row r="85" spans="13:13" s="7" customFormat="1">
      <c r="M85" s="109"/>
    </row>
    <row r="86" spans="13:13" s="7" customFormat="1">
      <c r="M86" s="109"/>
    </row>
    <row r="87" spans="13:13" s="7" customFormat="1">
      <c r="M87" s="109"/>
    </row>
    <row r="88" spans="13:13" s="7" customFormat="1">
      <c r="M88" s="109"/>
    </row>
    <row r="89" spans="13:13" s="7" customFormat="1">
      <c r="M89" s="109"/>
    </row>
    <row r="90" spans="13:13" s="7" customFormat="1">
      <c r="M90" s="109"/>
    </row>
    <row r="91" spans="13:13" s="7" customFormat="1">
      <c r="M91" s="109"/>
    </row>
    <row r="92" spans="13:13" s="7" customFormat="1">
      <c r="M92" s="109"/>
    </row>
    <row r="93" spans="13:13" s="7" customFormat="1">
      <c r="M93" s="109"/>
    </row>
    <row r="94" spans="13:13" s="7" customFormat="1">
      <c r="M94" s="109"/>
    </row>
    <row r="95" spans="13:13" s="7" customFormat="1">
      <c r="M95" s="109"/>
    </row>
    <row r="96" spans="13:13" s="7" customFormat="1">
      <c r="M96" s="109"/>
    </row>
    <row r="97" spans="13:13" s="7" customFormat="1">
      <c r="M97" s="109"/>
    </row>
    <row r="98" spans="13:13" s="7" customFormat="1">
      <c r="M98" s="109"/>
    </row>
    <row r="99" spans="13:13" s="7" customFormat="1">
      <c r="M99" s="109"/>
    </row>
    <row r="100" spans="13:13" s="7" customFormat="1">
      <c r="M100" s="109"/>
    </row>
    <row r="101" spans="13:13" s="7" customFormat="1">
      <c r="M101" s="109"/>
    </row>
    <row r="102" spans="13:13" s="7" customFormat="1">
      <c r="M102" s="109"/>
    </row>
    <row r="103" spans="13:13" s="7" customFormat="1">
      <c r="M103" s="109"/>
    </row>
    <row r="104" spans="13:13" s="7" customFormat="1">
      <c r="M104" s="109"/>
    </row>
    <row r="105" spans="13:13" s="7" customFormat="1">
      <c r="M105" s="109"/>
    </row>
    <row r="106" spans="13:13" s="7" customFormat="1">
      <c r="M106" s="109"/>
    </row>
    <row r="107" spans="13:13" s="7" customFormat="1">
      <c r="M107" s="109"/>
    </row>
    <row r="108" spans="13:13" s="7" customFormat="1">
      <c r="M108" s="109"/>
    </row>
    <row r="109" spans="13:13" s="7" customFormat="1">
      <c r="M109" s="109"/>
    </row>
    <row r="110" spans="13:13" s="7" customFormat="1">
      <c r="M110" s="109"/>
    </row>
    <row r="111" spans="13:13" s="7" customFormat="1">
      <c r="M111" s="109"/>
    </row>
    <row r="112" spans="13:13" s="7" customFormat="1">
      <c r="M112" s="109"/>
    </row>
    <row r="113" spans="13:13" s="7" customFormat="1">
      <c r="M113" s="109"/>
    </row>
    <row r="114" spans="13:13" s="7" customFormat="1">
      <c r="M114" s="109"/>
    </row>
    <row r="115" spans="13:13" s="7" customFormat="1">
      <c r="M115" s="109"/>
    </row>
    <row r="116" spans="13:13" s="7" customFormat="1">
      <c r="M116" s="109"/>
    </row>
    <row r="117" spans="13:13" s="7" customFormat="1">
      <c r="M117" s="109"/>
    </row>
    <row r="118" spans="13:13" s="7" customFormat="1">
      <c r="M118" s="109"/>
    </row>
    <row r="119" spans="13:13" s="7" customFormat="1">
      <c r="M119" s="109"/>
    </row>
    <row r="120" spans="13:13" s="7" customFormat="1">
      <c r="M120" s="109"/>
    </row>
    <row r="121" spans="13:13" s="7" customFormat="1">
      <c r="M121" s="109"/>
    </row>
    <row r="122" spans="13:13" s="7" customFormat="1">
      <c r="M122" s="109"/>
    </row>
    <row r="123" spans="13:13" s="7" customFormat="1">
      <c r="M123" s="109"/>
    </row>
    <row r="124" spans="13:13" s="7" customFormat="1">
      <c r="M124" s="109"/>
    </row>
    <row r="125" spans="13:13" s="7" customFormat="1">
      <c r="M125" s="109"/>
    </row>
    <row r="126" spans="13:13" s="7" customFormat="1">
      <c r="M126" s="109"/>
    </row>
    <row r="127" spans="13:13" s="7" customFormat="1">
      <c r="M127" s="109"/>
    </row>
    <row r="128" spans="13:13" s="7" customFormat="1">
      <c r="M128" s="109"/>
    </row>
    <row r="129" spans="13:13" s="7" customFormat="1">
      <c r="M129" s="109"/>
    </row>
    <row r="130" spans="13:13" s="7" customFormat="1">
      <c r="M130" s="109"/>
    </row>
    <row r="131" spans="13:13" s="7" customFormat="1">
      <c r="M131" s="109"/>
    </row>
    <row r="132" spans="13:13" s="7" customFormat="1">
      <c r="M132" s="109"/>
    </row>
    <row r="133" spans="13:13" s="7" customFormat="1">
      <c r="M133" s="109"/>
    </row>
    <row r="134" spans="13:13" s="7" customFormat="1">
      <c r="M134" s="109"/>
    </row>
    <row r="135" spans="13:13" s="7" customFormat="1">
      <c r="M135" s="109"/>
    </row>
    <row r="136" spans="13:13" s="7" customFormat="1">
      <c r="M136" s="109"/>
    </row>
    <row r="137" spans="13:13" s="7" customFormat="1">
      <c r="M137" s="109"/>
    </row>
    <row r="138" spans="13:13" s="7" customFormat="1">
      <c r="M138" s="109"/>
    </row>
    <row r="139" spans="13:13" s="7" customFormat="1">
      <c r="M139" s="109"/>
    </row>
    <row r="140" spans="13:13" s="7" customFormat="1">
      <c r="M140" s="109"/>
    </row>
    <row r="141" spans="13:13" s="7" customFormat="1">
      <c r="M141" s="109"/>
    </row>
    <row r="142" spans="13:13" s="7" customFormat="1">
      <c r="M142" s="109"/>
    </row>
    <row r="143" spans="13:13" s="7" customFormat="1">
      <c r="M143" s="109"/>
    </row>
    <row r="144" spans="13:13" s="7" customFormat="1">
      <c r="M144" s="109"/>
    </row>
    <row r="145" spans="13:13" s="7" customFormat="1">
      <c r="M145" s="109"/>
    </row>
    <row r="146" spans="13:13" s="7" customFormat="1">
      <c r="M146" s="109"/>
    </row>
    <row r="147" spans="13:13" s="7" customFormat="1">
      <c r="M147" s="109"/>
    </row>
    <row r="148" spans="13:13" s="7" customFormat="1">
      <c r="M148" s="109"/>
    </row>
    <row r="149" spans="13:13" s="7" customFormat="1">
      <c r="M149" s="109"/>
    </row>
    <row r="150" spans="13:13" s="7" customFormat="1">
      <c r="M150" s="109"/>
    </row>
    <row r="151" spans="13:13" s="7" customFormat="1">
      <c r="M151" s="109"/>
    </row>
    <row r="152" spans="13:13" s="7" customFormat="1">
      <c r="M152" s="109"/>
    </row>
    <row r="153" spans="13:13" s="7" customFormat="1">
      <c r="M153" s="109"/>
    </row>
    <row r="154" spans="13:13" s="7" customFormat="1">
      <c r="M154" s="109"/>
    </row>
    <row r="155" spans="13:13" s="7" customFormat="1">
      <c r="M155" s="109"/>
    </row>
    <row r="156" spans="13:13" s="7" customFormat="1">
      <c r="M156" s="109"/>
    </row>
    <row r="157" spans="13:13" s="7" customFormat="1">
      <c r="M157" s="109"/>
    </row>
    <row r="158" spans="13:13" s="7" customFormat="1">
      <c r="M158" s="109"/>
    </row>
    <row r="159" spans="13:13" s="7" customFormat="1">
      <c r="M159" s="109"/>
    </row>
    <row r="160" spans="13:13" s="7" customFormat="1">
      <c r="M160" s="109"/>
    </row>
    <row r="161" spans="13:13" s="7" customFormat="1">
      <c r="M161" s="109"/>
    </row>
    <row r="162" spans="13:13" s="7" customFormat="1">
      <c r="M162" s="109"/>
    </row>
    <row r="163" spans="13:13" s="7" customFormat="1">
      <c r="M163" s="109"/>
    </row>
    <row r="164" spans="13:13" s="7" customFormat="1">
      <c r="M164" s="109"/>
    </row>
    <row r="165" spans="13:13" s="7" customFormat="1">
      <c r="M165" s="109"/>
    </row>
    <row r="166" spans="13:13" s="7" customFormat="1">
      <c r="M166" s="109"/>
    </row>
    <row r="167" spans="13:13" s="7" customFormat="1">
      <c r="M167" s="109"/>
    </row>
    <row r="168" spans="13:13" s="7" customFormat="1">
      <c r="M168" s="109"/>
    </row>
    <row r="169" spans="13:13" s="7" customFormat="1">
      <c r="M169" s="109"/>
    </row>
    <row r="170" spans="13:13" s="7" customFormat="1">
      <c r="M170" s="109"/>
    </row>
    <row r="171" spans="13:13" s="7" customFormat="1">
      <c r="M171" s="109"/>
    </row>
    <row r="172" spans="13:13" s="7" customFormat="1">
      <c r="M172" s="109"/>
    </row>
    <row r="173" spans="13:13" s="7" customFormat="1">
      <c r="M173" s="109"/>
    </row>
    <row r="174" spans="13:13" s="7" customFormat="1">
      <c r="M174" s="109"/>
    </row>
    <row r="175" spans="13:13" s="7" customFormat="1">
      <c r="M175" s="109"/>
    </row>
    <row r="176" spans="13:13" s="7" customFormat="1">
      <c r="M176" s="109"/>
    </row>
    <row r="177" spans="13:13" s="7" customFormat="1">
      <c r="M177" s="109"/>
    </row>
    <row r="178" spans="13:13" s="7" customFormat="1">
      <c r="M178" s="109"/>
    </row>
    <row r="179" spans="13:13" s="7" customFormat="1">
      <c r="M179" s="109"/>
    </row>
    <row r="180" spans="13:13" s="7" customFormat="1">
      <c r="M180" s="109"/>
    </row>
    <row r="181" spans="13:13" s="7" customFormat="1">
      <c r="M181" s="109"/>
    </row>
    <row r="182" spans="13:13" s="7" customFormat="1">
      <c r="M182" s="109"/>
    </row>
    <row r="183" spans="13:13" s="7" customFormat="1">
      <c r="M183" s="109"/>
    </row>
    <row r="184" spans="13:13" s="7" customFormat="1">
      <c r="M184" s="109"/>
    </row>
    <row r="185" spans="13:13" s="7" customFormat="1">
      <c r="M185" s="109"/>
    </row>
    <row r="186" spans="13:13" s="7" customFormat="1">
      <c r="M186" s="109"/>
    </row>
    <row r="187" spans="13:13" s="7" customFormat="1">
      <c r="M187" s="109"/>
    </row>
    <row r="188" spans="13:13" s="7" customFormat="1">
      <c r="M188" s="109"/>
    </row>
    <row r="189" spans="13:13" s="7" customFormat="1">
      <c r="M189" s="109"/>
    </row>
    <row r="190" spans="13:13" s="7" customFormat="1">
      <c r="M190" s="109"/>
    </row>
    <row r="191" spans="13:13" s="7" customFormat="1">
      <c r="M191" s="109"/>
    </row>
    <row r="192" spans="13:13" s="7" customFormat="1">
      <c r="M192" s="109"/>
    </row>
    <row r="193" spans="13:13" s="7" customFormat="1">
      <c r="M193" s="109"/>
    </row>
    <row r="194" spans="13:13" s="7" customFormat="1">
      <c r="M194" s="109"/>
    </row>
    <row r="195" spans="13:13" s="7" customFormat="1">
      <c r="M195" s="109"/>
    </row>
    <row r="196" spans="13:13" s="7" customFormat="1">
      <c r="M196" s="109"/>
    </row>
    <row r="197" spans="13:13" s="7" customFormat="1">
      <c r="M197" s="109"/>
    </row>
    <row r="198" spans="13:13" s="7" customFormat="1">
      <c r="M198" s="109"/>
    </row>
    <row r="199" spans="13:13" s="7" customFormat="1">
      <c r="M199" s="109"/>
    </row>
    <row r="200" spans="13:13" s="7" customFormat="1">
      <c r="M200" s="109"/>
    </row>
    <row r="201" spans="13:13" s="7" customFormat="1">
      <c r="M201" s="109"/>
    </row>
    <row r="202" spans="13:13" s="7" customFormat="1">
      <c r="M202" s="109"/>
    </row>
    <row r="203" spans="13:13" s="7" customFormat="1">
      <c r="M203" s="109"/>
    </row>
    <row r="204" spans="13:13" s="7" customFormat="1">
      <c r="M204" s="109"/>
    </row>
    <row r="205" spans="13:13" s="7" customFormat="1">
      <c r="M205" s="109"/>
    </row>
    <row r="206" spans="13:13" s="7" customFormat="1">
      <c r="M206" s="109"/>
    </row>
    <row r="207" spans="13:13" s="7" customFormat="1">
      <c r="M207" s="109"/>
    </row>
    <row r="208" spans="13:13" s="7" customFormat="1">
      <c r="M208" s="109"/>
    </row>
    <row r="209" spans="13:13" s="7" customFormat="1">
      <c r="M209" s="109"/>
    </row>
    <row r="210" spans="13:13" s="7" customFormat="1">
      <c r="M210" s="109"/>
    </row>
    <row r="211" spans="13:13" s="7" customFormat="1">
      <c r="M211" s="109"/>
    </row>
    <row r="212" spans="13:13" s="7" customFormat="1">
      <c r="M212" s="109"/>
    </row>
    <row r="213" spans="13:13" s="7" customFormat="1">
      <c r="M213" s="109"/>
    </row>
    <row r="214" spans="13:13" s="7" customFormat="1">
      <c r="M214" s="109"/>
    </row>
    <row r="215" spans="13:13" s="7" customFormat="1">
      <c r="M215" s="109"/>
    </row>
    <row r="216" spans="13:13" s="7" customFormat="1">
      <c r="M216" s="109"/>
    </row>
    <row r="217" spans="13:13" s="7" customFormat="1">
      <c r="M217" s="109"/>
    </row>
    <row r="218" spans="13:13" s="7" customFormat="1">
      <c r="M218" s="109"/>
    </row>
    <row r="219" spans="13:13" s="7" customFormat="1">
      <c r="M219" s="109"/>
    </row>
    <row r="220" spans="13:13" s="7" customFormat="1">
      <c r="M220" s="109"/>
    </row>
    <row r="221" spans="13:13" s="7" customFormat="1">
      <c r="M221" s="109"/>
    </row>
    <row r="222" spans="13:13" s="7" customFormat="1">
      <c r="M222" s="109"/>
    </row>
    <row r="223" spans="13:13" s="7" customFormat="1">
      <c r="M223" s="109"/>
    </row>
    <row r="224" spans="13:13" s="7" customFormat="1">
      <c r="M224" s="109"/>
    </row>
    <row r="225" spans="13:13" s="7" customFormat="1">
      <c r="M225" s="109"/>
    </row>
    <row r="226" spans="13:13" s="7" customFormat="1">
      <c r="M226" s="109"/>
    </row>
    <row r="227" spans="13:13" s="7" customFormat="1">
      <c r="M227" s="109"/>
    </row>
    <row r="228" spans="13:13" s="7" customFormat="1">
      <c r="M228" s="109"/>
    </row>
    <row r="229" spans="13:13" s="7" customFormat="1">
      <c r="M229" s="109"/>
    </row>
    <row r="230" spans="13:13" s="7" customFormat="1">
      <c r="M230" s="109"/>
    </row>
    <row r="231" spans="13:13" s="7" customFormat="1">
      <c r="M231" s="109"/>
    </row>
    <row r="232" spans="13:13" s="7" customFormat="1">
      <c r="M232" s="109"/>
    </row>
    <row r="233" spans="13:13" s="7" customFormat="1">
      <c r="M233" s="109"/>
    </row>
    <row r="234" spans="13:13" s="7" customFormat="1">
      <c r="M234" s="109"/>
    </row>
    <row r="235" spans="13:13" s="7" customFormat="1">
      <c r="M235" s="109"/>
    </row>
    <row r="236" spans="13:13" s="7" customFormat="1">
      <c r="M236" s="109"/>
    </row>
    <row r="237" spans="13:13" s="7" customFormat="1">
      <c r="M237" s="109"/>
    </row>
    <row r="238" spans="13:13" s="7" customFormat="1">
      <c r="M238" s="109"/>
    </row>
    <row r="239" spans="13:13" s="7" customFormat="1">
      <c r="M239" s="109"/>
    </row>
    <row r="240" spans="13:13" s="7" customFormat="1">
      <c r="M240" s="109"/>
    </row>
    <row r="241" spans="13:13" s="7" customFormat="1">
      <c r="M241" s="109"/>
    </row>
    <row r="242" spans="13:13" s="7" customFormat="1">
      <c r="M242" s="109"/>
    </row>
    <row r="243" spans="13:13" s="7" customFormat="1">
      <c r="M243" s="109"/>
    </row>
    <row r="244" spans="13:13" s="7" customFormat="1">
      <c r="M244" s="109"/>
    </row>
    <row r="245" spans="13:13" s="7" customFormat="1">
      <c r="M245" s="109"/>
    </row>
    <row r="246" spans="13:13" s="7" customFormat="1">
      <c r="M246" s="109"/>
    </row>
    <row r="247" spans="13:13" s="7" customFormat="1">
      <c r="M247" s="109"/>
    </row>
    <row r="248" spans="13:13" s="7" customFormat="1">
      <c r="M248" s="109"/>
    </row>
    <row r="249" spans="13:13" s="7" customFormat="1">
      <c r="M249" s="109"/>
    </row>
    <row r="250" spans="13:13" s="7" customFormat="1">
      <c r="M250" s="109"/>
    </row>
    <row r="251" spans="13:13" s="7" customFormat="1">
      <c r="M251" s="109"/>
    </row>
    <row r="252" spans="13:13" s="7" customFormat="1">
      <c r="M252" s="109"/>
    </row>
    <row r="253" spans="13:13" s="7" customFormat="1">
      <c r="M253" s="109"/>
    </row>
    <row r="254" spans="13:13" s="7" customFormat="1">
      <c r="M254" s="109"/>
    </row>
    <row r="255" spans="13:13" s="7" customFormat="1">
      <c r="M255" s="109"/>
    </row>
    <row r="256" spans="13:13" s="7" customFormat="1">
      <c r="M256" s="109"/>
    </row>
    <row r="257" spans="13:13" s="7" customFormat="1">
      <c r="M257" s="109"/>
    </row>
    <row r="258" spans="13:13" s="7" customFormat="1">
      <c r="M258" s="109"/>
    </row>
    <row r="259" spans="13:13" s="7" customFormat="1">
      <c r="M259" s="109"/>
    </row>
    <row r="260" spans="13:13" s="7" customFormat="1">
      <c r="M260" s="109"/>
    </row>
    <row r="261" spans="13:13" s="7" customFormat="1">
      <c r="M261" s="109"/>
    </row>
    <row r="262" spans="13:13" s="7" customFormat="1">
      <c r="M262" s="109"/>
    </row>
    <row r="263" spans="13:13" s="7" customFormat="1">
      <c r="M263" s="109"/>
    </row>
    <row r="264" spans="13:13" s="7" customFormat="1">
      <c r="M264" s="109"/>
    </row>
    <row r="265" spans="13:13" s="7" customFormat="1">
      <c r="M265" s="109"/>
    </row>
    <row r="266" spans="13:13" s="7" customFormat="1">
      <c r="M266" s="109"/>
    </row>
    <row r="267" spans="13:13" s="7" customFormat="1">
      <c r="M267" s="109"/>
    </row>
    <row r="268" spans="13:13" s="7" customFormat="1">
      <c r="M268" s="109"/>
    </row>
    <row r="269" spans="13:13" s="7" customFormat="1">
      <c r="M269" s="109"/>
    </row>
    <row r="270" spans="13:13" s="7" customFormat="1">
      <c r="M270" s="109"/>
    </row>
    <row r="271" spans="13:13" s="7" customFormat="1">
      <c r="M271" s="109"/>
    </row>
    <row r="272" spans="13:13" s="7" customFormat="1">
      <c r="M272" s="109"/>
    </row>
    <row r="273" spans="1:1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</row>
    <row r="274" spans="1:1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</row>
    <row r="275" spans="1:1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</row>
    <row r="276" spans="1:1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</row>
    <row r="277" spans="1:1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</row>
    <row r="278" spans="1:1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</row>
    <row r="279" spans="1:1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</row>
    <row r="280" spans="1:1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</row>
    <row r="281" spans="1:1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</row>
    <row r="282" spans="1:1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</row>
  </sheetData>
  <mergeCells count="1">
    <mergeCell ref="A1:J1"/>
  </mergeCells>
  <conditionalFormatting sqref="I1:I1048576">
    <cfRule type="containsText" dxfId="53" priority="1" operator="containsText" text="NO">
      <formula>NOT(ISERROR(SEARCH("NO",I1)))</formula>
    </cfRule>
    <cfRule type="containsText" dxfId="52" priority="2" operator="containsText" text="YES">
      <formula>NOT(ISERROR(SEARCH("YES",I1)))</formula>
    </cfRule>
  </conditionalFormatting>
  <dataValidations count="1">
    <dataValidation type="list" allowBlank="1" showInputMessage="1" showErrorMessage="1" sqref="I4:I1048576" xr:uid="{EA36F6FA-9CEC-4559-BE85-A20180BBE0A8}">
      <formula1>"YES,NO,N/A"</formula1>
    </dataValidation>
  </dataValidations>
  <hyperlinks>
    <hyperlink ref="M15" r:id="rId1" xr:uid="{034711AE-6D2B-4448-88FA-D13FD6848AD6}"/>
    <hyperlink ref="M19" r:id="rId2" xr:uid="{31AA0D68-3303-486C-B545-C2C451B79031}"/>
    <hyperlink ref="M38" r:id="rId3" xr:uid="{C5783F12-D1BB-4D25-BF0D-87B8C172D283}"/>
    <hyperlink ref="M37" r:id="rId4" xr:uid="{85F1FDC8-F341-4C78-9468-B04F11CA9FCC}"/>
    <hyperlink ref="M48" r:id="rId5" xr:uid="{E4E8BCBD-18FF-4F82-B691-C60E6415C5F1}"/>
    <hyperlink ref="M4" r:id="rId6" xr:uid="{6AFDB8B2-C0EC-4256-A6B6-DDCAE6DB9FF9}"/>
    <hyperlink ref="M13" r:id="rId7" xr:uid="{E8523C5F-E394-4BD9-94F9-9739BD5A256A}"/>
    <hyperlink ref="M23" r:id="rId8" xr:uid="{3A195BF9-2212-49C2-9E0E-39425C9D0773}"/>
    <hyperlink ref="M7" r:id="rId9" xr:uid="{6968AA1A-5319-42ED-985E-5E4FE0631D93}"/>
  </hyperlinks>
  <pageMargins left="0.25" right="0.25" top="0.75" bottom="0.75" header="0.3" footer="0.3"/>
  <pageSetup scale="47" orientation="landscape" r:id="rId10"/>
  <tableParts count="1"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8"/>
  <sheetViews>
    <sheetView topLeftCell="B1" workbookViewId="0">
      <pane xSplit="1" topLeftCell="C1" activePane="topRight" state="frozen"/>
      <selection pane="topRight" activeCell="B102" sqref="B102"/>
    </sheetView>
  </sheetViews>
  <sheetFormatPr defaultColWidth="8.85546875" defaultRowHeight="14.45"/>
  <cols>
    <col min="1" max="1" width="7" customWidth="1"/>
    <col min="2" max="2" width="56.5703125" style="135" customWidth="1"/>
    <col min="3" max="3" width="57.5703125" style="8" customWidth="1"/>
    <col min="4" max="4" width="23.42578125" style="8" customWidth="1"/>
    <col min="5" max="5" width="15.42578125" customWidth="1"/>
    <col min="6" max="6" width="18.85546875" customWidth="1"/>
    <col min="7" max="7" width="20.5703125" customWidth="1"/>
    <col min="8" max="8" width="15.28515625" customWidth="1"/>
    <col min="9" max="9" width="17.42578125" customWidth="1"/>
    <col min="10" max="10" width="22.42578125" customWidth="1"/>
    <col min="11" max="11" width="35.42578125" customWidth="1"/>
    <col min="12" max="12" width="32.7109375" style="163" customWidth="1"/>
    <col min="13" max="13" width="32.7109375" customWidth="1"/>
    <col min="14" max="14" width="49" customWidth="1"/>
    <col min="15" max="15" width="32.7109375" customWidth="1"/>
  </cols>
  <sheetData>
    <row r="1" spans="1:15" ht="17.45">
      <c r="A1" s="223" t="s">
        <v>1292</v>
      </c>
      <c r="B1" s="223"/>
      <c r="C1" s="223"/>
      <c r="D1" s="223"/>
      <c r="E1" s="223"/>
      <c r="F1" s="223"/>
      <c r="G1" s="223"/>
      <c r="H1" s="223"/>
      <c r="I1" s="223"/>
      <c r="J1" s="223"/>
    </row>
    <row r="2" spans="1:15" ht="46.9">
      <c r="A2" s="44" t="s">
        <v>1</v>
      </c>
      <c r="B2" s="143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40" t="s">
        <v>7</v>
      </c>
      <c r="H2" s="40" t="s">
        <v>1293</v>
      </c>
      <c r="I2" s="40" t="s">
        <v>9</v>
      </c>
      <c r="J2" s="40" t="s">
        <v>10</v>
      </c>
      <c r="K2" s="69" t="s">
        <v>11</v>
      </c>
      <c r="L2" s="164" t="s">
        <v>12</v>
      </c>
      <c r="M2" s="69" t="s">
        <v>13</v>
      </c>
      <c r="N2" s="69" t="s">
        <v>14</v>
      </c>
    </row>
    <row r="3" spans="1:15" ht="54" customHeight="1">
      <c r="A3" s="72">
        <v>1</v>
      </c>
      <c r="B3" s="144" t="s">
        <v>1294</v>
      </c>
      <c r="C3" s="38" t="s">
        <v>1295</v>
      </c>
      <c r="D3" s="62">
        <v>8127926887</v>
      </c>
      <c r="E3" s="60" t="s">
        <v>18</v>
      </c>
      <c r="F3" s="63" t="s">
        <v>1296</v>
      </c>
      <c r="G3" s="19" t="s">
        <v>20</v>
      </c>
      <c r="H3" s="19" t="s">
        <v>1297</v>
      </c>
      <c r="I3" s="19" t="s">
        <v>28</v>
      </c>
      <c r="J3" s="60" t="s">
        <v>1298</v>
      </c>
      <c r="K3" s="60" t="str">
        <f t="shared" ref="K3:K9" si="0">IF(I3="YES","CAPA VERIFICATION SHOULD BE SCHEDULED",IF(I3="NO","REMINDER LETTER SHOULD BE SENT",""))</f>
        <v>REMINDER LETTER SHOULD BE SENT</v>
      </c>
      <c r="L3" s="165">
        <v>46023</v>
      </c>
      <c r="M3" s="79" t="s">
        <v>1299</v>
      </c>
      <c r="N3" s="156" t="str">
        <f t="shared" ref="N3:N34" si="1">IF(M3="","",HYPERLINK(M3,B3))</f>
        <v>SANTECARE LIMITED</v>
      </c>
      <c r="O3" s="56"/>
    </row>
    <row r="4" spans="1:15" ht="40.5" customHeight="1">
      <c r="A4" s="72">
        <v>2</v>
      </c>
      <c r="B4" s="144" t="s">
        <v>1300</v>
      </c>
      <c r="C4" s="61" t="s">
        <v>1301</v>
      </c>
      <c r="D4" s="62">
        <v>9035803090</v>
      </c>
      <c r="E4" s="60" t="s">
        <v>18</v>
      </c>
      <c r="F4" s="60" t="s">
        <v>1302</v>
      </c>
      <c r="G4" s="19" t="s">
        <v>20</v>
      </c>
      <c r="H4" s="19" t="s">
        <v>1303</v>
      </c>
      <c r="I4" s="19" t="s">
        <v>28</v>
      </c>
      <c r="J4" s="60" t="s">
        <v>1298</v>
      </c>
      <c r="K4" s="60" t="str">
        <f t="shared" si="0"/>
        <v>REMINDER LETTER SHOULD BE SENT</v>
      </c>
      <c r="L4" s="165">
        <v>46023</v>
      </c>
      <c r="M4" s="79" t="s">
        <v>1304</v>
      </c>
      <c r="N4" s="156" t="str">
        <f t="shared" si="1"/>
        <v>JANE-MADOK PHARMACY &amp; WELLNESS CENTER</v>
      </c>
      <c r="O4" s="56"/>
    </row>
    <row r="5" spans="1:15" ht="46.9">
      <c r="A5" s="72">
        <v>3</v>
      </c>
      <c r="B5" s="57" t="s">
        <v>1305</v>
      </c>
      <c r="C5" s="59" t="s">
        <v>1306</v>
      </c>
      <c r="D5" s="62">
        <v>7033089165</v>
      </c>
      <c r="E5" s="60" t="s">
        <v>18</v>
      </c>
      <c r="F5" s="64" t="s">
        <v>1307</v>
      </c>
      <c r="G5" s="19" t="s">
        <v>20</v>
      </c>
      <c r="H5" s="19" t="s">
        <v>1308</v>
      </c>
      <c r="I5" s="19" t="s">
        <v>28</v>
      </c>
      <c r="J5" s="60" t="s">
        <v>1298</v>
      </c>
      <c r="K5" s="60" t="str">
        <f t="shared" si="0"/>
        <v>REMINDER LETTER SHOULD BE SENT</v>
      </c>
      <c r="L5" s="165">
        <v>46054</v>
      </c>
      <c r="M5" s="79" t="s">
        <v>1309</v>
      </c>
      <c r="N5" s="156" t="str">
        <f t="shared" si="1"/>
        <v>ROCHE PRODUCTS LIMITED (MEDICAL DEVICES)</v>
      </c>
    </row>
    <row r="6" spans="1:15" ht="31.15">
      <c r="A6" s="72">
        <v>4</v>
      </c>
      <c r="B6" s="57" t="s">
        <v>1310</v>
      </c>
      <c r="C6" s="61" t="s">
        <v>1311</v>
      </c>
      <c r="D6" s="62">
        <v>8022317625</v>
      </c>
      <c r="E6" s="60" t="s">
        <v>955</v>
      </c>
      <c r="F6" s="60" t="s">
        <v>1312</v>
      </c>
      <c r="G6" s="19" t="s">
        <v>20</v>
      </c>
      <c r="H6" s="19" t="s">
        <v>1313</v>
      </c>
      <c r="I6" s="19" t="s">
        <v>21</v>
      </c>
      <c r="J6" s="60" t="s">
        <v>9</v>
      </c>
      <c r="K6" s="60" t="str">
        <f t="shared" si="0"/>
        <v>CAPA VERIFICATION SHOULD BE SCHEDULED</v>
      </c>
      <c r="L6" s="165">
        <v>46023</v>
      </c>
      <c r="M6" s="89" t="s">
        <v>1176</v>
      </c>
      <c r="N6" s="156" t="str">
        <f t="shared" si="1"/>
        <v>KCH CONSUMER HEALTHCARE LTD. (CAPA)</v>
      </c>
    </row>
    <row r="7" spans="1:15" ht="15.6">
      <c r="A7" s="72">
        <v>5</v>
      </c>
      <c r="B7" s="144" t="s">
        <v>1314</v>
      </c>
      <c r="C7" s="61" t="s">
        <v>1315</v>
      </c>
      <c r="D7" s="62">
        <v>8033268130</v>
      </c>
      <c r="E7" s="60" t="s">
        <v>18</v>
      </c>
      <c r="F7" s="60" t="s">
        <v>1312</v>
      </c>
      <c r="G7" s="19" t="s">
        <v>20</v>
      </c>
      <c r="H7" s="73">
        <v>45685</v>
      </c>
      <c r="I7" s="19" t="s">
        <v>28</v>
      </c>
      <c r="J7" s="60" t="s">
        <v>1298</v>
      </c>
      <c r="K7" s="60" t="str">
        <f t="shared" si="0"/>
        <v>REMINDER LETTER SHOULD BE SENT</v>
      </c>
      <c r="L7" s="165">
        <v>46023</v>
      </c>
      <c r="M7" s="89" t="s">
        <v>1316</v>
      </c>
      <c r="N7" s="156" t="str">
        <f t="shared" si="1"/>
        <v>MUJID HEALTHCARE LTD</v>
      </c>
      <c r="O7" s="56"/>
    </row>
    <row r="8" spans="1:15" ht="15.6">
      <c r="A8" s="72">
        <v>6</v>
      </c>
      <c r="B8" s="57" t="s">
        <v>1305</v>
      </c>
      <c r="C8" s="61" t="s">
        <v>1317</v>
      </c>
      <c r="D8" s="62">
        <v>7044644915</v>
      </c>
      <c r="E8" s="60" t="s">
        <v>18</v>
      </c>
      <c r="F8" s="64">
        <v>45779</v>
      </c>
      <c r="G8" s="19" t="s">
        <v>20</v>
      </c>
      <c r="H8" s="73">
        <v>45685</v>
      </c>
      <c r="I8" s="19" t="s">
        <v>28</v>
      </c>
      <c r="J8" s="60" t="s">
        <v>1298</v>
      </c>
      <c r="K8" s="60" t="str">
        <f t="shared" si="0"/>
        <v>REMINDER LETTER SHOULD BE SENT</v>
      </c>
      <c r="L8" s="166">
        <v>45683</v>
      </c>
      <c r="M8" s="154"/>
      <c r="N8" s="156" t="str">
        <f t="shared" si="1"/>
        <v/>
      </c>
      <c r="O8" s="153"/>
    </row>
    <row r="9" spans="1:15" ht="15.6">
      <c r="A9" s="72">
        <v>7</v>
      </c>
      <c r="B9" s="57" t="s">
        <v>1318</v>
      </c>
      <c r="C9" s="61"/>
      <c r="D9" s="62"/>
      <c r="E9" s="60" t="s">
        <v>18</v>
      </c>
      <c r="F9" s="60" t="s">
        <v>1319</v>
      </c>
      <c r="G9" s="60" t="s">
        <v>20</v>
      </c>
      <c r="H9" s="60" t="s">
        <v>1320</v>
      </c>
      <c r="I9" s="60" t="s">
        <v>21</v>
      </c>
      <c r="J9" s="60" t="s">
        <v>9</v>
      </c>
      <c r="K9" s="60" t="str">
        <f t="shared" si="0"/>
        <v>CAPA VERIFICATION SHOULD BE SCHEDULED</v>
      </c>
      <c r="L9" s="165">
        <v>45870</v>
      </c>
      <c r="M9" s="79" t="s">
        <v>1321</v>
      </c>
      <c r="N9" s="156" t="str">
        <f t="shared" si="1"/>
        <v>EUROMED LTD</v>
      </c>
      <c r="O9" s="56"/>
    </row>
    <row r="10" spans="1:15" ht="31.15">
      <c r="A10" s="72">
        <v>8</v>
      </c>
      <c r="B10" s="57" t="s">
        <v>1322</v>
      </c>
      <c r="C10" s="61" t="s">
        <v>1323</v>
      </c>
      <c r="D10" s="62">
        <v>8132993626</v>
      </c>
      <c r="E10" s="60" t="s">
        <v>955</v>
      </c>
      <c r="F10" s="60" t="s">
        <v>1319</v>
      </c>
      <c r="G10" s="19" t="s">
        <v>298</v>
      </c>
      <c r="H10" s="19" t="s">
        <v>188</v>
      </c>
      <c r="I10" s="19" t="s">
        <v>21</v>
      </c>
      <c r="J10" s="60" t="s">
        <v>1324</v>
      </c>
      <c r="K10" s="60" t="s">
        <v>1324</v>
      </c>
      <c r="L10" s="165">
        <v>46447</v>
      </c>
      <c r="M10" s="159" t="s">
        <v>876</v>
      </c>
      <c r="N10" s="156" t="str">
        <f t="shared" si="1"/>
        <v>GREENLIFE PHARMA CEUTICALS LTD. (CAPA)</v>
      </c>
    </row>
    <row r="11" spans="1:15" ht="31.15">
      <c r="A11" s="72">
        <v>9</v>
      </c>
      <c r="B11" s="57" t="s">
        <v>1325</v>
      </c>
      <c r="C11" s="59" t="s">
        <v>1326</v>
      </c>
      <c r="D11" s="62" t="s">
        <v>1327</v>
      </c>
      <c r="E11" s="60" t="s">
        <v>18</v>
      </c>
      <c r="F11" s="60" t="s">
        <v>1319</v>
      </c>
      <c r="G11" s="19" t="s">
        <v>20</v>
      </c>
      <c r="H11" s="19" t="s">
        <v>1328</v>
      </c>
      <c r="I11" s="19" t="s">
        <v>28</v>
      </c>
      <c r="J11" s="60" t="s">
        <v>1298</v>
      </c>
      <c r="K11" s="60" t="str">
        <f t="shared" ref="K11:K17" si="2">IF(I11="YES","CAPA VERIFICATION SHOULD BE SCHEDULED",IF(I11="NO","REMINDER LETTER SHOULD BE SENT",""))</f>
        <v>REMINDER LETTER SHOULD BE SENT</v>
      </c>
      <c r="L11" s="165">
        <v>46082</v>
      </c>
      <c r="M11" s="79" t="s">
        <v>1329</v>
      </c>
      <c r="N11" s="156" t="str">
        <f t="shared" si="1"/>
        <v>DORTEMAG PHARM. &amp; STORES</v>
      </c>
      <c r="O11" s="56"/>
    </row>
    <row r="12" spans="1:15" ht="28.9">
      <c r="A12" s="72">
        <v>10</v>
      </c>
      <c r="B12" s="57" t="s">
        <v>1330</v>
      </c>
      <c r="C12" s="59" t="s">
        <v>1331</v>
      </c>
      <c r="D12" s="62" t="s">
        <v>1332</v>
      </c>
      <c r="E12" s="60" t="s">
        <v>18</v>
      </c>
      <c r="F12" s="60" t="s">
        <v>1319</v>
      </c>
      <c r="G12" s="19" t="s">
        <v>20</v>
      </c>
      <c r="H12" s="19" t="s">
        <v>1333</v>
      </c>
      <c r="I12" s="19" t="s">
        <v>28</v>
      </c>
      <c r="J12" s="60" t="s">
        <v>1298</v>
      </c>
      <c r="K12" s="60" t="str">
        <f t="shared" si="2"/>
        <v>REMINDER LETTER SHOULD BE SENT</v>
      </c>
      <c r="L12" s="165">
        <v>45717</v>
      </c>
      <c r="M12" s="89" t="s">
        <v>1334</v>
      </c>
      <c r="N12" s="156" t="str">
        <f t="shared" si="1"/>
        <v>HEALTHLINE NIG. LTD</v>
      </c>
      <c r="O12" s="153"/>
    </row>
    <row r="13" spans="1:15" ht="28.9">
      <c r="A13" s="72">
        <v>11</v>
      </c>
      <c r="B13" s="57" t="s">
        <v>1335</v>
      </c>
      <c r="C13" s="59" t="s">
        <v>1336</v>
      </c>
      <c r="D13" s="62" t="s">
        <v>1337</v>
      </c>
      <c r="E13" s="60" t="s">
        <v>18</v>
      </c>
      <c r="F13" s="60" t="s">
        <v>1319</v>
      </c>
      <c r="G13" s="19" t="s">
        <v>20</v>
      </c>
      <c r="H13" s="19" t="s">
        <v>1328</v>
      </c>
      <c r="I13" s="19" t="s">
        <v>28</v>
      </c>
      <c r="J13" s="60" t="s">
        <v>1298</v>
      </c>
      <c r="K13" s="60" t="str">
        <f t="shared" si="2"/>
        <v>REMINDER LETTER SHOULD BE SENT</v>
      </c>
      <c r="L13" s="165">
        <v>45717</v>
      </c>
      <c r="M13" s="79" t="s">
        <v>1338</v>
      </c>
      <c r="N13" s="156" t="str">
        <f t="shared" si="1"/>
        <v>GETZPHARMA NIG. LTD</v>
      </c>
      <c r="O13" s="153"/>
    </row>
    <row r="14" spans="1:15" ht="28.9">
      <c r="A14" s="72">
        <v>12</v>
      </c>
      <c r="B14" s="57" t="s">
        <v>1339</v>
      </c>
      <c r="C14" s="59" t="s">
        <v>1340</v>
      </c>
      <c r="D14" s="62" t="s">
        <v>1341</v>
      </c>
      <c r="E14" s="60" t="s">
        <v>18</v>
      </c>
      <c r="F14" s="60" t="s">
        <v>1342</v>
      </c>
      <c r="G14" s="19" t="s">
        <v>20</v>
      </c>
      <c r="H14" s="19" t="s">
        <v>1343</v>
      </c>
      <c r="I14" s="19" t="s">
        <v>21</v>
      </c>
      <c r="J14" s="60" t="s">
        <v>1298</v>
      </c>
      <c r="K14" s="60" t="str">
        <f t="shared" si="2"/>
        <v>CAPA VERIFICATION SHOULD BE SCHEDULED</v>
      </c>
      <c r="L14" s="165">
        <v>45717</v>
      </c>
      <c r="M14" s="79" t="s">
        <v>1344</v>
      </c>
      <c r="N14" s="156" t="str">
        <f t="shared" si="1"/>
        <v>SHEPHERD HEALTH &amp; VETERINARY LTD.</v>
      </c>
    </row>
    <row r="15" spans="1:15" ht="28.9">
      <c r="A15" s="72">
        <v>13</v>
      </c>
      <c r="B15" s="57" t="s">
        <v>1345</v>
      </c>
      <c r="C15" s="59" t="s">
        <v>1346</v>
      </c>
      <c r="D15" s="62" t="s">
        <v>1347</v>
      </c>
      <c r="E15" s="60" t="s">
        <v>18</v>
      </c>
      <c r="F15" s="60" t="s">
        <v>1342</v>
      </c>
      <c r="G15" s="19" t="s">
        <v>20</v>
      </c>
      <c r="H15" s="19"/>
      <c r="I15" s="19" t="s">
        <v>188</v>
      </c>
      <c r="J15" s="60" t="s">
        <v>1298</v>
      </c>
      <c r="K15" s="60" t="str">
        <f t="shared" si="2"/>
        <v/>
      </c>
      <c r="L15" s="165">
        <v>45717</v>
      </c>
      <c r="M15" s="159" t="s">
        <v>1348</v>
      </c>
      <c r="N15" s="156" t="str">
        <f t="shared" si="1"/>
        <v>ADCEM PHARMACEUTICALS LTD</v>
      </c>
    </row>
    <row r="16" spans="1:15" ht="28.9">
      <c r="A16" s="72">
        <v>14</v>
      </c>
      <c r="B16" s="57" t="s">
        <v>1349</v>
      </c>
      <c r="C16" s="59" t="s">
        <v>1350</v>
      </c>
      <c r="D16" s="62" t="s">
        <v>1351</v>
      </c>
      <c r="E16" s="60" t="s">
        <v>18</v>
      </c>
      <c r="F16" s="60" t="s">
        <v>1342</v>
      </c>
      <c r="G16" s="19" t="s">
        <v>20</v>
      </c>
      <c r="H16" s="19" t="s">
        <v>1343</v>
      </c>
      <c r="I16" s="19" t="s">
        <v>28</v>
      </c>
      <c r="J16" s="60" t="s">
        <v>1298</v>
      </c>
      <c r="K16" s="60" t="str">
        <f t="shared" si="2"/>
        <v>REMINDER LETTER SHOULD BE SENT</v>
      </c>
      <c r="L16" s="165">
        <v>45717</v>
      </c>
      <c r="M16" s="160" t="s">
        <v>1352</v>
      </c>
      <c r="N16" s="156" t="str">
        <f t="shared" si="1"/>
        <v>ADDMORE PHARMACY</v>
      </c>
      <c r="O16" s="56"/>
    </row>
    <row r="17" spans="1:15" ht="28.9">
      <c r="A17" s="72">
        <v>15</v>
      </c>
      <c r="B17" s="57" t="s">
        <v>1353</v>
      </c>
      <c r="C17" s="59" t="s">
        <v>1354</v>
      </c>
      <c r="D17" s="62" t="s">
        <v>1355</v>
      </c>
      <c r="E17" s="60" t="s">
        <v>18</v>
      </c>
      <c r="F17" s="60" t="s">
        <v>1356</v>
      </c>
      <c r="G17" s="19" t="s">
        <v>279</v>
      </c>
      <c r="H17" s="19" t="s">
        <v>188</v>
      </c>
      <c r="I17" s="19" t="s">
        <v>28</v>
      </c>
      <c r="J17" s="60" t="s">
        <v>1298</v>
      </c>
      <c r="K17" s="60" t="str">
        <f t="shared" si="2"/>
        <v>REMINDER LETTER SHOULD BE SENT</v>
      </c>
      <c r="L17" s="165">
        <v>45901</v>
      </c>
      <c r="M17" s="79" t="s">
        <v>1357</v>
      </c>
      <c r="N17" s="156" t="str">
        <f t="shared" si="1"/>
        <v>AXION PHARMACEUTICALS LTD</v>
      </c>
    </row>
    <row r="18" spans="1:15" ht="31.15">
      <c r="A18" s="72">
        <v>16</v>
      </c>
      <c r="B18" s="144" t="s">
        <v>1358</v>
      </c>
      <c r="C18" s="61" t="s">
        <v>1359</v>
      </c>
      <c r="D18" s="62" t="s">
        <v>1360</v>
      </c>
      <c r="E18" s="60" t="s">
        <v>18</v>
      </c>
      <c r="F18" s="60" t="s">
        <v>1356</v>
      </c>
      <c r="G18" s="19" t="s">
        <v>298</v>
      </c>
      <c r="H18" s="19" t="s">
        <v>1343</v>
      </c>
      <c r="I18" s="19" t="s">
        <v>21</v>
      </c>
      <c r="J18" s="60" t="s">
        <v>9</v>
      </c>
      <c r="K18" s="60" t="s">
        <v>667</v>
      </c>
      <c r="L18" s="167" t="s">
        <v>1361</v>
      </c>
      <c r="M18" s="79" t="s">
        <v>1362</v>
      </c>
      <c r="N18" s="156" t="str">
        <f t="shared" si="1"/>
        <v>MED EXPRESS</v>
      </c>
    </row>
    <row r="19" spans="1:15" ht="28.9">
      <c r="A19" s="72">
        <v>20</v>
      </c>
      <c r="B19" s="57" t="s">
        <v>1363</v>
      </c>
      <c r="C19" s="59" t="s">
        <v>1364</v>
      </c>
      <c r="D19" s="62" t="s">
        <v>1365</v>
      </c>
      <c r="E19" s="60" t="s">
        <v>18</v>
      </c>
      <c r="F19" s="60" t="s">
        <v>1356</v>
      </c>
      <c r="G19" s="19" t="s">
        <v>279</v>
      </c>
      <c r="H19" s="19" t="s">
        <v>1366</v>
      </c>
      <c r="I19" s="19" t="s">
        <v>21</v>
      </c>
      <c r="J19" s="60" t="s">
        <v>9</v>
      </c>
      <c r="K19" s="60" t="str">
        <f t="shared" ref="K19:K30" si="3">IF(I19="YES","CAPA VERIFICATION SHOULD BE SCHEDULED",IF(I19="NO","REMINDER LETTER SHOULD BE SENT",""))</f>
        <v>CAPA VERIFICATION SHOULD BE SCHEDULED</v>
      </c>
      <c r="L19" s="165">
        <v>45742</v>
      </c>
      <c r="M19" s="79" t="s">
        <v>1367</v>
      </c>
      <c r="N19" s="156" t="str">
        <f t="shared" si="1"/>
        <v>SOLID ACCORD LTD</v>
      </c>
      <c r="O19" s="153"/>
    </row>
    <row r="20" spans="1:15" ht="31.15">
      <c r="A20" s="72">
        <v>21</v>
      </c>
      <c r="B20" s="57" t="s">
        <v>1368</v>
      </c>
      <c r="C20" s="59" t="s">
        <v>1369</v>
      </c>
      <c r="D20" s="62" t="s">
        <v>1370</v>
      </c>
      <c r="E20" s="60" t="s">
        <v>18</v>
      </c>
      <c r="F20" s="60" t="s">
        <v>1356</v>
      </c>
      <c r="G20" s="19" t="s">
        <v>298</v>
      </c>
      <c r="H20" s="19" t="s">
        <v>1366</v>
      </c>
      <c r="I20" s="19" t="s">
        <v>28</v>
      </c>
      <c r="J20" s="60" t="s">
        <v>1298</v>
      </c>
      <c r="K20" s="60" t="str">
        <f t="shared" si="3"/>
        <v>REMINDER LETTER SHOULD BE SENT</v>
      </c>
      <c r="L20" s="165">
        <v>45925</v>
      </c>
      <c r="M20" s="79" t="s">
        <v>1371</v>
      </c>
      <c r="N20" s="156" t="str">
        <f t="shared" si="1"/>
        <v>AQUATIX PHARM. LTD</v>
      </c>
      <c r="O20" s="153"/>
    </row>
    <row r="21" spans="1:15" ht="31.15">
      <c r="A21" s="72">
        <v>22</v>
      </c>
      <c r="B21" s="144" t="s">
        <v>1372</v>
      </c>
      <c r="C21" s="61" t="s">
        <v>1373</v>
      </c>
      <c r="D21" s="62" t="s">
        <v>1374</v>
      </c>
      <c r="E21" s="60" t="s">
        <v>18</v>
      </c>
      <c r="F21" s="60" t="s">
        <v>1356</v>
      </c>
      <c r="G21" s="19" t="s">
        <v>279</v>
      </c>
      <c r="H21" s="19" t="s">
        <v>1366</v>
      </c>
      <c r="I21" s="19" t="s">
        <v>28</v>
      </c>
      <c r="J21" s="60" t="s">
        <v>1298</v>
      </c>
      <c r="K21" s="60" t="str">
        <f t="shared" si="3"/>
        <v>REMINDER LETTER SHOULD BE SENT</v>
      </c>
      <c r="L21" s="165">
        <v>45901</v>
      </c>
      <c r="M21" s="74" t="s">
        <v>1375</v>
      </c>
      <c r="N21" s="156" t="str">
        <f t="shared" si="1"/>
        <v>SAI SAGAR</v>
      </c>
    </row>
    <row r="22" spans="1:15" ht="31.15">
      <c r="A22" s="72">
        <v>23</v>
      </c>
      <c r="B22" s="145" t="s">
        <v>1376</v>
      </c>
      <c r="C22" s="59" t="s">
        <v>1377</v>
      </c>
      <c r="D22" s="62" t="s">
        <v>1378</v>
      </c>
      <c r="E22" s="60" t="s">
        <v>18</v>
      </c>
      <c r="F22" s="60" t="s">
        <v>1379</v>
      </c>
      <c r="G22" s="19" t="s">
        <v>20</v>
      </c>
      <c r="H22" s="19" t="s">
        <v>1380</v>
      </c>
      <c r="I22" s="19" t="s">
        <v>21</v>
      </c>
      <c r="J22" s="60" t="s">
        <v>9</v>
      </c>
      <c r="K22" s="60" t="str">
        <f t="shared" si="3"/>
        <v>CAPA VERIFICATION SHOULD BE SCHEDULED</v>
      </c>
      <c r="L22" s="165">
        <v>45748</v>
      </c>
      <c r="M22" s="79" t="s">
        <v>1381</v>
      </c>
      <c r="N22" s="156" t="str">
        <f t="shared" si="1"/>
        <v>MAYDON PHARM. &amp; CHEM. CO. LTD.</v>
      </c>
    </row>
    <row r="23" spans="1:15" ht="31.15">
      <c r="A23" s="72">
        <v>24</v>
      </c>
      <c r="B23" s="144" t="s">
        <v>1382</v>
      </c>
      <c r="C23" s="59" t="s">
        <v>1383</v>
      </c>
      <c r="D23" s="62" t="s">
        <v>1384</v>
      </c>
      <c r="E23" s="60" t="s">
        <v>18</v>
      </c>
      <c r="F23" s="60" t="s">
        <v>1379</v>
      </c>
      <c r="G23" s="19" t="s">
        <v>20</v>
      </c>
      <c r="H23" s="19" t="s">
        <v>1380</v>
      </c>
      <c r="I23" s="19" t="s">
        <v>28</v>
      </c>
      <c r="J23" s="60" t="s">
        <v>1298</v>
      </c>
      <c r="K23" s="60" t="str">
        <f t="shared" si="3"/>
        <v>REMINDER LETTER SHOULD BE SENT</v>
      </c>
      <c r="L23" s="165">
        <v>45748</v>
      </c>
      <c r="M23" s="74" t="s">
        <v>1385</v>
      </c>
      <c r="N23" s="156" t="str">
        <f t="shared" si="1"/>
        <v>ALMOND ETHICALS LTD</v>
      </c>
    </row>
    <row r="24" spans="1:15" ht="31.15">
      <c r="A24" s="72">
        <v>25</v>
      </c>
      <c r="B24" s="57" t="s">
        <v>1386</v>
      </c>
      <c r="C24" s="59" t="s">
        <v>1387</v>
      </c>
      <c r="D24" s="62" t="s">
        <v>1388</v>
      </c>
      <c r="E24" s="60" t="s">
        <v>18</v>
      </c>
      <c r="F24" s="60" t="s">
        <v>1379</v>
      </c>
      <c r="G24" s="19" t="s">
        <v>20</v>
      </c>
      <c r="H24" s="19" t="s">
        <v>1389</v>
      </c>
      <c r="I24" s="19" t="s">
        <v>28</v>
      </c>
      <c r="J24" s="60" t="s">
        <v>1298</v>
      </c>
      <c r="K24" s="60" t="str">
        <f t="shared" si="3"/>
        <v>REMINDER LETTER SHOULD BE SENT</v>
      </c>
      <c r="L24" s="166">
        <v>45773</v>
      </c>
      <c r="M24" s="79" t="s">
        <v>1390</v>
      </c>
      <c r="N24" s="156" t="str">
        <f t="shared" si="1"/>
        <v>EJIMATH PHARMACY LTD.</v>
      </c>
      <c r="O24" s="153"/>
    </row>
    <row r="25" spans="1:15" ht="27.6">
      <c r="A25" s="72">
        <v>26</v>
      </c>
      <c r="B25" s="144" t="s">
        <v>1391</v>
      </c>
      <c r="C25" s="61" t="s">
        <v>1392</v>
      </c>
      <c r="D25" s="62" t="s">
        <v>1393</v>
      </c>
      <c r="E25" s="60" t="s">
        <v>18</v>
      </c>
      <c r="F25" s="60" t="s">
        <v>1379</v>
      </c>
      <c r="G25" s="19" t="s">
        <v>20</v>
      </c>
      <c r="H25" s="19" t="s">
        <v>1389</v>
      </c>
      <c r="I25" s="19" t="s">
        <v>28</v>
      </c>
      <c r="J25" s="60" t="s">
        <v>1298</v>
      </c>
      <c r="K25" s="60" t="str">
        <f t="shared" si="3"/>
        <v>REMINDER LETTER SHOULD BE SENT</v>
      </c>
      <c r="L25" s="165">
        <v>45748</v>
      </c>
      <c r="M25" s="79" t="s">
        <v>1394</v>
      </c>
      <c r="N25" s="156" t="str">
        <f t="shared" si="1"/>
        <v>NAFRO PHARMA NIG. LTD.</v>
      </c>
    </row>
    <row r="26" spans="1:15" ht="72">
      <c r="A26" s="72">
        <v>27</v>
      </c>
      <c r="B26" s="57" t="s">
        <v>1395</v>
      </c>
      <c r="C26" s="62" t="s">
        <v>1396</v>
      </c>
      <c r="D26" s="62" t="s">
        <v>1397</v>
      </c>
      <c r="E26" s="60" t="s">
        <v>18</v>
      </c>
      <c r="F26" s="60" t="s">
        <v>1398</v>
      </c>
      <c r="G26" s="19" t="s">
        <v>20</v>
      </c>
      <c r="H26" s="19"/>
      <c r="I26" s="19"/>
      <c r="J26" s="60" t="s">
        <v>1298</v>
      </c>
      <c r="K26" s="60" t="str">
        <f t="shared" si="3"/>
        <v/>
      </c>
      <c r="L26" s="165">
        <v>45748</v>
      </c>
      <c r="M26" s="79" t="s">
        <v>1399</v>
      </c>
      <c r="N26" s="156" t="str">
        <f t="shared" si="1"/>
        <v>THOMPSON &amp; GRACE PHARM. LTD.</v>
      </c>
    </row>
    <row r="27" spans="1:15" ht="31.15">
      <c r="A27" s="72">
        <v>28</v>
      </c>
      <c r="B27" s="144" t="s">
        <v>1400</v>
      </c>
      <c r="C27" s="59" t="s">
        <v>1401</v>
      </c>
      <c r="D27" s="62" t="s">
        <v>1402</v>
      </c>
      <c r="E27" s="60" t="s">
        <v>18</v>
      </c>
      <c r="F27" s="60" t="s">
        <v>1398</v>
      </c>
      <c r="G27" s="19" t="s">
        <v>20</v>
      </c>
      <c r="H27" s="19" t="s">
        <v>1403</v>
      </c>
      <c r="I27" s="19" t="s">
        <v>21</v>
      </c>
      <c r="J27" s="60" t="s">
        <v>9</v>
      </c>
      <c r="K27" s="60" t="str">
        <f t="shared" si="3"/>
        <v>CAPA VERIFICATION SHOULD BE SCHEDULED</v>
      </c>
      <c r="L27" s="165">
        <v>45748</v>
      </c>
      <c r="M27" s="79" t="s">
        <v>1404</v>
      </c>
      <c r="N27" s="156" t="str">
        <f t="shared" si="1"/>
        <v>GLOBAL ONE WORD HEALTHCARE</v>
      </c>
    </row>
    <row r="28" spans="1:15" ht="28.9">
      <c r="A28" s="72">
        <v>29</v>
      </c>
      <c r="B28" s="144" t="s">
        <v>1405</v>
      </c>
      <c r="C28" s="59" t="s">
        <v>1406</v>
      </c>
      <c r="D28" s="62" t="s">
        <v>1407</v>
      </c>
      <c r="E28" s="60" t="s">
        <v>18</v>
      </c>
      <c r="F28" s="60" t="s">
        <v>1398</v>
      </c>
      <c r="G28" s="19" t="s">
        <v>20</v>
      </c>
      <c r="H28" s="19" t="s">
        <v>1403</v>
      </c>
      <c r="I28" s="19" t="s">
        <v>21</v>
      </c>
      <c r="J28" s="60" t="s">
        <v>9</v>
      </c>
      <c r="K28" s="60" t="str">
        <f t="shared" si="3"/>
        <v>CAPA VERIFICATION SHOULD BE SCHEDULED</v>
      </c>
      <c r="L28" s="165">
        <v>45748</v>
      </c>
      <c r="M28" s="79" t="s">
        <v>1408</v>
      </c>
      <c r="N28" s="156" t="str">
        <f t="shared" si="1"/>
        <v>LABETA DRUGS LTD.</v>
      </c>
    </row>
    <row r="29" spans="1:15" ht="28.9">
      <c r="A29" s="72">
        <v>30</v>
      </c>
      <c r="B29" s="57" t="s">
        <v>1409</v>
      </c>
      <c r="C29" s="59" t="s">
        <v>1410</v>
      </c>
      <c r="D29" s="62">
        <v>8033183813</v>
      </c>
      <c r="E29" s="60" t="s">
        <v>18</v>
      </c>
      <c r="F29" s="63" t="s">
        <v>1411</v>
      </c>
      <c r="G29" s="19" t="s">
        <v>298</v>
      </c>
      <c r="H29" s="19"/>
      <c r="I29" s="19" t="s">
        <v>21</v>
      </c>
      <c r="J29" s="62" t="s">
        <v>1412</v>
      </c>
      <c r="K29" s="60" t="str">
        <f t="shared" si="3"/>
        <v>CAPA VERIFICATION SHOULD BE SCHEDULED</v>
      </c>
      <c r="L29" s="165">
        <v>46113</v>
      </c>
      <c r="M29" s="79" t="s">
        <v>405</v>
      </c>
      <c r="N29" s="156" t="str">
        <f t="shared" si="1"/>
        <v>MULTIBASE PHARMA IND. NIG. LTD</v>
      </c>
    </row>
    <row r="30" spans="1:15" ht="31.15">
      <c r="A30" s="72">
        <v>31</v>
      </c>
      <c r="B30" s="144" t="s">
        <v>1413</v>
      </c>
      <c r="C30" s="59" t="s">
        <v>1369</v>
      </c>
      <c r="D30" s="62" t="s">
        <v>1414</v>
      </c>
      <c r="E30" s="60" t="s">
        <v>955</v>
      </c>
      <c r="F30" s="63" t="s">
        <v>1411</v>
      </c>
      <c r="G30" s="19" t="s">
        <v>298</v>
      </c>
      <c r="H30" s="19"/>
      <c r="I30" s="19"/>
      <c r="J30" s="60" t="s">
        <v>1324</v>
      </c>
      <c r="K30" s="60" t="str">
        <f t="shared" si="3"/>
        <v/>
      </c>
      <c r="L30" s="167" t="s">
        <v>1361</v>
      </c>
      <c r="M30" s="79" t="s">
        <v>1142</v>
      </c>
      <c r="N30" s="156" t="str">
        <f t="shared" si="1"/>
        <v>GENERICS &amp; SPECIALITIES LTD (CAPA)</v>
      </c>
    </row>
    <row r="31" spans="1:15" ht="31.15">
      <c r="A31" s="72">
        <v>32</v>
      </c>
      <c r="B31" s="57" t="s">
        <v>1415</v>
      </c>
      <c r="C31" s="59" t="s">
        <v>1416</v>
      </c>
      <c r="D31" s="62" t="s">
        <v>1417</v>
      </c>
      <c r="E31" s="60" t="s">
        <v>18</v>
      </c>
      <c r="F31" s="63" t="s">
        <v>1411</v>
      </c>
      <c r="G31" s="19" t="s">
        <v>20</v>
      </c>
      <c r="H31" s="19" t="s">
        <v>1418</v>
      </c>
      <c r="I31" s="19" t="s">
        <v>21</v>
      </c>
      <c r="J31" s="60" t="s">
        <v>9</v>
      </c>
      <c r="K31" s="60" t="s">
        <v>667</v>
      </c>
      <c r="L31" s="167" t="s">
        <v>1361</v>
      </c>
      <c r="M31" s="79" t="s">
        <v>233</v>
      </c>
      <c r="N31" s="156" t="str">
        <f t="shared" si="1"/>
        <v>NANCIL NIG. LTD.</v>
      </c>
    </row>
    <row r="32" spans="1:15" ht="27.6">
      <c r="A32" s="72">
        <v>33</v>
      </c>
      <c r="B32" s="57" t="s">
        <v>1419</v>
      </c>
      <c r="C32" s="59" t="s">
        <v>1420</v>
      </c>
      <c r="D32" s="62" t="s">
        <v>1421</v>
      </c>
      <c r="E32" s="60" t="s">
        <v>955</v>
      </c>
      <c r="F32" s="63" t="s">
        <v>1411</v>
      </c>
      <c r="G32" s="19" t="s">
        <v>20</v>
      </c>
      <c r="H32" s="19" t="s">
        <v>1403</v>
      </c>
      <c r="I32" s="19" t="s">
        <v>21</v>
      </c>
      <c r="J32" s="60" t="s">
        <v>9</v>
      </c>
      <c r="K32" s="60" t="str">
        <f t="shared" ref="K32:K39" si="4">IF(I32="YES","CAPA VERIFICATION SHOULD BE SCHEDULED",IF(I32="NO","REMINDER LETTER SHOULD BE SENT",""))</f>
        <v>CAPA VERIFICATION SHOULD BE SCHEDULED</v>
      </c>
      <c r="L32" s="165">
        <v>45748</v>
      </c>
      <c r="M32" s="79" t="s">
        <v>885</v>
      </c>
      <c r="N32" s="156" t="str">
        <f t="shared" si="1"/>
        <v>TETA PHARM. LTD.(CAPA)</v>
      </c>
      <c r="O32" s="153"/>
    </row>
    <row r="33" spans="1:15" ht="15.6">
      <c r="A33" s="72">
        <v>34</v>
      </c>
      <c r="B33" s="145" t="s">
        <v>1422</v>
      </c>
      <c r="C33" s="59"/>
      <c r="D33" s="59" t="s">
        <v>1423</v>
      </c>
      <c r="E33" s="60" t="s">
        <v>18</v>
      </c>
      <c r="F33" s="63" t="s">
        <v>1379</v>
      </c>
      <c r="G33" s="19" t="s">
        <v>298</v>
      </c>
      <c r="H33" s="19"/>
      <c r="I33" s="19"/>
      <c r="J33" s="60" t="s">
        <v>1298</v>
      </c>
      <c r="K33" s="60" t="str">
        <f t="shared" si="4"/>
        <v/>
      </c>
      <c r="L33" s="165">
        <v>46113</v>
      </c>
      <c r="N33" s="156" t="str">
        <f t="shared" si="1"/>
        <v/>
      </c>
    </row>
    <row r="34" spans="1:15" ht="15.6">
      <c r="A34" s="72">
        <v>35</v>
      </c>
      <c r="B34" s="145" t="s">
        <v>1424</v>
      </c>
      <c r="C34" s="59" t="s">
        <v>1425</v>
      </c>
      <c r="D34" s="62">
        <v>8036005454</v>
      </c>
      <c r="E34" s="60" t="s">
        <v>18</v>
      </c>
      <c r="F34" s="63" t="s">
        <v>1426</v>
      </c>
      <c r="G34" s="19" t="s">
        <v>20</v>
      </c>
      <c r="H34" s="19" t="s">
        <v>1427</v>
      </c>
      <c r="I34" s="19" t="s">
        <v>28</v>
      </c>
      <c r="J34" s="60" t="s">
        <v>1298</v>
      </c>
      <c r="K34" s="60" t="str">
        <f t="shared" si="4"/>
        <v>REMINDER LETTER SHOULD BE SENT</v>
      </c>
      <c r="L34" s="165">
        <v>45778</v>
      </c>
      <c r="M34" s="79" t="s">
        <v>1428</v>
      </c>
      <c r="N34" s="156" t="str">
        <f t="shared" si="1"/>
        <v>ORANGE DRUGS LTD.</v>
      </c>
      <c r="O34" s="56"/>
    </row>
    <row r="35" spans="1:15" ht="31.15">
      <c r="A35" s="72">
        <v>36</v>
      </c>
      <c r="B35" s="145" t="s">
        <v>1429</v>
      </c>
      <c r="C35" s="59" t="s">
        <v>1430</v>
      </c>
      <c r="D35" s="62" t="s">
        <v>1431</v>
      </c>
      <c r="E35" s="60" t="s">
        <v>18</v>
      </c>
      <c r="F35" s="63" t="s">
        <v>1426</v>
      </c>
      <c r="G35" s="19" t="s">
        <v>20</v>
      </c>
      <c r="H35" s="19" t="s">
        <v>1427</v>
      </c>
      <c r="I35" s="19" t="s">
        <v>28</v>
      </c>
      <c r="J35" s="60" t="s">
        <v>1298</v>
      </c>
      <c r="K35" s="60" t="str">
        <f t="shared" si="4"/>
        <v>REMINDER LETTER SHOULD BE SENT</v>
      </c>
      <c r="L35" s="165">
        <v>45778</v>
      </c>
      <c r="M35" s="79" t="s">
        <v>1432</v>
      </c>
      <c r="N35" s="156" t="str">
        <f t="shared" ref="N35:N66" si="5">IF(M35="","",HYPERLINK(M35,B35))</f>
        <v>GLOBAL HEALTHCARE LTD</v>
      </c>
    </row>
    <row r="36" spans="1:15" ht="31.15">
      <c r="A36" s="72">
        <v>37</v>
      </c>
      <c r="B36" s="145" t="s">
        <v>1433</v>
      </c>
      <c r="C36" s="59" t="s">
        <v>1434</v>
      </c>
      <c r="D36" s="62" t="s">
        <v>1435</v>
      </c>
      <c r="E36" s="60" t="s">
        <v>18</v>
      </c>
      <c r="F36" s="63" t="s">
        <v>1426</v>
      </c>
      <c r="G36" s="19" t="s">
        <v>20</v>
      </c>
      <c r="H36" s="19" t="s">
        <v>1427</v>
      </c>
      <c r="I36" s="19" t="s">
        <v>28</v>
      </c>
      <c r="J36" s="60" t="s">
        <v>1298</v>
      </c>
      <c r="K36" s="60" t="str">
        <f t="shared" si="4"/>
        <v>REMINDER LETTER SHOULD BE SENT</v>
      </c>
      <c r="L36" s="165">
        <v>45778</v>
      </c>
      <c r="M36" s="159" t="s">
        <v>1436</v>
      </c>
      <c r="N36" s="156" t="str">
        <f t="shared" si="5"/>
        <v>OXUS PHARMA LTD.</v>
      </c>
    </row>
    <row r="37" spans="1:15" ht="28.9">
      <c r="A37" s="72">
        <v>38</v>
      </c>
      <c r="B37" s="144" t="s">
        <v>1437</v>
      </c>
      <c r="C37" s="59" t="s">
        <v>1438</v>
      </c>
      <c r="D37" s="62" t="s">
        <v>1439</v>
      </c>
      <c r="E37" s="60" t="s">
        <v>18</v>
      </c>
      <c r="F37" s="63" t="s">
        <v>1426</v>
      </c>
      <c r="G37" s="19" t="s">
        <v>20</v>
      </c>
      <c r="H37" s="19" t="s">
        <v>1440</v>
      </c>
      <c r="I37" s="19" t="s">
        <v>28</v>
      </c>
      <c r="J37" s="60" t="s">
        <v>1298</v>
      </c>
      <c r="K37" s="60" t="str">
        <f t="shared" si="4"/>
        <v>REMINDER LETTER SHOULD BE SENT</v>
      </c>
      <c r="L37" s="165">
        <v>45778</v>
      </c>
      <c r="M37" s="79" t="s">
        <v>1441</v>
      </c>
      <c r="N37" s="156" t="str">
        <f t="shared" si="5"/>
        <v>MICRONOVA PHARM. INDT. LTD</v>
      </c>
    </row>
    <row r="38" spans="1:15" ht="28.9">
      <c r="A38" s="72">
        <v>39</v>
      </c>
      <c r="B38" s="144" t="s">
        <v>1442</v>
      </c>
      <c r="C38" s="59" t="s">
        <v>1443</v>
      </c>
      <c r="D38" s="62" t="s">
        <v>1444</v>
      </c>
      <c r="E38" s="60" t="s">
        <v>18</v>
      </c>
      <c r="F38" s="63" t="s">
        <v>1426</v>
      </c>
      <c r="G38" s="19" t="s">
        <v>20</v>
      </c>
      <c r="H38" s="19" t="s">
        <v>1445</v>
      </c>
      <c r="I38" s="19" t="s">
        <v>28</v>
      </c>
      <c r="J38" s="60" t="s">
        <v>1298</v>
      </c>
      <c r="K38" s="60" t="str">
        <f t="shared" si="4"/>
        <v>REMINDER LETTER SHOULD BE SENT</v>
      </c>
      <c r="L38" s="165">
        <v>45778</v>
      </c>
      <c r="M38" s="74" t="s">
        <v>1446</v>
      </c>
      <c r="N38" s="156" t="str">
        <f t="shared" si="5"/>
        <v xml:space="preserve">TURNER WRIGHT LTD. </v>
      </c>
    </row>
    <row r="39" spans="1:15" ht="28.9">
      <c r="A39" s="72">
        <v>40</v>
      </c>
      <c r="B39" s="57" t="s">
        <v>1447</v>
      </c>
      <c r="C39" s="59" t="s">
        <v>1448</v>
      </c>
      <c r="D39" s="62" t="s">
        <v>1449</v>
      </c>
      <c r="E39" s="60" t="s">
        <v>18</v>
      </c>
      <c r="F39" s="63" t="s">
        <v>1450</v>
      </c>
      <c r="G39" s="19" t="s">
        <v>20</v>
      </c>
      <c r="H39" s="19" t="s">
        <v>1451</v>
      </c>
      <c r="I39" s="19" t="s">
        <v>28</v>
      </c>
      <c r="J39" s="60" t="s">
        <v>1298</v>
      </c>
      <c r="K39" s="60" t="str">
        <f t="shared" si="4"/>
        <v>REMINDER LETTER SHOULD BE SENT</v>
      </c>
      <c r="L39" s="165">
        <v>45778</v>
      </c>
      <c r="M39" s="79" t="s">
        <v>1452</v>
      </c>
      <c r="N39" s="156" t="str">
        <f t="shared" si="5"/>
        <v>BRIAN MUNRO LTD</v>
      </c>
    </row>
    <row r="40" spans="1:15" ht="31.15">
      <c r="A40" s="72">
        <v>41</v>
      </c>
      <c r="B40" s="57" t="s">
        <v>1453</v>
      </c>
      <c r="C40" s="59" t="s">
        <v>1454</v>
      </c>
      <c r="D40" s="62" t="s">
        <v>1455</v>
      </c>
      <c r="E40" s="60" t="s">
        <v>955</v>
      </c>
      <c r="F40" s="63" t="s">
        <v>1450</v>
      </c>
      <c r="G40" s="19" t="s">
        <v>298</v>
      </c>
      <c r="H40" s="19" t="s">
        <v>1451</v>
      </c>
      <c r="I40" s="19" t="s">
        <v>21</v>
      </c>
      <c r="J40" s="60" t="s">
        <v>9</v>
      </c>
      <c r="K40" s="60" t="s">
        <v>1324</v>
      </c>
      <c r="L40" s="165">
        <v>45778</v>
      </c>
      <c r="M40" s="79" t="s">
        <v>912</v>
      </c>
      <c r="N40" s="156" t="str">
        <f t="shared" si="5"/>
        <v>SAGAR VITACEUTICALS (CAPA)</v>
      </c>
    </row>
    <row r="41" spans="1:15" ht="48" customHeight="1">
      <c r="A41" s="72">
        <v>42</v>
      </c>
      <c r="B41" s="57" t="s">
        <v>1456</v>
      </c>
      <c r="C41" s="59" t="s">
        <v>1457</v>
      </c>
      <c r="D41" s="62" t="s">
        <v>1458</v>
      </c>
      <c r="E41" s="60" t="s">
        <v>18</v>
      </c>
      <c r="F41" s="63" t="s">
        <v>1450</v>
      </c>
      <c r="G41" s="19" t="s">
        <v>20</v>
      </c>
      <c r="H41" s="19" t="s">
        <v>1451</v>
      </c>
      <c r="I41" s="19" t="s">
        <v>21</v>
      </c>
      <c r="J41" s="60" t="s">
        <v>9</v>
      </c>
      <c r="K41" s="60" t="str">
        <f>IF(I41="YES","CAPA VERIFICATION SHOULD BE SCHEDULED",IF(I41="NO","REMINDER LETTER SHOULD BE SENT",""))</f>
        <v>CAPA VERIFICATION SHOULD BE SCHEDULED</v>
      </c>
      <c r="L41" s="165">
        <v>46143</v>
      </c>
      <c r="M41" s="79" t="s">
        <v>52</v>
      </c>
      <c r="N41" s="156" t="str">
        <f t="shared" si="5"/>
        <v>NEIMETH INTERNATIONAL PHARMACEUTICALS PLC</v>
      </c>
      <c r="O41" s="56"/>
    </row>
    <row r="42" spans="1:15" ht="32.25" customHeight="1">
      <c r="A42" s="72">
        <v>43</v>
      </c>
      <c r="B42" s="57" t="s">
        <v>1459</v>
      </c>
      <c r="C42" s="59" t="s">
        <v>1460</v>
      </c>
      <c r="D42" s="62" t="s">
        <v>1461</v>
      </c>
      <c r="E42" s="60" t="s">
        <v>955</v>
      </c>
      <c r="F42" s="63" t="s">
        <v>1450</v>
      </c>
      <c r="G42" s="19" t="s">
        <v>20</v>
      </c>
      <c r="H42" s="19" t="s">
        <v>1451</v>
      </c>
      <c r="I42" s="19" t="s">
        <v>28</v>
      </c>
      <c r="J42" s="60" t="s">
        <v>1298</v>
      </c>
      <c r="K42" s="60" t="str">
        <f>IF(I42="YES","CAPA VERIFICATION SHOULD BE SCHEDULED",IF(I42="NO","REMINDER LETTER SHOULD BE SENT",""))</f>
        <v>REMINDER LETTER SHOULD BE SENT</v>
      </c>
      <c r="L42" s="165">
        <v>45778</v>
      </c>
      <c r="M42" s="79" t="s">
        <v>609</v>
      </c>
      <c r="N42" s="156" t="str">
        <f t="shared" si="5"/>
        <v>EVERSHINE PHARMACEUTICAL NIG. LTD. (CAPA)</v>
      </c>
    </row>
    <row r="43" spans="1:15" ht="31.15">
      <c r="A43" s="72">
        <v>44</v>
      </c>
      <c r="B43" s="57" t="s">
        <v>1462</v>
      </c>
      <c r="C43" s="59" t="s">
        <v>1463</v>
      </c>
      <c r="D43" s="62" t="s">
        <v>1464</v>
      </c>
      <c r="E43" s="60" t="s">
        <v>18</v>
      </c>
      <c r="F43" s="63" t="s">
        <v>1450</v>
      </c>
      <c r="G43" s="19" t="s">
        <v>298</v>
      </c>
      <c r="H43" s="19" t="s">
        <v>188</v>
      </c>
      <c r="I43" s="19" t="s">
        <v>28</v>
      </c>
      <c r="J43" s="60" t="s">
        <v>1324</v>
      </c>
      <c r="K43" s="60" t="s">
        <v>1324</v>
      </c>
      <c r="L43" s="167" t="s">
        <v>1361</v>
      </c>
      <c r="M43" s="162" t="s">
        <v>1465</v>
      </c>
      <c r="N43" s="156" t="str">
        <f t="shared" si="5"/>
        <v>ASSENE-LABOREX LTD</v>
      </c>
    </row>
    <row r="44" spans="1:15" ht="31.15">
      <c r="A44" s="72">
        <v>45</v>
      </c>
      <c r="B44" s="57" t="s">
        <v>1466</v>
      </c>
      <c r="C44" s="59" t="s">
        <v>1467</v>
      </c>
      <c r="D44" s="62" t="s">
        <v>1468</v>
      </c>
      <c r="E44" s="60" t="s">
        <v>18</v>
      </c>
      <c r="F44" s="63" t="s">
        <v>1450</v>
      </c>
      <c r="G44" s="19" t="s">
        <v>20</v>
      </c>
      <c r="H44" s="19" t="s">
        <v>188</v>
      </c>
      <c r="I44" s="19" t="s">
        <v>28</v>
      </c>
      <c r="J44" s="60" t="s">
        <v>1298</v>
      </c>
      <c r="K44" s="60" t="str">
        <f t="shared" ref="K44:K54" si="6">IF(I44="YES","CAPA VERIFICATION SHOULD BE SCHEDULED",IF(I44="NO","REMINDER LETTER SHOULD BE SENT",""))</f>
        <v>REMINDER LETTER SHOULD BE SENT</v>
      </c>
      <c r="L44" s="165">
        <v>45778</v>
      </c>
      <c r="M44" s="162" t="s">
        <v>1469</v>
      </c>
      <c r="N44" s="156" t="str">
        <f t="shared" si="5"/>
        <v>PEMASON PHARMACY LTD</v>
      </c>
    </row>
    <row r="45" spans="1:15" ht="28.9">
      <c r="A45" s="72">
        <v>46</v>
      </c>
      <c r="B45" s="144" t="s">
        <v>1470</v>
      </c>
      <c r="C45" s="59" t="s">
        <v>1471</v>
      </c>
      <c r="D45" s="62" t="s">
        <v>1472</v>
      </c>
      <c r="E45" s="60" t="s">
        <v>18</v>
      </c>
      <c r="F45" s="63" t="s">
        <v>1450</v>
      </c>
      <c r="G45" s="19" t="s">
        <v>20</v>
      </c>
      <c r="H45" s="19" t="s">
        <v>188</v>
      </c>
      <c r="I45" s="19" t="s">
        <v>28</v>
      </c>
      <c r="J45" s="60" t="s">
        <v>1298</v>
      </c>
      <c r="K45" s="60" t="str">
        <f t="shared" si="6"/>
        <v>REMINDER LETTER SHOULD BE SENT</v>
      </c>
      <c r="L45" s="165">
        <v>45778</v>
      </c>
      <c r="M45" s="74" t="s">
        <v>1473</v>
      </c>
      <c r="N45" s="156" t="str">
        <f t="shared" si="5"/>
        <v>NKOYO CHEMIST</v>
      </c>
    </row>
    <row r="46" spans="1:15" ht="28.9">
      <c r="A46" s="72">
        <v>47</v>
      </c>
      <c r="B46" s="146" t="s">
        <v>1474</v>
      </c>
      <c r="C46" s="62" t="s">
        <v>1475</v>
      </c>
      <c r="D46" s="62" t="s">
        <v>1476</v>
      </c>
      <c r="E46" s="60" t="s">
        <v>18</v>
      </c>
      <c r="F46" s="63" t="s">
        <v>1477</v>
      </c>
      <c r="G46" s="19" t="s">
        <v>298</v>
      </c>
      <c r="H46" s="19" t="s">
        <v>1478</v>
      </c>
      <c r="I46" s="19" t="s">
        <v>28</v>
      </c>
      <c r="J46" s="60" t="s">
        <v>1298</v>
      </c>
      <c r="K46" s="60" t="str">
        <f t="shared" si="6"/>
        <v>REMINDER LETTER SHOULD BE SENT</v>
      </c>
      <c r="L46" s="165">
        <v>46174</v>
      </c>
      <c r="M46" s="79" t="s">
        <v>1479</v>
      </c>
      <c r="N46" s="156" t="str">
        <f t="shared" si="5"/>
        <v>EVANS THERAPEUTICS</v>
      </c>
    </row>
    <row r="47" spans="1:15" ht="15.6">
      <c r="A47" s="72">
        <v>48</v>
      </c>
      <c r="B47" s="146" t="s">
        <v>1480</v>
      </c>
      <c r="C47" s="62" t="s">
        <v>1481</v>
      </c>
      <c r="D47" s="62" t="s">
        <v>1482</v>
      </c>
      <c r="E47" s="60" t="s">
        <v>18</v>
      </c>
      <c r="F47" s="63" t="s">
        <v>1477</v>
      </c>
      <c r="G47" s="19" t="s">
        <v>20</v>
      </c>
      <c r="H47" s="19" t="s">
        <v>1478</v>
      </c>
      <c r="I47" s="19" t="s">
        <v>28</v>
      </c>
      <c r="J47" s="60" t="s">
        <v>1298</v>
      </c>
      <c r="K47" s="60" t="str">
        <f t="shared" si="6"/>
        <v>REMINDER LETTER SHOULD BE SENT</v>
      </c>
      <c r="L47" s="165">
        <v>45809</v>
      </c>
      <c r="M47" s="159" t="s">
        <v>1483</v>
      </c>
      <c r="N47" s="156" t="str">
        <f t="shared" si="5"/>
        <v>STRIDES LIFESCIENCES LTD</v>
      </c>
    </row>
    <row r="48" spans="1:15" ht="28.9">
      <c r="A48" s="72">
        <v>49</v>
      </c>
      <c r="B48" s="145" t="s">
        <v>1484</v>
      </c>
      <c r="C48" s="62" t="s">
        <v>1485</v>
      </c>
      <c r="D48" s="62" t="s">
        <v>1486</v>
      </c>
      <c r="E48" s="60" t="s">
        <v>18</v>
      </c>
      <c r="F48" s="63" t="s">
        <v>1477</v>
      </c>
      <c r="G48" s="19" t="s">
        <v>20</v>
      </c>
      <c r="H48" s="19" t="s">
        <v>1478</v>
      </c>
      <c r="I48" s="19" t="s">
        <v>28</v>
      </c>
      <c r="J48" s="60" t="s">
        <v>1298</v>
      </c>
      <c r="K48" s="60" t="str">
        <f t="shared" si="6"/>
        <v>REMINDER LETTER SHOULD BE SENT</v>
      </c>
      <c r="L48" s="165">
        <v>45809</v>
      </c>
      <c r="M48" s="79" t="s">
        <v>1487</v>
      </c>
      <c r="N48" s="156" t="str">
        <f t="shared" si="5"/>
        <v>KUNIMED PHARMACHEM LTD</v>
      </c>
    </row>
    <row r="49" spans="1:15" ht="28.9">
      <c r="A49" s="72">
        <v>50</v>
      </c>
      <c r="B49" s="146" t="s">
        <v>1488</v>
      </c>
      <c r="C49" s="62" t="s">
        <v>1489</v>
      </c>
      <c r="D49" s="62" t="s">
        <v>1490</v>
      </c>
      <c r="E49" s="60" t="s">
        <v>18</v>
      </c>
      <c r="F49" s="63" t="s">
        <v>1491</v>
      </c>
      <c r="G49" s="60" t="s">
        <v>1492</v>
      </c>
      <c r="H49" s="60" t="s">
        <v>1493</v>
      </c>
      <c r="I49" s="60" t="s">
        <v>28</v>
      </c>
      <c r="J49" s="60" t="s">
        <v>1298</v>
      </c>
      <c r="K49" s="60" t="str">
        <f t="shared" si="6"/>
        <v>REMINDER LETTER SHOULD BE SENT</v>
      </c>
      <c r="L49" s="165">
        <v>46174</v>
      </c>
      <c r="M49" s="79" t="s">
        <v>1494</v>
      </c>
      <c r="N49" s="156" t="str">
        <f t="shared" si="5"/>
        <v>PACMAI INTL LTD</v>
      </c>
    </row>
    <row r="50" spans="1:15" ht="15.6">
      <c r="A50" s="72">
        <v>51</v>
      </c>
      <c r="B50" s="146" t="s">
        <v>1495</v>
      </c>
      <c r="C50" s="62" t="s">
        <v>1496</v>
      </c>
      <c r="D50" s="62" t="s">
        <v>1497</v>
      </c>
      <c r="E50" s="60" t="s">
        <v>18</v>
      </c>
      <c r="F50" s="63" t="s">
        <v>1491</v>
      </c>
      <c r="G50" s="19" t="s">
        <v>20</v>
      </c>
      <c r="H50" s="19" t="s">
        <v>1493</v>
      </c>
      <c r="I50" s="19" t="s">
        <v>28</v>
      </c>
      <c r="J50" s="60" t="s">
        <v>1298</v>
      </c>
      <c r="K50" s="60" t="str">
        <f t="shared" si="6"/>
        <v>REMINDER LETTER SHOULD BE SENT</v>
      </c>
      <c r="L50" s="165">
        <v>45809</v>
      </c>
      <c r="M50" s="159" t="s">
        <v>1498</v>
      </c>
      <c r="N50" s="156" t="str">
        <f t="shared" si="5"/>
        <v>SKIN PHARM LTD</v>
      </c>
    </row>
    <row r="51" spans="1:15" ht="15.6">
      <c r="A51" s="72">
        <v>52</v>
      </c>
      <c r="B51" s="146" t="s">
        <v>1499</v>
      </c>
      <c r="C51" s="62" t="s">
        <v>1500</v>
      </c>
      <c r="D51" s="62" t="s">
        <v>1501</v>
      </c>
      <c r="E51" s="60" t="s">
        <v>18</v>
      </c>
      <c r="F51" s="63" t="s">
        <v>1491</v>
      </c>
      <c r="G51" s="19" t="s">
        <v>20</v>
      </c>
      <c r="H51" s="19" t="s">
        <v>1493</v>
      </c>
      <c r="I51" s="19" t="s">
        <v>21</v>
      </c>
      <c r="J51" s="60" t="s">
        <v>9</v>
      </c>
      <c r="K51" s="60" t="str">
        <f t="shared" si="6"/>
        <v>CAPA VERIFICATION SHOULD BE SCHEDULED</v>
      </c>
      <c r="L51" s="165">
        <v>45809</v>
      </c>
      <c r="M51" s="79" t="s">
        <v>1502</v>
      </c>
      <c r="N51" s="156" t="str">
        <f t="shared" si="5"/>
        <v>AMAKIN PHARMACEUTICALS LTD</v>
      </c>
    </row>
    <row r="52" spans="1:15" ht="28.9">
      <c r="A52" s="72">
        <v>53</v>
      </c>
      <c r="B52" s="146" t="s">
        <v>1503</v>
      </c>
      <c r="C52" s="62" t="s">
        <v>1504</v>
      </c>
      <c r="D52" s="62" t="s">
        <v>1505</v>
      </c>
      <c r="E52" s="60" t="s">
        <v>18</v>
      </c>
      <c r="F52" s="63" t="s">
        <v>1491</v>
      </c>
      <c r="G52" s="19" t="s">
        <v>20</v>
      </c>
      <c r="H52" s="19" t="s">
        <v>1506</v>
      </c>
      <c r="I52" s="19" t="s">
        <v>28</v>
      </c>
      <c r="J52" s="60" t="s">
        <v>1298</v>
      </c>
      <c r="K52" s="60" t="str">
        <f t="shared" si="6"/>
        <v>REMINDER LETTER SHOULD BE SENT</v>
      </c>
      <c r="L52" s="165">
        <v>45809</v>
      </c>
      <c r="M52" s="79" t="s">
        <v>1507</v>
      </c>
      <c r="N52" s="156" t="str">
        <f t="shared" si="5"/>
        <v>MC FORIS PHARM LTD</v>
      </c>
    </row>
    <row r="53" spans="1:15" ht="15.6">
      <c r="A53" s="72">
        <v>54</v>
      </c>
      <c r="B53" s="146" t="s">
        <v>1508</v>
      </c>
      <c r="C53" s="62" t="s">
        <v>1509</v>
      </c>
      <c r="D53" s="62" t="s">
        <v>1510</v>
      </c>
      <c r="E53" s="60" t="s">
        <v>18</v>
      </c>
      <c r="F53" s="63" t="s">
        <v>1511</v>
      </c>
      <c r="G53" s="19" t="s">
        <v>279</v>
      </c>
      <c r="H53" s="19" t="s">
        <v>1478</v>
      </c>
      <c r="I53" s="19" t="s">
        <v>28</v>
      </c>
      <c r="J53" s="60" t="s">
        <v>1298</v>
      </c>
      <c r="K53" s="60" t="str">
        <f t="shared" si="6"/>
        <v>REMINDER LETTER SHOULD BE SENT</v>
      </c>
      <c r="L53" s="165">
        <v>45992</v>
      </c>
      <c r="M53" s="79" t="s">
        <v>1512</v>
      </c>
      <c r="N53" s="156" t="str">
        <f t="shared" si="5"/>
        <v>BERLIN PHARM &amp; HEALTHCARE</v>
      </c>
    </row>
    <row r="54" spans="1:15" ht="15.6">
      <c r="A54" s="72">
        <v>55</v>
      </c>
      <c r="B54" s="146" t="s">
        <v>1513</v>
      </c>
      <c r="C54" s="62" t="s">
        <v>1514</v>
      </c>
      <c r="D54" s="62" t="s">
        <v>1515</v>
      </c>
      <c r="E54" s="60" t="s">
        <v>18</v>
      </c>
      <c r="F54" s="63" t="s">
        <v>1511</v>
      </c>
      <c r="G54" s="19" t="s">
        <v>279</v>
      </c>
      <c r="H54" s="19" t="s">
        <v>1478</v>
      </c>
      <c r="I54" s="19" t="s">
        <v>28</v>
      </c>
      <c r="J54" s="60" t="s">
        <v>1298</v>
      </c>
      <c r="K54" s="60" t="str">
        <f t="shared" si="6"/>
        <v>REMINDER LETTER SHOULD BE SENT</v>
      </c>
      <c r="L54" s="165">
        <v>45992</v>
      </c>
      <c r="M54" s="79" t="s">
        <v>1516</v>
      </c>
      <c r="N54" s="156" t="str">
        <f t="shared" si="5"/>
        <v>SUITE LIFE PHARMACEUTICALS</v>
      </c>
    </row>
    <row r="55" spans="1:15" ht="15.6">
      <c r="A55" s="72">
        <v>56</v>
      </c>
      <c r="B55" s="146" t="s">
        <v>1400</v>
      </c>
      <c r="C55" s="62" t="s">
        <v>1517</v>
      </c>
      <c r="D55" s="62" t="s">
        <v>1518</v>
      </c>
      <c r="E55" s="60" t="s">
        <v>955</v>
      </c>
      <c r="F55" s="63" t="s">
        <v>1511</v>
      </c>
      <c r="G55" s="19" t="s">
        <v>298</v>
      </c>
      <c r="H55" s="19" t="s">
        <v>1324</v>
      </c>
      <c r="I55" s="19" t="s">
        <v>21</v>
      </c>
      <c r="J55" s="60" t="s">
        <v>1324</v>
      </c>
      <c r="K55" s="60" t="s">
        <v>1361</v>
      </c>
      <c r="L55" s="165">
        <v>46174</v>
      </c>
      <c r="M55" s="79" t="s">
        <v>1404</v>
      </c>
      <c r="N55" s="156" t="str">
        <f t="shared" si="5"/>
        <v>GLOBAL ONE WORD HEALTHCARE</v>
      </c>
    </row>
    <row r="56" spans="1:15" ht="28.9">
      <c r="A56" s="72">
        <v>57</v>
      </c>
      <c r="B56" s="146" t="s">
        <v>1519</v>
      </c>
      <c r="C56" s="62" t="s">
        <v>1520</v>
      </c>
      <c r="D56" s="62" t="s">
        <v>1521</v>
      </c>
      <c r="E56" s="60" t="s">
        <v>18</v>
      </c>
      <c r="F56" s="63" t="s">
        <v>1511</v>
      </c>
      <c r="G56" s="19" t="s">
        <v>20</v>
      </c>
      <c r="H56" s="19" t="s">
        <v>1493</v>
      </c>
      <c r="I56" s="19" t="s">
        <v>28</v>
      </c>
      <c r="J56" s="60" t="s">
        <v>1298</v>
      </c>
      <c r="K56" s="60" t="str">
        <f t="shared" ref="K56:K67" si="7">IF(I56="YES","CAPA VERIFICATION SHOULD BE SCHEDULED",IF(I56="NO","REMINDER LETTER SHOULD BE SENT",""))</f>
        <v>REMINDER LETTER SHOULD BE SENT</v>
      </c>
      <c r="L56" s="165">
        <v>45809</v>
      </c>
      <c r="M56" s="79" t="s">
        <v>1522</v>
      </c>
      <c r="N56" s="156" t="str">
        <f t="shared" si="5"/>
        <v>FRESHBORN INDUSTRIES LTD</v>
      </c>
    </row>
    <row r="57" spans="1:15" ht="15.6">
      <c r="A57" s="72">
        <v>58</v>
      </c>
      <c r="B57" s="146" t="s">
        <v>1523</v>
      </c>
      <c r="C57" s="62" t="s">
        <v>1524</v>
      </c>
      <c r="D57" s="62" t="s">
        <v>1525</v>
      </c>
      <c r="E57" s="60" t="s">
        <v>18</v>
      </c>
      <c r="F57" s="63" t="s">
        <v>1511</v>
      </c>
      <c r="G57" s="19" t="s">
        <v>279</v>
      </c>
      <c r="H57" s="19" t="s">
        <v>1493</v>
      </c>
      <c r="I57" s="19" t="s">
        <v>28</v>
      </c>
      <c r="J57" s="60" t="s">
        <v>1298</v>
      </c>
      <c r="K57" s="60" t="str">
        <f t="shared" si="7"/>
        <v>REMINDER LETTER SHOULD BE SENT</v>
      </c>
      <c r="L57" s="165">
        <v>45809</v>
      </c>
      <c r="M57" s="79" t="s">
        <v>1526</v>
      </c>
      <c r="N57" s="156" t="str">
        <f t="shared" si="5"/>
        <v>EMINENT DRUGS LIMITED</v>
      </c>
    </row>
    <row r="58" spans="1:15" ht="15.6">
      <c r="A58" s="72">
        <v>59</v>
      </c>
      <c r="B58" s="146" t="s">
        <v>1527</v>
      </c>
      <c r="C58" s="62" t="s">
        <v>1528</v>
      </c>
      <c r="D58" s="62" t="s">
        <v>1529</v>
      </c>
      <c r="E58" s="60" t="s">
        <v>18</v>
      </c>
      <c r="F58" s="63" t="s">
        <v>1530</v>
      </c>
      <c r="G58" s="19" t="s">
        <v>20</v>
      </c>
      <c r="H58" s="19" t="s">
        <v>188</v>
      </c>
      <c r="I58" s="19" t="s">
        <v>28</v>
      </c>
      <c r="J58" s="60" t="s">
        <v>1298</v>
      </c>
      <c r="K58" s="60" t="str">
        <f t="shared" si="7"/>
        <v>REMINDER LETTER SHOULD BE SENT</v>
      </c>
      <c r="L58" s="165">
        <v>45839</v>
      </c>
      <c r="M58" s="79" t="s">
        <v>967</v>
      </c>
      <c r="N58" s="156" t="str">
        <f t="shared" si="5"/>
        <v>MALVIN MEDICS</v>
      </c>
    </row>
    <row r="59" spans="1:15" ht="27.6">
      <c r="A59" s="72">
        <v>60</v>
      </c>
      <c r="B59" s="146" t="s">
        <v>1531</v>
      </c>
      <c r="C59" s="62" t="s">
        <v>1532</v>
      </c>
      <c r="D59" s="62" t="s">
        <v>1533</v>
      </c>
      <c r="E59" s="60" t="s">
        <v>18</v>
      </c>
      <c r="F59" s="63" t="s">
        <v>1530</v>
      </c>
      <c r="G59" s="19" t="s">
        <v>279</v>
      </c>
      <c r="H59" s="19" t="s">
        <v>1534</v>
      </c>
      <c r="I59" s="19" t="s">
        <v>21</v>
      </c>
      <c r="J59" s="60" t="s">
        <v>9</v>
      </c>
      <c r="K59" s="60" t="str">
        <f t="shared" si="7"/>
        <v>CAPA VERIFICATION SHOULD BE SCHEDULED</v>
      </c>
      <c r="L59" s="165">
        <v>45962</v>
      </c>
      <c r="M59" s="79" t="s">
        <v>1535</v>
      </c>
      <c r="N59" s="156" t="str">
        <f t="shared" si="5"/>
        <v>PANGENE BIOTECH</v>
      </c>
      <c r="O59" s="56"/>
    </row>
    <row r="60" spans="1:15" ht="28.9">
      <c r="A60" s="72">
        <v>61</v>
      </c>
      <c r="B60" s="146" t="s">
        <v>1536</v>
      </c>
      <c r="C60" s="62" t="s">
        <v>1537</v>
      </c>
      <c r="D60" s="62" t="s">
        <v>1538</v>
      </c>
      <c r="E60" s="60" t="s">
        <v>18</v>
      </c>
      <c r="F60" s="63" t="s">
        <v>1539</v>
      </c>
      <c r="G60" s="19" t="s">
        <v>279</v>
      </c>
      <c r="H60" s="19" t="s">
        <v>1540</v>
      </c>
      <c r="I60" s="19" t="s">
        <v>21</v>
      </c>
      <c r="J60" s="60" t="s">
        <v>9</v>
      </c>
      <c r="K60" s="60" t="str">
        <f t="shared" si="7"/>
        <v>CAPA VERIFICATION SHOULD BE SCHEDULED</v>
      </c>
      <c r="L60" s="165">
        <v>46023</v>
      </c>
      <c r="M60" s="79" t="s">
        <v>1541</v>
      </c>
      <c r="N60" s="156" t="str">
        <f t="shared" si="5"/>
        <v>CEEMIKE PHARMA LTD</v>
      </c>
      <c r="O60" s="56"/>
    </row>
    <row r="61" spans="1:15" ht="27.6">
      <c r="A61" s="72">
        <v>62</v>
      </c>
      <c r="B61" s="146" t="s">
        <v>1542</v>
      </c>
      <c r="C61" s="62" t="s">
        <v>1543</v>
      </c>
      <c r="D61" s="62" t="s">
        <v>1544</v>
      </c>
      <c r="E61" s="60" t="s">
        <v>18</v>
      </c>
      <c r="F61" s="63" t="s">
        <v>1530</v>
      </c>
      <c r="G61" s="19" t="s">
        <v>279</v>
      </c>
      <c r="H61" s="19" t="s">
        <v>1534</v>
      </c>
      <c r="I61" s="19" t="s">
        <v>28</v>
      </c>
      <c r="J61" s="60" t="s">
        <v>1298</v>
      </c>
      <c r="K61" s="60" t="str">
        <f t="shared" si="7"/>
        <v>REMINDER LETTER SHOULD BE SENT</v>
      </c>
      <c r="L61" s="165">
        <v>46023</v>
      </c>
      <c r="M61" s="79" t="s">
        <v>1545</v>
      </c>
      <c r="N61" s="156" t="str">
        <f t="shared" si="5"/>
        <v>TOC PHARMACEUTICALS</v>
      </c>
    </row>
    <row r="62" spans="1:15" ht="28.9">
      <c r="A62" s="72">
        <v>63</v>
      </c>
      <c r="B62" s="146" t="s">
        <v>1546</v>
      </c>
      <c r="C62" s="62" t="s">
        <v>1547</v>
      </c>
      <c r="D62" s="62" t="s">
        <v>1548</v>
      </c>
      <c r="E62" s="60" t="s">
        <v>18</v>
      </c>
      <c r="F62" s="63" t="s">
        <v>1549</v>
      </c>
      <c r="G62" s="19" t="s">
        <v>20</v>
      </c>
      <c r="H62" s="19" t="s">
        <v>1534</v>
      </c>
      <c r="I62" s="19" t="s">
        <v>28</v>
      </c>
      <c r="J62" s="60" t="s">
        <v>1298</v>
      </c>
      <c r="K62" s="60" t="str">
        <f t="shared" si="7"/>
        <v>REMINDER LETTER SHOULD BE SENT</v>
      </c>
      <c r="L62" s="165">
        <v>45839</v>
      </c>
      <c r="M62" s="99" t="s">
        <v>1550</v>
      </c>
      <c r="N62" s="177" t="str">
        <f t="shared" si="5"/>
        <v>GOLDEN GAZELLE</v>
      </c>
    </row>
    <row r="63" spans="1:15" ht="27.6">
      <c r="A63" s="72">
        <v>64</v>
      </c>
      <c r="B63" s="146" t="s">
        <v>1339</v>
      </c>
      <c r="C63" s="62" t="s">
        <v>1551</v>
      </c>
      <c r="D63" s="62" t="s">
        <v>1552</v>
      </c>
      <c r="E63" s="60" t="s">
        <v>955</v>
      </c>
      <c r="F63" s="63" t="s">
        <v>1553</v>
      </c>
      <c r="G63" s="19" t="s">
        <v>298</v>
      </c>
      <c r="H63" s="19" t="s">
        <v>1554</v>
      </c>
      <c r="I63" s="19" t="s">
        <v>28</v>
      </c>
      <c r="J63" s="60" t="s">
        <v>1298</v>
      </c>
      <c r="K63" s="60" t="str">
        <f t="shared" si="7"/>
        <v>REMINDER LETTER SHOULD BE SENT</v>
      </c>
      <c r="L63" s="165">
        <v>46600</v>
      </c>
      <c r="M63" s="74" t="s">
        <v>1555</v>
      </c>
      <c r="N63" s="156" t="str">
        <f t="shared" si="5"/>
        <v>SHEPHERD HEALTH &amp; VETERINARY LTD.</v>
      </c>
    </row>
    <row r="64" spans="1:15" ht="27.6">
      <c r="A64" s="72">
        <v>65</v>
      </c>
      <c r="B64" s="146" t="s">
        <v>1556</v>
      </c>
      <c r="C64" s="62" t="s">
        <v>1557</v>
      </c>
      <c r="D64" s="62" t="s">
        <v>1558</v>
      </c>
      <c r="E64" s="60" t="s">
        <v>18</v>
      </c>
      <c r="F64" s="63" t="s">
        <v>1553</v>
      </c>
      <c r="G64" s="19" t="s">
        <v>298</v>
      </c>
      <c r="H64" s="19" t="s">
        <v>1554</v>
      </c>
      <c r="I64" s="19" t="s">
        <v>28</v>
      </c>
      <c r="J64" s="60" t="s">
        <v>1298</v>
      </c>
      <c r="K64" s="60" t="str">
        <f t="shared" si="7"/>
        <v>REMINDER LETTER SHOULD BE SENT</v>
      </c>
      <c r="L64" s="165">
        <v>46600</v>
      </c>
      <c r="M64" s="79" t="s">
        <v>1559</v>
      </c>
      <c r="N64" s="156" t="str">
        <f t="shared" si="5"/>
        <v>TRINITAS APO LIMITED</v>
      </c>
    </row>
    <row r="65" spans="1:15" ht="27.6">
      <c r="A65" s="72">
        <v>66</v>
      </c>
      <c r="B65" s="146" t="s">
        <v>1560</v>
      </c>
      <c r="C65" s="62" t="s">
        <v>1561</v>
      </c>
      <c r="D65" s="62" t="s">
        <v>1562</v>
      </c>
      <c r="E65" s="60" t="s">
        <v>18</v>
      </c>
      <c r="F65" s="63" t="s">
        <v>1553</v>
      </c>
      <c r="G65" s="19" t="s">
        <v>298</v>
      </c>
      <c r="H65" s="19" t="s">
        <v>1554</v>
      </c>
      <c r="I65" s="19" t="s">
        <v>28</v>
      </c>
      <c r="J65" s="60" t="s">
        <v>1298</v>
      </c>
      <c r="K65" s="60" t="str">
        <f t="shared" si="7"/>
        <v>REMINDER LETTER SHOULD BE SENT</v>
      </c>
      <c r="L65" s="165">
        <v>46600</v>
      </c>
      <c r="M65" s="79" t="s">
        <v>1563</v>
      </c>
      <c r="N65" s="156" t="str">
        <f t="shared" si="5"/>
        <v>RICNOS PHARMA NIG. LTD</v>
      </c>
    </row>
    <row r="66" spans="1:15" ht="28.9">
      <c r="A66" s="72">
        <v>67</v>
      </c>
      <c r="B66" s="146" t="s">
        <v>1564</v>
      </c>
      <c r="C66" s="62" t="s">
        <v>1565</v>
      </c>
      <c r="D66" s="62" t="s">
        <v>1566</v>
      </c>
      <c r="E66" s="60" t="s">
        <v>18</v>
      </c>
      <c r="F66" s="63" t="s">
        <v>1553</v>
      </c>
      <c r="G66" s="19" t="s">
        <v>20</v>
      </c>
      <c r="H66" s="19" t="s">
        <v>1554</v>
      </c>
      <c r="I66" s="19" t="s">
        <v>21</v>
      </c>
      <c r="J66" s="60" t="s">
        <v>9</v>
      </c>
      <c r="K66" s="60" t="str">
        <f t="shared" si="7"/>
        <v>CAPA VERIFICATION SHOULD BE SCHEDULED</v>
      </c>
      <c r="L66" s="166">
        <v>45986</v>
      </c>
      <c r="M66" s="157" t="s">
        <v>1567</v>
      </c>
      <c r="N66" s="156" t="str">
        <f t="shared" si="5"/>
        <v xml:space="preserve"> ABTEVIC PHARMACEUTICAL LTD</v>
      </c>
      <c r="O66" s="153"/>
    </row>
    <row r="67" spans="1:15" ht="27.6">
      <c r="A67" s="72">
        <v>68</v>
      </c>
      <c r="B67" s="146" t="s">
        <v>1568</v>
      </c>
      <c r="C67" s="62" t="s">
        <v>1569</v>
      </c>
      <c r="D67" s="62" t="s">
        <v>1570</v>
      </c>
      <c r="E67" s="60" t="s">
        <v>18</v>
      </c>
      <c r="F67" s="63" t="s">
        <v>1553</v>
      </c>
      <c r="G67" s="19" t="s">
        <v>20</v>
      </c>
      <c r="H67" s="19" t="s">
        <v>1571</v>
      </c>
      <c r="I67" s="19" t="s">
        <v>28</v>
      </c>
      <c r="J67" s="60" t="s">
        <v>1298</v>
      </c>
      <c r="K67" s="60" t="str">
        <f t="shared" si="7"/>
        <v>REMINDER LETTER SHOULD BE SENT</v>
      </c>
      <c r="L67" s="165">
        <v>46235</v>
      </c>
      <c r="M67" s="79"/>
      <c r="N67" s="156" t="str">
        <f t="shared" ref="N67:N98" si="8">IF(M67="","",HYPERLINK(M67,B67))</f>
        <v/>
      </c>
    </row>
    <row r="68" spans="1:15" ht="28.9">
      <c r="A68" s="72">
        <v>69</v>
      </c>
      <c r="B68" s="146" t="s">
        <v>1358</v>
      </c>
      <c r="C68" s="62" t="s">
        <v>1359</v>
      </c>
      <c r="D68" s="62" t="s">
        <v>1572</v>
      </c>
      <c r="E68" s="60" t="s">
        <v>955</v>
      </c>
      <c r="F68" s="63" t="s">
        <v>1573</v>
      </c>
      <c r="G68" s="19" t="s">
        <v>298</v>
      </c>
      <c r="H68" s="19" t="s">
        <v>1324</v>
      </c>
      <c r="I68" s="19" t="s">
        <v>21</v>
      </c>
      <c r="J68" s="60" t="s">
        <v>1324</v>
      </c>
      <c r="K68" s="60" t="s">
        <v>1324</v>
      </c>
      <c r="L68" s="167" t="s">
        <v>1361</v>
      </c>
      <c r="M68" s="74" t="s">
        <v>1574</v>
      </c>
      <c r="N68" s="156" t="str">
        <f t="shared" si="8"/>
        <v>MED EXPRESS</v>
      </c>
    </row>
    <row r="69" spans="1:15" ht="41.45">
      <c r="A69" s="72">
        <v>70</v>
      </c>
      <c r="B69" s="146" t="s">
        <v>1575</v>
      </c>
      <c r="C69" s="62" t="s">
        <v>1576</v>
      </c>
      <c r="D69" s="62" t="s">
        <v>1577</v>
      </c>
      <c r="E69" s="60" t="s">
        <v>18</v>
      </c>
      <c r="F69" s="63" t="s">
        <v>1573</v>
      </c>
      <c r="G69" s="19" t="s">
        <v>20</v>
      </c>
      <c r="H69" s="19" t="s">
        <v>1578</v>
      </c>
      <c r="I69" s="19" t="s">
        <v>28</v>
      </c>
      <c r="J69" s="60" t="s">
        <v>1298</v>
      </c>
      <c r="K69" s="60" t="str">
        <f>IF(I69="YES","CAPA VERIFICATION SHOULD BE SCHEDULED",IF(I69="NO","REMINDER LETTER SHOULD BE SENT",""))</f>
        <v>REMINDER LETTER SHOULD BE SENT</v>
      </c>
      <c r="L69" s="165">
        <v>46235</v>
      </c>
      <c r="M69" s="162" t="s">
        <v>1579</v>
      </c>
      <c r="N69" s="156" t="str">
        <f t="shared" si="8"/>
        <v>EXPHARLAB LIMITED</v>
      </c>
    </row>
    <row r="70" spans="1:15" ht="41.45">
      <c r="A70" s="72">
        <v>71</v>
      </c>
      <c r="B70" s="146" t="s">
        <v>1580</v>
      </c>
      <c r="C70" s="62" t="s">
        <v>1581</v>
      </c>
      <c r="D70" s="62" t="s">
        <v>1582</v>
      </c>
      <c r="E70" s="60" t="s">
        <v>18</v>
      </c>
      <c r="F70" s="63" t="s">
        <v>1573</v>
      </c>
      <c r="G70" s="19" t="s">
        <v>20</v>
      </c>
      <c r="H70" s="19" t="s">
        <v>1578</v>
      </c>
      <c r="I70" s="19" t="s">
        <v>28</v>
      </c>
      <c r="J70" s="60" t="s">
        <v>1298</v>
      </c>
      <c r="K70" s="60" t="str">
        <f>IF(I70="YES","CAPA VERIFICATION SHOULD BE SCHEDULED",IF(I70="NO","REMINDER LETTER SHOULD BE SENT",""))</f>
        <v>REMINDER LETTER SHOULD BE SENT</v>
      </c>
      <c r="L70" s="165">
        <v>46235</v>
      </c>
      <c r="M70" s="74" t="s">
        <v>1375</v>
      </c>
      <c r="N70" s="156" t="str">
        <f t="shared" si="8"/>
        <v>ICE REMEDIES LIMITED</v>
      </c>
    </row>
    <row r="71" spans="1:15" ht="28.9">
      <c r="A71" s="72">
        <v>72</v>
      </c>
      <c r="B71" s="146" t="s">
        <v>1583</v>
      </c>
      <c r="C71" s="62" t="s">
        <v>1584</v>
      </c>
      <c r="D71" s="62" t="s">
        <v>1585</v>
      </c>
      <c r="E71" s="60" t="s">
        <v>18</v>
      </c>
      <c r="F71" s="63" t="s">
        <v>1586</v>
      </c>
      <c r="G71" s="19" t="s">
        <v>298</v>
      </c>
      <c r="H71" s="19" t="s">
        <v>1324</v>
      </c>
      <c r="I71" s="19" t="s">
        <v>188</v>
      </c>
      <c r="J71" s="60" t="s">
        <v>1324</v>
      </c>
      <c r="K71" s="60" t="s">
        <v>1361</v>
      </c>
      <c r="L71" s="165">
        <v>46600</v>
      </c>
      <c r="N71" s="156" t="str">
        <f t="shared" si="8"/>
        <v/>
      </c>
    </row>
    <row r="72" spans="1:15" ht="27.6">
      <c r="A72" s="72">
        <v>73</v>
      </c>
      <c r="B72" s="146" t="s">
        <v>1587</v>
      </c>
      <c r="C72" s="62" t="s">
        <v>1588</v>
      </c>
      <c r="D72" s="62" t="s">
        <v>1589</v>
      </c>
      <c r="E72" s="60" t="s">
        <v>18</v>
      </c>
      <c r="F72" s="63" t="s">
        <v>1586</v>
      </c>
      <c r="G72" s="19" t="s">
        <v>20</v>
      </c>
      <c r="H72" s="19" t="s">
        <v>1554</v>
      </c>
      <c r="I72" s="19" t="s">
        <v>28</v>
      </c>
      <c r="J72" s="60" t="s">
        <v>1298</v>
      </c>
      <c r="K72" s="60" t="str">
        <f>IF(I72="YES","CAPA VERIFICATION SHOULD BE SCHEDULED",IF(I72="NO","REMINDER LETTER SHOULD BE SENT",""))</f>
        <v>REMINDER LETTER SHOULD BE SENT</v>
      </c>
      <c r="L72" s="165">
        <v>46600</v>
      </c>
      <c r="M72" s="159" t="s">
        <v>1590</v>
      </c>
      <c r="N72" s="156" t="str">
        <f t="shared" si="8"/>
        <v>OLPHARM NIG. LIMITED</v>
      </c>
    </row>
    <row r="73" spans="1:15" ht="28.9">
      <c r="A73" s="72">
        <v>74</v>
      </c>
      <c r="B73" s="146" t="s">
        <v>1415</v>
      </c>
      <c r="C73" s="62" t="s">
        <v>1591</v>
      </c>
      <c r="D73" s="62" t="s">
        <v>1417</v>
      </c>
      <c r="E73" s="60" t="s">
        <v>955</v>
      </c>
      <c r="F73" s="63" t="s">
        <v>1586</v>
      </c>
      <c r="G73" s="19" t="s">
        <v>298</v>
      </c>
      <c r="H73" s="19" t="s">
        <v>1324</v>
      </c>
      <c r="I73" s="19" t="s">
        <v>188</v>
      </c>
      <c r="J73" s="60" t="s">
        <v>1324</v>
      </c>
      <c r="K73" s="60" t="s">
        <v>1361</v>
      </c>
      <c r="L73" s="165">
        <v>46600</v>
      </c>
      <c r="M73" s="74" t="s">
        <v>1592</v>
      </c>
      <c r="N73" s="156" t="str">
        <f t="shared" si="8"/>
        <v>NANCIL NIG. LTD.</v>
      </c>
    </row>
    <row r="74" spans="1:15" ht="28.9">
      <c r="A74" s="72">
        <v>75</v>
      </c>
      <c r="B74" s="146" t="s">
        <v>1593</v>
      </c>
      <c r="C74" s="62" t="s">
        <v>1594</v>
      </c>
      <c r="D74" s="62" t="s">
        <v>1595</v>
      </c>
      <c r="E74" s="60" t="s">
        <v>955</v>
      </c>
      <c r="F74" s="63" t="s">
        <v>1586</v>
      </c>
      <c r="G74" s="60" t="s">
        <v>298</v>
      </c>
      <c r="H74" s="60" t="s">
        <v>1324</v>
      </c>
      <c r="I74" s="60" t="s">
        <v>188</v>
      </c>
      <c r="J74" s="60" t="s">
        <v>1324</v>
      </c>
      <c r="K74" s="60" t="s">
        <v>1361</v>
      </c>
      <c r="L74" s="165">
        <v>46600</v>
      </c>
      <c r="M74" s="160" t="s">
        <v>925</v>
      </c>
      <c r="N74" s="156" t="str">
        <f t="shared" si="8"/>
        <v>AGARY PHARMACEUTICALS LTD</v>
      </c>
    </row>
    <row r="75" spans="1:15">
      <c r="A75" s="72">
        <v>76</v>
      </c>
      <c r="B75" s="146" t="s">
        <v>1596</v>
      </c>
      <c r="C75" s="62" t="s">
        <v>1597</v>
      </c>
      <c r="D75" s="60">
        <v>8037158154</v>
      </c>
      <c r="E75" s="60" t="s">
        <v>18</v>
      </c>
      <c r="F75" s="60" t="s">
        <v>1598</v>
      </c>
      <c r="G75" s="60" t="s">
        <v>20</v>
      </c>
      <c r="H75" s="64">
        <v>45939</v>
      </c>
      <c r="I75" s="60" t="s">
        <v>28</v>
      </c>
      <c r="J75" s="60" t="s">
        <v>1298</v>
      </c>
      <c r="K75" s="60" t="str">
        <f>IF(I75="YES","CAPA VERIFICATION SHOULD BE SCHEDULED",IF(I75="NO","REMINDER LETTER SHOULD BE SENT",""))</f>
        <v>REMINDER LETTER SHOULD BE SENT</v>
      </c>
      <c r="L75" s="165">
        <v>46235</v>
      </c>
      <c r="M75" s="159" t="s">
        <v>1599</v>
      </c>
      <c r="N75" s="156" t="str">
        <f t="shared" si="8"/>
        <v/>
      </c>
    </row>
    <row r="76" spans="1:15" ht="15.6">
      <c r="A76" s="72">
        <v>77</v>
      </c>
      <c r="B76" s="144" t="s">
        <v>1600</v>
      </c>
      <c r="C76" s="63" t="s">
        <v>1601</v>
      </c>
      <c r="D76" s="65" t="s">
        <v>1602</v>
      </c>
      <c r="E76" s="60" t="s">
        <v>18</v>
      </c>
      <c r="F76" s="60" t="s">
        <v>1603</v>
      </c>
      <c r="G76" s="60" t="s">
        <v>279</v>
      </c>
      <c r="H76" s="60" t="s">
        <v>1604</v>
      </c>
      <c r="I76" s="60" t="s">
        <v>28</v>
      </c>
      <c r="J76" s="60" t="s">
        <v>1298</v>
      </c>
      <c r="K76" s="60" t="str">
        <f>IF(I76="YES","CAPA VERIFICATION SHOULD BE SCHEDULED",IF(I76="NO","REMINDER LETTER SHOULD BE SENT",""))</f>
        <v>REMINDER LETTER SHOULD BE SENT</v>
      </c>
      <c r="L76" s="165">
        <v>46143</v>
      </c>
      <c r="M76" s="159" t="s">
        <v>1605</v>
      </c>
      <c r="N76" s="156" t="str">
        <f t="shared" si="8"/>
        <v>CHILINK PHARM LTD. </v>
      </c>
    </row>
    <row r="77" spans="1:15" ht="15.6">
      <c r="A77" s="72">
        <v>78</v>
      </c>
      <c r="B77" s="147" t="s">
        <v>1606</v>
      </c>
      <c r="C77" s="66" t="s">
        <v>1607</v>
      </c>
      <c r="D77" s="65" t="s">
        <v>1608</v>
      </c>
      <c r="E77" s="60" t="s">
        <v>955</v>
      </c>
      <c r="F77" s="60" t="s">
        <v>1603</v>
      </c>
      <c r="G77" s="60" t="s">
        <v>298</v>
      </c>
      <c r="H77" s="60" t="s">
        <v>1324</v>
      </c>
      <c r="I77" s="60" t="s">
        <v>188</v>
      </c>
      <c r="J77" s="60" t="s">
        <v>906</v>
      </c>
      <c r="K77" s="60" t="s">
        <v>1361</v>
      </c>
      <c r="L77" s="165">
        <v>46631</v>
      </c>
      <c r="M77" s="79" t="s">
        <v>1609</v>
      </c>
      <c r="N77" s="156" t="str">
        <f t="shared" si="8"/>
        <v>FAES FARMA NIG LTD (CAPA) </v>
      </c>
    </row>
    <row r="78" spans="1:15" ht="15.6">
      <c r="A78" s="72">
        <v>79</v>
      </c>
      <c r="B78" s="148" t="s">
        <v>1610</v>
      </c>
      <c r="C78" s="63" t="s">
        <v>1611</v>
      </c>
      <c r="D78" s="65" t="s">
        <v>1612</v>
      </c>
      <c r="E78" s="60" t="s">
        <v>18</v>
      </c>
      <c r="F78" s="60" t="s">
        <v>1603</v>
      </c>
      <c r="G78" s="60" t="s">
        <v>279</v>
      </c>
      <c r="H78" s="60" t="s">
        <v>1613</v>
      </c>
      <c r="I78" s="60" t="s">
        <v>28</v>
      </c>
      <c r="J78" s="60" t="s">
        <v>1298</v>
      </c>
      <c r="K78" s="60" t="str">
        <f t="shared" ref="K78:K95" si="9">IF(I78="YES","CAPA VERIFICATION SHOULD BE SCHEDULED",IF(I78="NO","REMINDER LETTER SHOULD BE SENT",""))</f>
        <v>REMINDER LETTER SHOULD BE SENT</v>
      </c>
      <c r="L78" s="165">
        <v>46143</v>
      </c>
      <c r="M78" s="79" t="s">
        <v>1614</v>
      </c>
      <c r="N78" s="156" t="str">
        <f t="shared" si="8"/>
        <v>CEMCEE PHARM. LTD. </v>
      </c>
    </row>
    <row r="79" spans="1:15" ht="26.25" customHeight="1">
      <c r="A79" s="72">
        <v>80</v>
      </c>
      <c r="B79" s="148" t="s">
        <v>1615</v>
      </c>
      <c r="C79" s="66" t="s">
        <v>1616</v>
      </c>
      <c r="D79" s="65" t="s">
        <v>1617</v>
      </c>
      <c r="E79" s="60" t="s">
        <v>955</v>
      </c>
      <c r="F79" s="60" t="s">
        <v>1603</v>
      </c>
      <c r="G79" s="60" t="s">
        <v>20</v>
      </c>
      <c r="H79" s="60" t="s">
        <v>1618</v>
      </c>
      <c r="I79" s="60" t="s">
        <v>21</v>
      </c>
      <c r="J79" s="60" t="s">
        <v>9</v>
      </c>
      <c r="K79" s="60" t="str">
        <f t="shared" si="9"/>
        <v>CAPA VERIFICATION SHOULD BE SCHEDULED</v>
      </c>
      <c r="L79" s="165">
        <v>46266</v>
      </c>
      <c r="M79" s="79" t="s">
        <v>1408</v>
      </c>
      <c r="N79" s="156" t="str">
        <f t="shared" si="8"/>
        <v>LABETA DRUGS LTD (CAPA) </v>
      </c>
    </row>
    <row r="80" spans="1:15" ht="15.6">
      <c r="A80" s="72">
        <v>81</v>
      </c>
      <c r="B80" s="144" t="s">
        <v>1619</v>
      </c>
      <c r="C80" s="63" t="s">
        <v>1620</v>
      </c>
      <c r="D80" s="65" t="s">
        <v>1621</v>
      </c>
      <c r="E80" s="60" t="s">
        <v>18</v>
      </c>
      <c r="F80" s="60" t="s">
        <v>1622</v>
      </c>
      <c r="G80" s="60" t="s">
        <v>20</v>
      </c>
      <c r="H80" s="60" t="s">
        <v>1623</v>
      </c>
      <c r="I80" s="60" t="s">
        <v>28</v>
      </c>
      <c r="J80" s="60" t="s">
        <v>1298</v>
      </c>
      <c r="K80" s="60" t="str">
        <f t="shared" si="9"/>
        <v>REMINDER LETTER SHOULD BE SENT</v>
      </c>
      <c r="L80" s="165">
        <v>46266</v>
      </c>
      <c r="M80" s="79" t="s">
        <v>1624</v>
      </c>
      <c r="N80" s="177" t="str">
        <f t="shared" si="8"/>
        <v>PHARMADEAL NIG. LTD </v>
      </c>
    </row>
    <row r="81" spans="1:14" ht="31.15">
      <c r="A81" s="72">
        <v>82</v>
      </c>
      <c r="B81" s="149" t="s">
        <v>1625</v>
      </c>
      <c r="C81" s="66" t="s">
        <v>1626</v>
      </c>
      <c r="D81" s="65" t="s">
        <v>1627</v>
      </c>
      <c r="E81" s="60" t="s">
        <v>955</v>
      </c>
      <c r="F81" s="60" t="s">
        <v>1622</v>
      </c>
      <c r="G81" s="60"/>
      <c r="H81" s="60"/>
      <c r="I81" s="60"/>
      <c r="J81" s="60" t="s">
        <v>1298</v>
      </c>
      <c r="K81" s="60" t="str">
        <f t="shared" si="9"/>
        <v/>
      </c>
      <c r="L81" s="167"/>
      <c r="M81" s="79" t="s">
        <v>1502</v>
      </c>
      <c r="N81" s="156" t="str">
        <f t="shared" si="8"/>
        <v>AMAKIN PHARM (CAPA) </v>
      </c>
    </row>
    <row r="82" spans="1:14" ht="31.15">
      <c r="A82" s="72">
        <v>83</v>
      </c>
      <c r="B82" s="57" t="s">
        <v>1628</v>
      </c>
      <c r="C82" s="66" t="s">
        <v>1629</v>
      </c>
      <c r="D82" s="65" t="s">
        <v>1608</v>
      </c>
      <c r="E82" s="60" t="s">
        <v>955</v>
      </c>
      <c r="F82" s="60" t="s">
        <v>1622</v>
      </c>
      <c r="G82" s="60" t="s">
        <v>298</v>
      </c>
      <c r="H82" s="60" t="s">
        <v>1630</v>
      </c>
      <c r="I82" s="60" t="s">
        <v>28</v>
      </c>
      <c r="J82" s="60" t="s">
        <v>1298</v>
      </c>
      <c r="K82" s="60" t="str">
        <f t="shared" si="9"/>
        <v>REMINDER LETTER SHOULD BE SENT</v>
      </c>
      <c r="L82" s="165">
        <v>46631</v>
      </c>
      <c r="M82" s="159" t="s">
        <v>1236</v>
      </c>
      <c r="N82" s="156" t="str">
        <f t="shared" si="8"/>
        <v>SEAGREEN PHARMACEUTICALS (CAPA) </v>
      </c>
    </row>
    <row r="83" spans="1:14" ht="31.15">
      <c r="A83" s="72">
        <v>84</v>
      </c>
      <c r="B83" s="149" t="s">
        <v>1631</v>
      </c>
      <c r="C83" s="66" t="s">
        <v>1632</v>
      </c>
      <c r="D83" s="65" t="s">
        <v>1608</v>
      </c>
      <c r="E83" s="60" t="s">
        <v>955</v>
      </c>
      <c r="F83" s="60" t="s">
        <v>1622</v>
      </c>
      <c r="G83" s="60" t="s">
        <v>20</v>
      </c>
      <c r="H83" s="60" t="s">
        <v>1633</v>
      </c>
      <c r="I83" s="60" t="s">
        <v>28</v>
      </c>
      <c r="J83" s="60" t="s">
        <v>1298</v>
      </c>
      <c r="K83" s="60" t="str">
        <f t="shared" si="9"/>
        <v>REMINDER LETTER SHOULD BE SENT</v>
      </c>
      <c r="L83" s="165">
        <v>46266</v>
      </c>
      <c r="M83" s="74" t="s">
        <v>1634</v>
      </c>
      <c r="N83" s="156" t="str">
        <f t="shared" si="8"/>
        <v>MAYDON PHARMACEUTICAL (CAPA) </v>
      </c>
    </row>
    <row r="84" spans="1:14" ht="31.15">
      <c r="A84" s="72">
        <v>85</v>
      </c>
      <c r="B84" s="149" t="s">
        <v>1635</v>
      </c>
      <c r="C84" s="66" t="s">
        <v>1636</v>
      </c>
      <c r="D84" s="65" t="s">
        <v>1608</v>
      </c>
      <c r="E84" s="60" t="s">
        <v>955</v>
      </c>
      <c r="F84" s="60" t="s">
        <v>1622</v>
      </c>
      <c r="G84" s="60"/>
      <c r="H84" s="60"/>
      <c r="I84" s="60"/>
      <c r="J84" s="60" t="s">
        <v>1298</v>
      </c>
      <c r="K84" s="60" t="str">
        <f t="shared" si="9"/>
        <v/>
      </c>
      <c r="L84" s="167"/>
      <c r="M84" s="79" t="s">
        <v>1213</v>
      </c>
      <c r="N84" s="156" t="str">
        <f t="shared" si="8"/>
        <v>EXXON PHARM (CAPA) </v>
      </c>
    </row>
    <row r="85" spans="1:14">
      <c r="A85" s="72">
        <v>86</v>
      </c>
      <c r="B85" s="145" t="s">
        <v>1637</v>
      </c>
      <c r="C85" s="62" t="s">
        <v>1638</v>
      </c>
      <c r="D85" s="62" t="s">
        <v>1639</v>
      </c>
      <c r="E85" s="60" t="s">
        <v>955</v>
      </c>
      <c r="F85" s="60" t="s">
        <v>1640</v>
      </c>
      <c r="G85" s="60" t="s">
        <v>20</v>
      </c>
      <c r="H85" s="60"/>
      <c r="I85" s="60"/>
      <c r="J85" s="60" t="s">
        <v>1298</v>
      </c>
      <c r="K85" s="60" t="str">
        <f t="shared" si="9"/>
        <v/>
      </c>
      <c r="L85" s="167"/>
      <c r="M85" s="79" t="s">
        <v>1348</v>
      </c>
      <c r="N85" s="156" t="str">
        <f t="shared" si="8"/>
        <v>ADCEM (CAPA)</v>
      </c>
    </row>
    <row r="86" spans="1:14" ht="15.6">
      <c r="A86" s="72">
        <v>87</v>
      </c>
      <c r="B86" s="150" t="s">
        <v>1641</v>
      </c>
      <c r="C86" s="67" t="s">
        <v>1642</v>
      </c>
      <c r="D86" s="68" t="s">
        <v>1643</v>
      </c>
      <c r="E86" s="60" t="s">
        <v>18</v>
      </c>
      <c r="F86" s="60" t="s">
        <v>1640</v>
      </c>
      <c r="G86" s="60" t="s">
        <v>20</v>
      </c>
      <c r="H86" s="60" t="s">
        <v>1644</v>
      </c>
      <c r="I86" s="60" t="s">
        <v>28</v>
      </c>
      <c r="J86" s="60" t="s">
        <v>1298</v>
      </c>
      <c r="K86" s="60" t="str">
        <f t="shared" si="9"/>
        <v>REMINDER LETTER SHOULD BE SENT</v>
      </c>
      <c r="L86" s="165">
        <v>46143</v>
      </c>
      <c r="M86" s="79" t="s">
        <v>1645</v>
      </c>
      <c r="N86" s="156" t="str">
        <f t="shared" si="8"/>
        <v>JIN SPECTRAL PHARMACEUTICAL</v>
      </c>
    </row>
    <row r="87" spans="1:14" ht="15.6">
      <c r="A87" s="72">
        <v>88</v>
      </c>
      <c r="B87" s="151" t="s">
        <v>1646</v>
      </c>
      <c r="C87" s="68" t="s">
        <v>1647</v>
      </c>
      <c r="D87" s="68" t="s">
        <v>1648</v>
      </c>
      <c r="E87" s="60" t="s">
        <v>18</v>
      </c>
      <c r="F87" s="60" t="s">
        <v>1640</v>
      </c>
      <c r="G87" s="60" t="s">
        <v>298</v>
      </c>
      <c r="H87" s="60"/>
      <c r="I87" s="60"/>
      <c r="J87" s="60" t="s">
        <v>9</v>
      </c>
      <c r="K87" s="60" t="str">
        <f t="shared" si="9"/>
        <v/>
      </c>
      <c r="L87" s="165">
        <v>46296</v>
      </c>
      <c r="M87" s="74" t="s">
        <v>1649</v>
      </c>
      <c r="N87" s="156" t="str">
        <f t="shared" si="8"/>
        <v>AFRAB-CHEM LIMITED </v>
      </c>
    </row>
    <row r="88" spans="1:14" ht="15.6">
      <c r="A88" s="72">
        <v>89</v>
      </c>
      <c r="B88" s="151" t="s">
        <v>1650</v>
      </c>
      <c r="C88" s="68" t="s">
        <v>1651</v>
      </c>
      <c r="D88" s="68" t="s">
        <v>1652</v>
      </c>
      <c r="E88" s="60" t="s">
        <v>955</v>
      </c>
      <c r="F88" s="60" t="s">
        <v>1640</v>
      </c>
      <c r="G88" s="60" t="s">
        <v>298</v>
      </c>
      <c r="H88" s="60"/>
      <c r="I88" s="60" t="s">
        <v>21</v>
      </c>
      <c r="J88" s="60" t="s">
        <v>9</v>
      </c>
      <c r="K88" s="60" t="str">
        <f t="shared" si="9"/>
        <v>CAPA VERIFICATION SHOULD BE SCHEDULED</v>
      </c>
      <c r="L88" s="165">
        <v>46661</v>
      </c>
      <c r="M88" s="162" t="s">
        <v>1653</v>
      </c>
      <c r="N88" s="177" t="str">
        <f t="shared" si="8"/>
        <v>ARTEMIS LIFE SCIENCE LTD</v>
      </c>
    </row>
    <row r="89" spans="1:14" ht="15.6">
      <c r="A89" s="72">
        <v>90</v>
      </c>
      <c r="B89" s="150" t="s">
        <v>1654</v>
      </c>
      <c r="C89" s="67" t="s">
        <v>1655</v>
      </c>
      <c r="D89" s="68" t="s">
        <v>1656</v>
      </c>
      <c r="E89" s="60" t="s">
        <v>18</v>
      </c>
      <c r="F89" s="60" t="s">
        <v>1640</v>
      </c>
      <c r="G89" s="60" t="s">
        <v>20</v>
      </c>
      <c r="H89" s="60"/>
      <c r="I89" s="60"/>
      <c r="J89" s="60" t="s">
        <v>1298</v>
      </c>
      <c r="K89" s="60" t="str">
        <f t="shared" si="9"/>
        <v/>
      </c>
      <c r="L89" s="165">
        <v>46296</v>
      </c>
      <c r="M89" s="176" t="s">
        <v>1657</v>
      </c>
      <c r="N89" s="156" t="str">
        <f t="shared" si="8"/>
        <v>STANDARD GENERICS LTD</v>
      </c>
    </row>
    <row r="90" spans="1:14" ht="15.6">
      <c r="A90" s="72">
        <v>91</v>
      </c>
      <c r="B90" s="150" t="s">
        <v>1658</v>
      </c>
      <c r="C90" s="67" t="s">
        <v>1659</v>
      </c>
      <c r="D90" s="68" t="s">
        <v>1660</v>
      </c>
      <c r="E90" s="60" t="s">
        <v>18</v>
      </c>
      <c r="F90" s="60" t="s">
        <v>1661</v>
      </c>
      <c r="G90" s="60" t="s">
        <v>20</v>
      </c>
      <c r="H90" s="60" t="s">
        <v>1662</v>
      </c>
      <c r="I90" s="60" t="s">
        <v>28</v>
      </c>
      <c r="J90" s="60" t="s">
        <v>1298</v>
      </c>
      <c r="K90" s="60" t="str">
        <f t="shared" si="9"/>
        <v>REMINDER LETTER SHOULD BE SENT</v>
      </c>
      <c r="L90" s="165">
        <v>46296</v>
      </c>
      <c r="M90" s="79" t="s">
        <v>1663</v>
      </c>
      <c r="N90" s="156" t="str">
        <f t="shared" si="8"/>
        <v>PHARMABOX VENTURES LIMITED</v>
      </c>
    </row>
    <row r="91" spans="1:14" ht="15.6">
      <c r="A91" s="72">
        <v>92</v>
      </c>
      <c r="B91" s="150" t="s">
        <v>1664</v>
      </c>
      <c r="C91" s="67" t="s">
        <v>1665</v>
      </c>
      <c r="D91" s="68" t="s">
        <v>1666</v>
      </c>
      <c r="E91" s="60" t="s">
        <v>18</v>
      </c>
      <c r="F91" s="60" t="s">
        <v>1667</v>
      </c>
      <c r="G91" s="60" t="s">
        <v>279</v>
      </c>
      <c r="H91" s="60" t="s">
        <v>1668</v>
      </c>
      <c r="I91" s="60" t="s">
        <v>28</v>
      </c>
      <c r="J91" s="60" t="s">
        <v>1298</v>
      </c>
      <c r="K91" s="60" t="str">
        <f t="shared" si="9"/>
        <v>REMINDER LETTER SHOULD BE SENT</v>
      </c>
      <c r="L91" s="165">
        <v>46143</v>
      </c>
      <c r="M91" s="79" t="s">
        <v>1669</v>
      </c>
      <c r="N91" s="156" t="str">
        <f t="shared" si="8"/>
        <v>JONCO PHARMACEUTICS</v>
      </c>
    </row>
    <row r="92" spans="1:14" ht="15.6">
      <c r="A92" s="72">
        <v>93</v>
      </c>
      <c r="B92" s="150" t="s">
        <v>1670</v>
      </c>
      <c r="C92" s="67" t="s">
        <v>1671</v>
      </c>
      <c r="D92" s="68" t="s">
        <v>1672</v>
      </c>
      <c r="E92" s="60" t="s">
        <v>18</v>
      </c>
      <c r="F92" s="60" t="s">
        <v>1667</v>
      </c>
      <c r="G92" s="60" t="s">
        <v>20</v>
      </c>
      <c r="H92" s="60" t="s">
        <v>1662</v>
      </c>
      <c r="I92" s="60" t="s">
        <v>28</v>
      </c>
      <c r="J92" s="60" t="s">
        <v>1298</v>
      </c>
      <c r="K92" s="60" t="str">
        <f t="shared" si="9"/>
        <v>REMINDER LETTER SHOULD BE SENT</v>
      </c>
      <c r="L92" s="165">
        <v>46296</v>
      </c>
      <c r="M92" s="79" t="s">
        <v>1673</v>
      </c>
      <c r="N92" s="156" t="str">
        <f t="shared" si="8"/>
        <v>BOUCIA LIMITED</v>
      </c>
    </row>
    <row r="93" spans="1:14" ht="31.15">
      <c r="A93" s="72">
        <v>94</v>
      </c>
      <c r="B93" s="150" t="s">
        <v>1674</v>
      </c>
      <c r="C93" s="68" t="s">
        <v>1675</v>
      </c>
      <c r="D93" s="68" t="s">
        <v>1676</v>
      </c>
      <c r="E93" s="60" t="s">
        <v>18</v>
      </c>
      <c r="F93" s="60" t="s">
        <v>1677</v>
      </c>
      <c r="G93" s="60" t="s">
        <v>279</v>
      </c>
      <c r="H93" s="60" t="s">
        <v>1668</v>
      </c>
      <c r="I93" s="60" t="s">
        <v>21</v>
      </c>
      <c r="J93" s="60" t="s">
        <v>9</v>
      </c>
      <c r="K93" s="60" t="str">
        <f t="shared" si="9"/>
        <v>CAPA VERIFICATION SHOULD BE SCHEDULED</v>
      </c>
      <c r="L93" s="165">
        <v>46143</v>
      </c>
      <c r="M93" s="79" t="s">
        <v>1678</v>
      </c>
      <c r="N93" s="156" t="str">
        <f t="shared" si="8"/>
        <v>BASIC PHARMACEUTICAL &amp; HERBAL HEALTHCARE LTD</v>
      </c>
    </row>
    <row r="94" spans="1:14" ht="15.6">
      <c r="A94" s="72">
        <v>95</v>
      </c>
      <c r="B94" s="151" t="s">
        <v>1679</v>
      </c>
      <c r="C94" s="68" t="s">
        <v>1680</v>
      </c>
      <c r="D94" s="68" t="s">
        <v>1681</v>
      </c>
      <c r="E94" s="60" t="s">
        <v>18</v>
      </c>
      <c r="F94" s="60" t="s">
        <v>1677</v>
      </c>
      <c r="G94" s="60" t="s">
        <v>298</v>
      </c>
      <c r="H94" s="60" t="s">
        <v>1668</v>
      </c>
      <c r="I94" s="60" t="s">
        <v>28</v>
      </c>
      <c r="J94" s="60" t="s">
        <v>1298</v>
      </c>
      <c r="K94" s="60" t="str">
        <f t="shared" si="9"/>
        <v>REMINDER LETTER SHOULD BE SENT</v>
      </c>
      <c r="L94" s="165">
        <v>46661</v>
      </c>
      <c r="M94" s="79" t="s">
        <v>1682</v>
      </c>
      <c r="N94" s="156" t="str">
        <f t="shared" si="8"/>
        <v>BAZREAL GLOBAL LIMITED </v>
      </c>
    </row>
    <row r="95" spans="1:14" ht="15.6">
      <c r="A95" s="72">
        <v>96</v>
      </c>
      <c r="B95" s="150" t="s">
        <v>1683</v>
      </c>
      <c r="C95" s="67" t="s">
        <v>1684</v>
      </c>
      <c r="D95" s="68">
        <v>8037247821</v>
      </c>
      <c r="E95" s="60" t="s">
        <v>955</v>
      </c>
      <c r="F95" s="60" t="s">
        <v>1677</v>
      </c>
      <c r="G95" s="60" t="s">
        <v>298</v>
      </c>
      <c r="H95" s="60" t="s">
        <v>1668</v>
      </c>
      <c r="I95" s="60" t="s">
        <v>28</v>
      </c>
      <c r="J95" s="60" t="s">
        <v>1298</v>
      </c>
      <c r="K95" s="60" t="str">
        <f t="shared" si="9"/>
        <v>REMINDER LETTER SHOULD BE SENT</v>
      </c>
      <c r="L95" s="165">
        <v>46661</v>
      </c>
      <c r="M95" s="159" t="s">
        <v>1685</v>
      </c>
      <c r="N95" s="156" t="str">
        <f t="shared" si="8"/>
        <v>IDEAL EAGLE LIMITED (CAPA) </v>
      </c>
    </row>
    <row r="96" spans="1:14" ht="15.6">
      <c r="A96" s="72">
        <v>97</v>
      </c>
      <c r="B96" s="150" t="s">
        <v>1686</v>
      </c>
      <c r="C96" s="67" t="s">
        <v>1687</v>
      </c>
      <c r="D96" s="67">
        <v>7060954163</v>
      </c>
      <c r="E96" s="60" t="s">
        <v>955</v>
      </c>
      <c r="F96" s="60" t="s">
        <v>1677</v>
      </c>
      <c r="G96" s="60" t="s">
        <v>298</v>
      </c>
      <c r="H96" s="60" t="s">
        <v>1324</v>
      </c>
      <c r="I96" s="60" t="s">
        <v>188</v>
      </c>
      <c r="J96" s="60" t="s">
        <v>9</v>
      </c>
      <c r="K96" s="60" t="s">
        <v>1361</v>
      </c>
      <c r="L96" s="165">
        <v>46661</v>
      </c>
      <c r="M96" s="74" t="s">
        <v>1688</v>
      </c>
      <c r="N96" s="156" t="str">
        <f t="shared" si="8"/>
        <v>THOMPSON AND GRACE (CAPA) </v>
      </c>
    </row>
    <row r="97" spans="1:14" ht="15.6">
      <c r="A97" s="72">
        <v>98</v>
      </c>
      <c r="B97" s="150" t="s">
        <v>1689</v>
      </c>
      <c r="C97" s="67" t="s">
        <v>1690</v>
      </c>
      <c r="D97" s="68" t="s">
        <v>1691</v>
      </c>
      <c r="E97" s="60" t="s">
        <v>18</v>
      </c>
      <c r="F97" s="60" t="s">
        <v>1677</v>
      </c>
      <c r="G97" s="60" t="s">
        <v>279</v>
      </c>
      <c r="H97" s="60" t="s">
        <v>1668</v>
      </c>
      <c r="I97" s="60" t="s">
        <v>28</v>
      </c>
      <c r="J97" s="60" t="s">
        <v>1298</v>
      </c>
      <c r="K97" s="60" t="s">
        <v>255</v>
      </c>
      <c r="L97" s="165">
        <v>46143</v>
      </c>
      <c r="M97" s="74" t="s">
        <v>1692</v>
      </c>
      <c r="N97" s="156" t="str">
        <f t="shared" si="8"/>
        <v>BLUE SUMMIT HEALTH CARE LTD </v>
      </c>
    </row>
    <row r="98" spans="1:14">
      <c r="A98" s="72">
        <v>99</v>
      </c>
      <c r="B98" s="145" t="s">
        <v>1693</v>
      </c>
      <c r="C98" s="62" t="s">
        <v>1694</v>
      </c>
      <c r="D98" s="62">
        <v>7064946450</v>
      </c>
      <c r="E98" s="60" t="s">
        <v>955</v>
      </c>
      <c r="F98" s="60" t="s">
        <v>1695</v>
      </c>
      <c r="G98" s="60" t="s">
        <v>20</v>
      </c>
      <c r="H98" s="60" t="s">
        <v>1696</v>
      </c>
      <c r="I98" s="60" t="s">
        <v>28</v>
      </c>
      <c r="J98" s="60" t="s">
        <v>1298</v>
      </c>
      <c r="K98" s="60" t="str">
        <f>IF(I98="YES","CAPA VERIFICATION SHOULD BE SCHEDULED",IF(I98="NO","REMINDER LETTER SHOULD BE SENT",""))</f>
        <v>REMINDER LETTER SHOULD BE SENT</v>
      </c>
      <c r="L98" s="165">
        <v>46327</v>
      </c>
      <c r="M98" s="79" t="s">
        <v>423</v>
      </c>
      <c r="N98" s="156" t="str">
        <f t="shared" si="8"/>
        <v xml:space="preserve">BRIGHTMEX PHARMACY LIMITED </v>
      </c>
    </row>
    <row r="99" spans="1:14">
      <c r="A99" s="72">
        <v>100</v>
      </c>
      <c r="B99" s="145" t="s">
        <v>1697</v>
      </c>
      <c r="C99" s="62" t="s">
        <v>1698</v>
      </c>
      <c r="D99" s="62">
        <v>8162734653</v>
      </c>
      <c r="E99" s="60" t="s">
        <v>18</v>
      </c>
      <c r="F99" s="60" t="s">
        <v>1695</v>
      </c>
      <c r="G99" s="60" t="s">
        <v>298</v>
      </c>
      <c r="H99" s="60" t="s">
        <v>1696</v>
      </c>
      <c r="I99" s="60" t="s">
        <v>21</v>
      </c>
      <c r="J99" s="60" t="s">
        <v>9</v>
      </c>
      <c r="K99" s="60" t="str">
        <f>IF(I99="YES","CAPA VERIFICATION SHOULD BE SCHEDULED",IF(I99="NO","REMINDER LETTER SHOULD BE SENT",""))</f>
        <v>CAPA VERIFICATION SHOULD BE SCHEDULED</v>
      </c>
      <c r="L99" s="165">
        <v>46692</v>
      </c>
      <c r="M99" s="79" t="s">
        <v>1699</v>
      </c>
      <c r="N99" s="177" t="str">
        <f t="shared" ref="N99:N108" si="10">IF(M99="","",HYPERLINK(M99,B99))</f>
        <v>JAWA INTL LIMITED</v>
      </c>
    </row>
    <row r="100" spans="1:14">
      <c r="A100" s="72">
        <v>101</v>
      </c>
      <c r="B100" s="145" t="s">
        <v>1700</v>
      </c>
      <c r="C100" s="62" t="s">
        <v>1701</v>
      </c>
      <c r="D100" s="62">
        <v>8158990100</v>
      </c>
      <c r="E100" s="60" t="s">
        <v>955</v>
      </c>
      <c r="F100" s="60" t="s">
        <v>1695</v>
      </c>
      <c r="G100" s="60" t="s">
        <v>279</v>
      </c>
      <c r="H100" s="60" t="s">
        <v>1696</v>
      </c>
      <c r="I100" s="60" t="s">
        <v>28</v>
      </c>
      <c r="J100" s="60" t="s">
        <v>1298</v>
      </c>
      <c r="K100" s="60" t="str">
        <f>IF(I100="YES","CAPA VERIFICATION SHOULD BE SCHEDULED",IF(I100="NO","REMINDER LETTER SHOULD BE SENT",""))</f>
        <v>REMINDER LETTER SHOULD BE SENT</v>
      </c>
      <c r="L100" s="165">
        <v>46143</v>
      </c>
      <c r="M100" s="79" t="s">
        <v>892</v>
      </c>
      <c r="N100" s="156" t="str">
        <f t="shared" si="10"/>
        <v>CLARION MEDICALS LTD (CAPA)</v>
      </c>
    </row>
    <row r="101" spans="1:14" ht="28.9">
      <c r="A101" s="72">
        <v>102</v>
      </c>
      <c r="B101" s="145" t="s">
        <v>1702</v>
      </c>
      <c r="C101" s="62" t="s">
        <v>1703</v>
      </c>
      <c r="D101" s="62">
        <v>7064946450</v>
      </c>
      <c r="E101" s="60" t="s">
        <v>18</v>
      </c>
      <c r="F101" s="60" t="s">
        <v>1695</v>
      </c>
      <c r="G101" s="60" t="s">
        <v>20</v>
      </c>
      <c r="H101" s="60" t="s">
        <v>1704</v>
      </c>
      <c r="I101" s="60" t="s">
        <v>28</v>
      </c>
      <c r="J101" s="60" t="s">
        <v>1298</v>
      </c>
      <c r="K101" s="60" t="str">
        <f>IF(I101="YES","CAPA VERIFICATION SHOULD BE SCHEDULED",IF(I101="NO","REMINDER LETTER SHOULD BE SENT",""))</f>
        <v>REMINDER LETTER SHOULD BE SENT</v>
      </c>
      <c r="L101" s="165">
        <v>46327</v>
      </c>
      <c r="M101" s="79" t="s">
        <v>1705</v>
      </c>
      <c r="N101" s="156" t="str">
        <f t="shared" si="10"/>
        <v>GENEX LIFESCIENCE</v>
      </c>
    </row>
    <row r="102" spans="1:14">
      <c r="A102" s="72">
        <v>103</v>
      </c>
      <c r="B102" s="145" t="s">
        <v>1706</v>
      </c>
      <c r="C102" s="62" t="s">
        <v>1707</v>
      </c>
      <c r="D102" s="62">
        <v>8030753413</v>
      </c>
      <c r="E102" s="60" t="s">
        <v>955</v>
      </c>
      <c r="F102" s="60" t="s">
        <v>1695</v>
      </c>
      <c r="G102" s="60" t="s">
        <v>298</v>
      </c>
      <c r="H102" s="60" t="s">
        <v>1324</v>
      </c>
      <c r="I102" s="60" t="s">
        <v>188</v>
      </c>
      <c r="J102" s="60" t="s">
        <v>906</v>
      </c>
      <c r="K102" s="60" t="s">
        <v>1361</v>
      </c>
      <c r="L102" s="165">
        <v>46692</v>
      </c>
      <c r="M102" s="79" t="s">
        <v>129</v>
      </c>
      <c r="N102" s="156" t="str">
        <f t="shared" si="10"/>
        <v>ARINZESON PHARM CO LTD (CAPA)</v>
      </c>
    </row>
    <row r="103" spans="1:14">
      <c r="A103" s="72">
        <v>104</v>
      </c>
      <c r="B103" s="145" t="s">
        <v>1708</v>
      </c>
      <c r="C103" s="62" t="s">
        <v>1709</v>
      </c>
      <c r="D103" s="62"/>
      <c r="E103" s="60" t="s">
        <v>18</v>
      </c>
      <c r="F103" s="60" t="s">
        <v>1695</v>
      </c>
      <c r="G103" s="60" t="s">
        <v>279</v>
      </c>
      <c r="H103" s="60" t="s">
        <v>1704</v>
      </c>
      <c r="I103" s="60" t="s">
        <v>21</v>
      </c>
      <c r="J103" s="60" t="s">
        <v>9</v>
      </c>
      <c r="K103" s="60" t="str">
        <f>IF(I103="YES","CAPA VERIFICATION SHOULD BE SCHEDULED",IF(I103="NO","REMINDER LETTER SHOULD BE SENT",""))</f>
        <v>CAPA VERIFICATION SHOULD BE SCHEDULED</v>
      </c>
      <c r="L103" s="165">
        <v>46143</v>
      </c>
      <c r="M103" s="79" t="s">
        <v>1710</v>
      </c>
      <c r="N103" s="177" t="str">
        <f t="shared" si="10"/>
        <v>SEPAT PHARM LTD</v>
      </c>
    </row>
    <row r="104" spans="1:14" ht="28.9">
      <c r="A104" s="72">
        <v>105</v>
      </c>
      <c r="B104" s="145" t="s">
        <v>1711</v>
      </c>
      <c r="C104" s="62" t="s">
        <v>1712</v>
      </c>
      <c r="D104" s="62">
        <v>7068995285</v>
      </c>
      <c r="E104" s="60" t="s">
        <v>18</v>
      </c>
      <c r="F104" s="60" t="s">
        <v>1713</v>
      </c>
      <c r="G104" s="60" t="s">
        <v>20</v>
      </c>
      <c r="H104" s="60" t="s">
        <v>1714</v>
      </c>
      <c r="I104" s="60" t="s">
        <v>28</v>
      </c>
      <c r="J104" s="60" t="s">
        <v>1298</v>
      </c>
      <c r="K104" s="60" t="str">
        <f>IF(I104="YES","CAPA VERIFICATION SHOULD BE SCHEDULED",IF(I104="NO","REMINDER LETTER SHOULD BE SENT",""))</f>
        <v>REMINDER LETTER SHOULD BE SENT</v>
      </c>
      <c r="L104" s="165">
        <v>46327</v>
      </c>
      <c r="M104" s="162" t="s">
        <v>1715</v>
      </c>
      <c r="N104" s="156" t="str">
        <f t="shared" si="10"/>
        <v>NUGENIC PHARMACEUTICAL LTD</v>
      </c>
    </row>
    <row r="105" spans="1:14">
      <c r="A105" s="72">
        <v>106</v>
      </c>
      <c r="B105" s="145" t="s">
        <v>1716</v>
      </c>
      <c r="C105" s="62" t="s">
        <v>1717</v>
      </c>
      <c r="D105" s="62">
        <v>8185905205</v>
      </c>
      <c r="E105" s="60" t="s">
        <v>18</v>
      </c>
      <c r="F105" s="60" t="s">
        <v>1718</v>
      </c>
      <c r="G105" s="60" t="s">
        <v>20</v>
      </c>
      <c r="H105" s="60" t="s">
        <v>1719</v>
      </c>
      <c r="I105" s="60" t="s">
        <v>28</v>
      </c>
      <c r="J105" s="60" t="s">
        <v>1298</v>
      </c>
      <c r="K105" s="60" t="str">
        <f>IF(I105="YES","CAPA VERIFICATION SHOULD BE SCHEDULED",IF(I105="NO","REMINDER LETTER SHOULD BE SENT",""))</f>
        <v>REMINDER LETTER SHOULD BE SENT</v>
      </c>
      <c r="L105" s="165">
        <v>46327</v>
      </c>
      <c r="M105" s="79" t="s">
        <v>1720</v>
      </c>
      <c r="N105" s="156" t="str">
        <f t="shared" si="10"/>
        <v>SAVOCENT PHARMA</v>
      </c>
    </row>
    <row r="106" spans="1:14">
      <c r="A106" s="72">
        <v>107</v>
      </c>
      <c r="B106" s="145" t="s">
        <v>1721</v>
      </c>
      <c r="C106" s="62" t="s">
        <v>1722</v>
      </c>
      <c r="D106" s="62">
        <v>8036767902</v>
      </c>
      <c r="E106" s="60" t="s">
        <v>18</v>
      </c>
      <c r="F106" s="60" t="s">
        <v>1718</v>
      </c>
      <c r="G106" s="60" t="s">
        <v>20</v>
      </c>
      <c r="H106" s="60" t="s">
        <v>1723</v>
      </c>
      <c r="I106" s="60" t="s">
        <v>28</v>
      </c>
      <c r="J106" s="60" t="s">
        <v>1298</v>
      </c>
      <c r="K106" s="60" t="str">
        <f>IF(I106="YES","CAPA VERIFICATION SHOULD BE SCHEDULED",IF(I106="NO","REMINDER LETTER SHOULD BE SENT",""))</f>
        <v>REMINDER LETTER SHOULD BE SENT</v>
      </c>
      <c r="L106" s="165">
        <v>46327</v>
      </c>
      <c r="M106" s="79" t="s">
        <v>1724</v>
      </c>
      <c r="N106" s="156" t="str">
        <f t="shared" si="10"/>
        <v>KENIX PHARMACY</v>
      </c>
    </row>
    <row r="107" spans="1:14">
      <c r="A107" s="72">
        <v>108</v>
      </c>
      <c r="B107" s="145" t="s">
        <v>1725</v>
      </c>
      <c r="C107" s="62" t="s">
        <v>1726</v>
      </c>
      <c r="D107" s="62"/>
      <c r="E107" s="60" t="s">
        <v>955</v>
      </c>
      <c r="F107" s="60" t="s">
        <v>1727</v>
      </c>
      <c r="G107" s="60" t="s">
        <v>279</v>
      </c>
      <c r="H107" s="60" t="s">
        <v>1728</v>
      </c>
      <c r="I107" s="60" t="s">
        <v>28</v>
      </c>
      <c r="J107" s="60" t="s">
        <v>1298</v>
      </c>
      <c r="K107" s="60" t="str">
        <f>IF(I107="YES","CAPA VERIFICATION SHOULD BE SCHEDULED",IF(I107="NO","REMINDER LETTER SHOULD BE SENT",""))</f>
        <v>REMINDER LETTER SHOULD BE SENT</v>
      </c>
      <c r="L107" s="165">
        <v>46143</v>
      </c>
      <c r="M107" s="159" t="s">
        <v>457</v>
      </c>
      <c r="N107" s="156" t="str">
        <f t="shared" si="10"/>
        <v xml:space="preserve">CA &amp; JO (CAPA) </v>
      </c>
    </row>
    <row r="108" spans="1:14">
      <c r="A108" s="72">
        <v>109</v>
      </c>
      <c r="B108" s="152" t="s">
        <v>1729</v>
      </c>
      <c r="C108" s="71" t="s">
        <v>1730</v>
      </c>
      <c r="D108" s="71">
        <v>8023065270</v>
      </c>
      <c r="E108" s="70" t="s">
        <v>955</v>
      </c>
      <c r="F108" s="70" t="s">
        <v>1727</v>
      </c>
      <c r="G108" s="70" t="s">
        <v>298</v>
      </c>
      <c r="H108" s="70" t="s">
        <v>1324</v>
      </c>
      <c r="I108" s="70" t="s">
        <v>188</v>
      </c>
      <c r="J108" s="70" t="s">
        <v>906</v>
      </c>
      <c r="K108" s="70" t="s">
        <v>1361</v>
      </c>
      <c r="L108" s="165">
        <v>46692</v>
      </c>
      <c r="M108" s="158" t="s">
        <v>1567</v>
      </c>
      <c r="N108" s="156" t="str">
        <f t="shared" si="10"/>
        <v>ABTEVIC (CAPA)</v>
      </c>
    </row>
  </sheetData>
  <mergeCells count="1">
    <mergeCell ref="A1:J1"/>
  </mergeCells>
  <dataValidations count="1">
    <dataValidation type="list" allowBlank="1" showInputMessage="1" showErrorMessage="1" sqref="I3:I1048576" xr:uid="{FC4D56CC-38D3-491B-B64F-79FA7DAEA330}">
      <formula1>"YES,NO,N/A"</formula1>
    </dataValidation>
  </dataValidations>
  <hyperlinks>
    <hyperlink ref="M3:M4" r:id="rId1" display="https://nafdacng.sharepoint.com/sites/PMSLAGOS/Shared Documents/GSDP (GOOD STORAGE AND DISTRIBUTION PRACTICE)/GSDP COMPANY FILES\Santa Care LTD" xr:uid="{BF888143-89BE-44EB-AD96-F74918858A95}"/>
    <hyperlink ref="M16" r:id="rId2" xr:uid="{6F9590F4-7BEB-4EB5-AD0D-A34B1D237038}"/>
    <hyperlink ref="M74" r:id="rId3" xr:uid="{85EF9954-38BE-49E2-AFC4-946132393043}"/>
    <hyperlink ref="M7" r:id="rId4" xr:uid="{2A3E122B-B60A-4C30-A711-830ECB1B8575}"/>
    <hyperlink ref="M23" r:id="rId5" xr:uid="{5434EBCC-F46A-48F4-AF1F-4163D6E34DC0}"/>
    <hyperlink ref="M97" r:id="rId6" xr:uid="{A55BDC7E-523B-489E-A577-E272B81E2BCE}"/>
    <hyperlink ref="M69" r:id="rId7" xr:uid="{ACC00A71-4699-4BE9-8AAA-90C6D781A2F4}"/>
    <hyperlink ref="M70" r:id="rId8" xr:uid="{CEB179C5-EA2C-4DE6-92A6-E8657FF8D828}"/>
    <hyperlink ref="M21" r:id="rId9" xr:uid="{AE747CC1-34F8-4641-818F-7F4140F5D6E9}"/>
    <hyperlink ref="M38" r:id="rId10" xr:uid="{BA236DBD-120B-4B9A-97BE-BBB58A89B9D9}"/>
    <hyperlink ref="M45" r:id="rId11" xr:uid="{10AABD8F-D85D-4947-B20E-A71D839A3A66}"/>
    <hyperlink ref="M63" r:id="rId12" xr:uid="{7BE6EE21-E5F9-411B-8293-5DD89F6DA1A3}"/>
    <hyperlink ref="M62" r:id="rId13" xr:uid="{C9973491-4B7C-4318-AA5D-F5CE68197A3E}"/>
    <hyperlink ref="M68" r:id="rId14" xr:uid="{DCAAF55A-C44F-4CEE-A6DA-9BA64004BDD2}"/>
    <hyperlink ref="M73" r:id="rId15" xr:uid="{4E34D01B-B11F-4601-8701-1BAA513C6D5E}"/>
    <hyperlink ref="M83" r:id="rId16" xr:uid="{130C214D-00E3-4531-A1FA-0E7AB4A3A962}"/>
    <hyperlink ref="M96" r:id="rId17" xr:uid="{1539365C-7BF6-47B0-964D-26CAE1ED9233}"/>
    <hyperlink ref="M43" r:id="rId18" xr:uid="{B3E6BA3B-465D-4A77-8685-FE411B41428B}"/>
    <hyperlink ref="M44" r:id="rId19" xr:uid="{8385AD77-E516-459D-88AF-A78DBC872819}"/>
    <hyperlink ref="M87" r:id="rId20" xr:uid="{5EB447D0-58DA-4B9B-A457-45912CA9C4D5}"/>
    <hyperlink ref="M88" r:id="rId21" xr:uid="{3D15B20D-7A43-4A1E-AD15-E1F33D3BFCB1}"/>
    <hyperlink ref="M89" r:id="rId22" xr:uid="{52981FCA-244B-4AFF-9B06-ECBAF1747DFA}"/>
    <hyperlink ref="M104" r:id="rId23" xr:uid="{B4CD30B7-0D73-47DE-8621-E5E0D8BF2D28}"/>
    <hyperlink ref="M6" r:id="rId24" display="https://nafdacng.sharepoint.com/sites/PMSLAGOS/Shared Documents/GDP (GOOD DISTRIBUTION PRATICE)/GSDP COMPANY FILES\KCH CONSUMER" xr:uid="{0D56F77D-65CF-4A7F-8AF4-61EABBC4A260}"/>
    <hyperlink ref="M12" r:id="rId25" display="https://nafdacng.sharepoint.com/sites/PMSLAGOS/Shared Documents/GDP (GOOD DISTRIBUTION PRATICE)/GSDP COMPANY FILES\HEALTHLINE NIG. LTD" xr:uid="{75BEE81E-9F23-4607-863F-362CD739AF53}"/>
  </hyperlinks>
  <pageMargins left="0.7" right="0.7" top="0.75" bottom="0.75" header="0.3" footer="0.3"/>
  <pageSetup orientation="portrait" r:id="rId26"/>
  <tableParts count="1">
    <tablePart r:id="rId2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D691D-1485-4A87-99B2-0C200BC0680A}">
  <dimension ref="A1:M107"/>
  <sheetViews>
    <sheetView workbookViewId="0"/>
  </sheetViews>
  <sheetFormatPr defaultRowHeight="14.45"/>
  <cols>
    <col min="1" max="1" width="6.7109375" customWidth="1"/>
    <col min="2" max="2" width="26.42578125" customWidth="1"/>
    <col min="3" max="3" width="17" customWidth="1"/>
    <col min="4" max="4" width="17.7109375" customWidth="1"/>
    <col min="5" max="5" width="17.28515625" customWidth="1"/>
    <col min="6" max="6" width="19.140625" customWidth="1"/>
    <col min="7" max="7" width="15.7109375" customWidth="1"/>
    <col min="8" max="8" width="25.7109375" customWidth="1"/>
    <col min="9" max="9" width="22" customWidth="1"/>
    <col min="10" max="10" width="22.42578125" customWidth="1"/>
    <col min="11" max="11" width="19.42578125" customWidth="1"/>
    <col min="12" max="12" width="28.85546875" customWidth="1"/>
    <col min="13" max="13" width="19.7109375" customWidth="1"/>
  </cols>
  <sheetData>
    <row r="1" spans="1:13" ht="78">
      <c r="A1" s="200" t="s">
        <v>1</v>
      </c>
      <c r="B1" s="201" t="s">
        <v>2</v>
      </c>
      <c r="C1" s="202" t="s">
        <v>3</v>
      </c>
      <c r="D1" s="202" t="s">
        <v>4</v>
      </c>
      <c r="E1" s="202" t="s">
        <v>5</v>
      </c>
      <c r="F1" s="202" t="s">
        <v>6</v>
      </c>
      <c r="G1" s="202" t="s">
        <v>7</v>
      </c>
      <c r="H1" s="202" t="s">
        <v>1293</v>
      </c>
      <c r="I1" s="202" t="s">
        <v>9</v>
      </c>
      <c r="J1" s="202" t="s">
        <v>10</v>
      </c>
      <c r="K1" s="203" t="s">
        <v>11</v>
      </c>
      <c r="L1" s="204" t="s">
        <v>12</v>
      </c>
      <c r="M1" s="203" t="s">
        <v>14</v>
      </c>
    </row>
    <row r="2" spans="1:13" ht="100.9">
      <c r="A2" s="205">
        <f>ROW() - ROW(Table48[[#Headers],[S/N]])</f>
        <v>1</v>
      </c>
      <c r="B2" s="144" t="s">
        <v>1731</v>
      </c>
      <c r="C2" s="38" t="s">
        <v>1732</v>
      </c>
      <c r="D2" s="206">
        <v>9138839644</v>
      </c>
      <c r="E2" s="206" t="s">
        <v>1733</v>
      </c>
      <c r="F2" s="207">
        <v>46041</v>
      </c>
      <c r="G2" s="19" t="s">
        <v>1734</v>
      </c>
      <c r="H2" s="181" t="s">
        <v>188</v>
      </c>
      <c r="I2" s="19" t="s">
        <v>906</v>
      </c>
      <c r="J2" s="206" t="s">
        <v>743</v>
      </c>
      <c r="K2" s="206" t="s">
        <v>1361</v>
      </c>
      <c r="L2" s="208">
        <f t="shared" ref="L2:L14" si="0">IF(G2="Low Risk (A)",EDATE(F2,24),
IF(G2="Medium Risk(B)",EDATE(F2,12),
IF(G2="High Risk(C)",EDATE(F2,6),"")))</f>
        <v>46771</v>
      </c>
      <c r="M2" s="209" t="s">
        <v>1735</v>
      </c>
    </row>
    <row r="3" spans="1:13" ht="124.9">
      <c r="A3" s="205">
        <f>ROW() - ROW(Table48[[#Headers],[S/N]])</f>
        <v>2</v>
      </c>
      <c r="B3" s="144" t="s">
        <v>1736</v>
      </c>
      <c r="C3" s="61" t="s">
        <v>1737</v>
      </c>
      <c r="D3" s="206">
        <v>7030942842</v>
      </c>
      <c r="E3" s="206" t="s">
        <v>1733</v>
      </c>
      <c r="F3" s="207">
        <v>46041</v>
      </c>
      <c r="G3" s="19" t="s">
        <v>1738</v>
      </c>
      <c r="H3" s="181">
        <v>46065</v>
      </c>
      <c r="I3" s="19" t="s">
        <v>28</v>
      </c>
      <c r="J3" s="206" t="str">
        <f>IF(I3="YES","CAPA VERIFICATION SHOULD BE SCHEDULED",IF(I3="NO","REMINDER LETTER SHOULD BE SENT",""))</f>
        <v>REMINDER LETTER SHOULD BE SENT</v>
      </c>
      <c r="K3" s="206" t="str">
        <f>IF(I3="YES","CAPA SUBMITTED",IF(I3="NO","CAPA YET TO BE SUBMITTED",""))</f>
        <v>CAPA YET TO BE SUBMITTED</v>
      </c>
      <c r="L3" s="208">
        <f t="shared" si="0"/>
        <v>46406</v>
      </c>
      <c r="M3" s="209" t="s">
        <v>1739</v>
      </c>
    </row>
    <row r="4" spans="1:13" ht="202.9">
      <c r="A4" s="205">
        <f>ROW() - ROW(Table48[[#Headers],[S/N]])</f>
        <v>3</v>
      </c>
      <c r="B4" s="182" t="s">
        <v>1740</v>
      </c>
      <c r="C4" s="59" t="s">
        <v>1741</v>
      </c>
      <c r="D4" s="206">
        <v>8162446323</v>
      </c>
      <c r="E4" s="206" t="s">
        <v>1733</v>
      </c>
      <c r="F4" s="207">
        <v>46042</v>
      </c>
      <c r="G4" s="19" t="s">
        <v>1742</v>
      </c>
      <c r="H4" s="181">
        <v>46065</v>
      </c>
      <c r="I4" s="19" t="s">
        <v>28</v>
      </c>
      <c r="J4" s="206" t="str">
        <f>IF(I4="YES","CAPA VERIFICATION SHOULD BE SCHEDULED",IF(I4="NO","REMINDER LETTER SHOULD BE SENT",""))</f>
        <v>REMINDER LETTER SHOULD BE SENT</v>
      </c>
      <c r="K4" s="206" t="str">
        <f>IF(I4="YES","CAPA SUBMITTED",IF(I4="NO","CAPA YET TO BE SUBMITTED",""))</f>
        <v>CAPA YET TO BE SUBMITTED</v>
      </c>
      <c r="L4" s="208">
        <f t="shared" si="0"/>
        <v>46223</v>
      </c>
      <c r="M4" s="209" t="s">
        <v>1743</v>
      </c>
    </row>
    <row r="5" spans="1:13" ht="124.9">
      <c r="A5" s="205">
        <f>ROW() - ROW(Table48[[#Headers],[S/N]])</f>
        <v>4</v>
      </c>
      <c r="B5" s="182" t="s">
        <v>1744</v>
      </c>
      <c r="C5" s="61" t="s">
        <v>1745</v>
      </c>
      <c r="D5" s="206">
        <v>8142406202</v>
      </c>
      <c r="E5" s="206" t="s">
        <v>1733</v>
      </c>
      <c r="F5" s="207">
        <v>46042</v>
      </c>
      <c r="G5" s="19" t="s">
        <v>1734</v>
      </c>
      <c r="H5" s="181" t="s">
        <v>188</v>
      </c>
      <c r="I5" s="19"/>
      <c r="J5" s="206" t="str">
        <f>IF(I5="YES","CAPA VERIFICATION SHOULD BE SCHEDULED",IF(I5="NO","REMINDER LETTER SHOULD BE SENT",""))</f>
        <v/>
      </c>
      <c r="K5" s="206" t="str">
        <f>IF(I5="YES","CAPA SUBMITTED",IF(I5="NO","CAPA YET TO BE SUBMITTED",""))</f>
        <v/>
      </c>
      <c r="L5" s="208">
        <f t="shared" si="0"/>
        <v>46772</v>
      </c>
      <c r="M5" s="210" t="s">
        <v>1746</v>
      </c>
    </row>
    <row r="6" spans="1:13" ht="171.6">
      <c r="A6" s="205">
        <f>ROW() - ROW(Table48[[#Headers],[S/N]])</f>
        <v>5</v>
      </c>
      <c r="B6" s="183" t="s">
        <v>1747</v>
      </c>
      <c r="C6" s="61" t="s">
        <v>1748</v>
      </c>
      <c r="D6" s="206">
        <v>8068951913</v>
      </c>
      <c r="E6" s="206" t="s">
        <v>1733</v>
      </c>
      <c r="F6" s="207">
        <v>46043</v>
      </c>
      <c r="G6" s="19" t="s">
        <v>1738</v>
      </c>
      <c r="H6" s="181" t="s">
        <v>188</v>
      </c>
      <c r="I6" s="19" t="s">
        <v>906</v>
      </c>
      <c r="J6" s="206" t="s">
        <v>743</v>
      </c>
      <c r="K6" s="206" t="s">
        <v>1361</v>
      </c>
      <c r="L6" s="208">
        <f t="shared" si="0"/>
        <v>46408</v>
      </c>
      <c r="M6" s="210" t="s">
        <v>1749</v>
      </c>
    </row>
    <row r="7" spans="1:13" ht="249.6">
      <c r="A7" s="205">
        <f>ROW() - ROW(Table48[[#Headers],[S/N]])</f>
        <v>6</v>
      </c>
      <c r="B7" s="182" t="s">
        <v>1456</v>
      </c>
      <c r="C7" s="61" t="s">
        <v>1750</v>
      </c>
      <c r="D7" s="206">
        <v>8068261772</v>
      </c>
      <c r="E7" s="206" t="s">
        <v>1733</v>
      </c>
      <c r="F7" s="207">
        <v>46043</v>
      </c>
      <c r="G7" s="19" t="s">
        <v>1738</v>
      </c>
      <c r="H7" s="181" t="s">
        <v>188</v>
      </c>
      <c r="I7" s="19" t="s">
        <v>906</v>
      </c>
      <c r="J7" s="206" t="s">
        <v>743</v>
      </c>
      <c r="K7" s="206" t="s">
        <v>1361</v>
      </c>
      <c r="L7" s="208">
        <f t="shared" si="0"/>
        <v>46408</v>
      </c>
      <c r="M7" s="210" t="s">
        <v>1751</v>
      </c>
    </row>
    <row r="8" spans="1:13" ht="78">
      <c r="A8" s="205">
        <f>ROW() - ROW(Table48[[#Headers],[S/N]])</f>
        <v>7</v>
      </c>
      <c r="B8" s="182" t="s">
        <v>1318</v>
      </c>
      <c r="C8" s="61" t="s">
        <v>1752</v>
      </c>
      <c r="D8" s="206">
        <v>7030980082</v>
      </c>
      <c r="E8" s="206" t="s">
        <v>1733</v>
      </c>
      <c r="F8" s="207">
        <v>46043</v>
      </c>
      <c r="G8" s="19" t="s">
        <v>1738</v>
      </c>
      <c r="H8" s="211">
        <v>46065</v>
      </c>
      <c r="I8" s="206" t="s">
        <v>28</v>
      </c>
      <c r="J8" s="206" t="str">
        <f>IF(I8="YES","CAPA VERIFICATION SHOULD BE SCHEDULED",IF(I8="NO","REMINDER LETTER SHOULD BE SENT",""))</f>
        <v>REMINDER LETTER SHOULD BE SENT</v>
      </c>
      <c r="K8" s="206" t="str">
        <f>IF(I8="YES","CAPA SUBMITTED",IF(I8="NO","CAPA YET TO BE SUBMITTED",""))</f>
        <v>CAPA YET TO BE SUBMITTED</v>
      </c>
      <c r="L8" s="208">
        <f t="shared" si="0"/>
        <v>46408</v>
      </c>
      <c r="M8" s="210" t="s">
        <v>1753</v>
      </c>
    </row>
    <row r="9" spans="1:13" ht="109.15">
      <c r="A9" s="206">
        <f>ROW() - ROW(Table48[[#Headers],[S/N]])</f>
        <v>8</v>
      </c>
      <c r="B9" s="57" t="s">
        <v>1754</v>
      </c>
      <c r="C9" s="61" t="s">
        <v>1755</v>
      </c>
      <c r="D9" s="206">
        <v>7071894534</v>
      </c>
      <c r="E9" s="206" t="s">
        <v>1733</v>
      </c>
      <c r="F9" s="207">
        <v>46044</v>
      </c>
      <c r="G9" s="19" t="s">
        <v>1742</v>
      </c>
      <c r="H9" s="181">
        <v>46065</v>
      </c>
      <c r="I9" s="206" t="s">
        <v>28</v>
      </c>
      <c r="J9" s="206" t="str">
        <f>IF(I9="YES","CAPA VERIFICATION SHOULD BE SCHEDULED",IF(I9="NO","REMINDER LETTER SHOULD BE SENT",""))</f>
        <v>REMINDER LETTER SHOULD BE SENT</v>
      </c>
      <c r="K9" s="206" t="str">
        <f>IF(I9="YES","CAPA SUBMITTED",IF(I9="NO","CAPA YET TO BE SUBMITTED",""))</f>
        <v>CAPA YET TO BE SUBMITTED</v>
      </c>
      <c r="L9" s="208">
        <f t="shared" si="0"/>
        <v>46225</v>
      </c>
      <c r="M9" s="212"/>
    </row>
    <row r="10" spans="1:13" ht="124.9">
      <c r="A10" s="205">
        <f>ROW() - ROW(Table48[[#Headers],[S/N]])</f>
        <v>9</v>
      </c>
      <c r="B10" s="213" t="s">
        <v>1756</v>
      </c>
      <c r="C10" s="213" t="s">
        <v>1757</v>
      </c>
      <c r="D10" s="214">
        <v>8099000436</v>
      </c>
      <c r="E10" s="206" t="s">
        <v>1733</v>
      </c>
      <c r="F10" s="207">
        <v>46069</v>
      </c>
      <c r="G10" s="19" t="s">
        <v>1738</v>
      </c>
      <c r="H10" s="181">
        <v>46090</v>
      </c>
      <c r="I10" s="206" t="s">
        <v>28</v>
      </c>
      <c r="J10" s="206" t="str">
        <f>IF(I10="YES","CAPA VERIFICATION SHOULD BE SCHEDULED",IF(I10="NO","REMINDER LETTER SHOULD BE SENT",""))</f>
        <v>REMINDER LETTER SHOULD BE SENT</v>
      </c>
      <c r="K10" s="206" t="str">
        <f>IF(I10="YES","CAPA SUBMITTED",IF(I10="NO","CAPA YET TO BE SUBMITTED",""))</f>
        <v>CAPA YET TO BE SUBMITTED</v>
      </c>
      <c r="L10" s="208">
        <f t="shared" si="0"/>
        <v>46434</v>
      </c>
      <c r="M10" s="210" t="s">
        <v>1758</v>
      </c>
    </row>
    <row r="11" spans="1:13" ht="78">
      <c r="A11" s="205">
        <f>ROW() - ROW(Table48[[#Headers],[S/N]])</f>
        <v>10</v>
      </c>
      <c r="B11" s="213" t="s">
        <v>1759</v>
      </c>
      <c r="C11" s="213" t="s">
        <v>1760</v>
      </c>
      <c r="D11" s="206">
        <v>7040511193</v>
      </c>
      <c r="E11" s="206" t="s">
        <v>1733</v>
      </c>
      <c r="F11" s="207">
        <v>46069</v>
      </c>
      <c r="G11" s="19" t="s">
        <v>1738</v>
      </c>
      <c r="H11" s="181">
        <v>46090</v>
      </c>
      <c r="I11" s="206" t="s">
        <v>28</v>
      </c>
      <c r="J11" s="206" t="str">
        <f>IF(I11="YES","CAPA VERIFICATION SHOULD BE SCHEDULED",IF(I11="NO","REMINDER LETTER SHOULD BE SENT",""))</f>
        <v>REMINDER LETTER SHOULD BE SENT</v>
      </c>
      <c r="K11" s="206" t="str">
        <f>IF(I11="YES","CAPA SUBMITTED",IF(I11="NO","CAPA YET TO BE SUBMITTED",""))</f>
        <v>CAPA YET TO BE SUBMITTED</v>
      </c>
      <c r="L11" s="208">
        <f t="shared" si="0"/>
        <v>46434</v>
      </c>
      <c r="M11" s="210" t="s">
        <v>1759</v>
      </c>
    </row>
    <row r="12" spans="1:13" ht="265.14999999999998">
      <c r="A12" s="205">
        <f>ROW() - ROW(Table48[[#Headers],[S/N]])</f>
        <v>11</v>
      </c>
      <c r="B12" s="213" t="s">
        <v>1761</v>
      </c>
      <c r="C12" s="213" t="s">
        <v>1762</v>
      </c>
      <c r="D12" s="206">
        <v>8123173544</v>
      </c>
      <c r="E12" s="206" t="s">
        <v>1763</v>
      </c>
      <c r="F12" s="207">
        <v>46069</v>
      </c>
      <c r="G12" s="19" t="s">
        <v>1734</v>
      </c>
      <c r="H12" s="181">
        <v>46090</v>
      </c>
      <c r="I12" s="206" t="s">
        <v>28</v>
      </c>
      <c r="J12" s="206" t="str">
        <f>IF(I12="YES","CAPA VERIFICATION SHOULD BE SCHEDULED",IF(I12="NO","REMINDER LETTER SHOULD BE SENT",""))</f>
        <v>REMINDER LETTER SHOULD BE SENT</v>
      </c>
      <c r="K12" s="206" t="str">
        <f>IF(I12="YES","CAPA SUBMITTED",IF(I12="NO","CAPA YET TO BE SUBMITTED",""))</f>
        <v>CAPA YET TO BE SUBMITTED</v>
      </c>
      <c r="L12" s="208">
        <f t="shared" si="0"/>
        <v>46799</v>
      </c>
      <c r="M12" s="210" t="s">
        <v>1764</v>
      </c>
    </row>
    <row r="13" spans="1:13" ht="109.15">
      <c r="A13" s="205">
        <f>ROW() - ROW(Table48[[#Headers],[S/N]])</f>
        <v>12</v>
      </c>
      <c r="B13" s="182" t="s">
        <v>478</v>
      </c>
      <c r="C13" s="59" t="s">
        <v>1765</v>
      </c>
      <c r="D13" s="206">
        <v>8151312824</v>
      </c>
      <c r="E13" s="206" t="s">
        <v>1733</v>
      </c>
      <c r="F13" s="207">
        <v>46069</v>
      </c>
      <c r="G13" s="19" t="s">
        <v>1734</v>
      </c>
      <c r="H13" s="181" t="s">
        <v>188</v>
      </c>
      <c r="I13" s="19" t="s">
        <v>906</v>
      </c>
      <c r="J13" s="206" t="s">
        <v>743</v>
      </c>
      <c r="K13" s="206" t="s">
        <v>1361</v>
      </c>
      <c r="L13" s="208">
        <f t="shared" si="0"/>
        <v>46799</v>
      </c>
      <c r="M13" s="210" t="s">
        <v>1766</v>
      </c>
    </row>
    <row r="14" spans="1:13" ht="78">
      <c r="A14" s="205">
        <f>ROW() - ROW(Table48[[#Headers],[S/N]])</f>
        <v>13</v>
      </c>
      <c r="B14" s="182" t="s">
        <v>1767</v>
      </c>
      <c r="C14" s="59" t="s">
        <v>1768</v>
      </c>
      <c r="D14" s="206">
        <v>8034973192</v>
      </c>
      <c r="E14" s="206" t="s">
        <v>1733</v>
      </c>
      <c r="F14" s="207">
        <v>46069</v>
      </c>
      <c r="G14" s="19" t="s">
        <v>1742</v>
      </c>
      <c r="H14" s="181"/>
      <c r="I14" s="206"/>
      <c r="J14" s="206" t="str">
        <f>IF(I14="YES","CAPA VERIFICATION SHOULD BE SCHEDULED",IF(I14="NO","REMINDER LETTER SHOULD BE SENT",""))</f>
        <v/>
      </c>
      <c r="K14" s="206" t="str">
        <f>IF(I14="YES","CAPA SUBMITTED",IF(I14="NO","CAPA YET TO BE SUBMITTED",""))</f>
        <v/>
      </c>
      <c r="L14" s="208">
        <f t="shared" si="0"/>
        <v>46250</v>
      </c>
      <c r="M14" s="210" t="s">
        <v>1769</v>
      </c>
    </row>
    <row r="15" spans="1:13" ht="202.9">
      <c r="A15" s="205">
        <f>ROW() - ROW(Table48[[#Headers],[S/N]])</f>
        <v>14</v>
      </c>
      <c r="B15" s="182" t="s">
        <v>1770</v>
      </c>
      <c r="C15" s="59" t="s">
        <v>1771</v>
      </c>
      <c r="D15" s="206">
        <v>9045568856</v>
      </c>
      <c r="E15" s="206" t="s">
        <v>1733</v>
      </c>
      <c r="F15" s="207">
        <v>46070</v>
      </c>
      <c r="G15" s="181" t="s">
        <v>188</v>
      </c>
      <c r="H15" s="184" t="s">
        <v>1772</v>
      </c>
      <c r="I15" s="206" t="s">
        <v>188</v>
      </c>
      <c r="J15" s="206" t="s">
        <v>1773</v>
      </c>
      <c r="K15" s="206" t="s">
        <v>1361</v>
      </c>
      <c r="L15" s="208" t="s">
        <v>188</v>
      </c>
      <c r="M15" s="210" t="s">
        <v>1770</v>
      </c>
    </row>
    <row r="16" spans="1:13" ht="124.9">
      <c r="A16" s="205">
        <f>ROW() - ROW(Table48[[#Headers],[S/N]])</f>
        <v>15</v>
      </c>
      <c r="B16" s="182" t="s">
        <v>1774</v>
      </c>
      <c r="C16" s="59" t="s">
        <v>1775</v>
      </c>
      <c r="D16" s="206" t="s">
        <v>1776</v>
      </c>
      <c r="E16" s="206" t="s">
        <v>1733</v>
      </c>
      <c r="F16" s="207">
        <v>46070</v>
      </c>
      <c r="G16" s="19" t="s">
        <v>1742</v>
      </c>
      <c r="H16" s="184" t="s">
        <v>1772</v>
      </c>
      <c r="I16" s="206"/>
      <c r="J16" s="206" t="str">
        <f>IF(I16="YES","CAPA VERIFICATION SHOULD BE SCHEDULED",IF(I16="NO","REMINDER LETTER SHOULD BE SENT",""))</f>
        <v/>
      </c>
      <c r="K16" s="206" t="str">
        <f>IF(I16="YES","CAPA SUBMITTED",IF(I16="NO","CAPA YET TO BE SUBMITTED",""))</f>
        <v/>
      </c>
      <c r="L16" s="208">
        <f>IF(G16="Low Risk (A)",EDATE(F16,24),
IF(G16="Medium Risk(B)",EDATE(F16,12),
IF(G16="High Risk(C)",EDATE(F16,6),"")))</f>
        <v>46251</v>
      </c>
      <c r="M16" s="210" t="s">
        <v>1777</v>
      </c>
    </row>
    <row r="17" spans="1:13" ht="140.44999999999999">
      <c r="A17" s="205">
        <f>ROW() - ROW(Table48[[#Headers],[S/N]])</f>
        <v>16</v>
      </c>
      <c r="B17" s="183" t="s">
        <v>1778</v>
      </c>
      <c r="C17" s="61" t="s">
        <v>1779</v>
      </c>
      <c r="D17" s="206">
        <v>7018687107</v>
      </c>
      <c r="E17" s="206" t="s">
        <v>1733</v>
      </c>
      <c r="F17" s="207">
        <v>46070</v>
      </c>
      <c r="G17" s="181" t="s">
        <v>188</v>
      </c>
      <c r="H17" s="184" t="s">
        <v>1772</v>
      </c>
      <c r="I17" s="206" t="s">
        <v>188</v>
      </c>
      <c r="J17" s="206" t="s">
        <v>1773</v>
      </c>
      <c r="K17" s="206" t="s">
        <v>1361</v>
      </c>
      <c r="L17" s="208" t="s">
        <v>188</v>
      </c>
      <c r="M17" s="210" t="s">
        <v>1778</v>
      </c>
    </row>
    <row r="18" spans="1:13" ht="109.15">
      <c r="A18" s="205">
        <f>ROW() - ROW(Table48[[#Headers],[S/N]])</f>
        <v>17</v>
      </c>
      <c r="B18" s="182" t="s">
        <v>1780</v>
      </c>
      <c r="C18" s="59" t="s">
        <v>1781</v>
      </c>
      <c r="D18" s="206">
        <v>8167258446</v>
      </c>
      <c r="E18" s="206" t="s">
        <v>1733</v>
      </c>
      <c r="F18" s="207">
        <v>46070</v>
      </c>
      <c r="G18" s="19" t="s">
        <v>1738</v>
      </c>
      <c r="H18" s="181"/>
      <c r="I18" s="206"/>
      <c r="J18" s="206" t="str">
        <f>IF(I18="YES","CAPA VERIFICATION SHOULD BE SCHEDULED",IF(I18="NO","REMINDER LETTER SHOULD BE SENT",""))</f>
        <v/>
      </c>
      <c r="K18" s="206" t="str">
        <f>IF(I18="YES","CAPA SUBMITTED",IF(I18="NO","CAPA YET TO BE SUBMITTED",""))</f>
        <v/>
      </c>
      <c r="L18" s="208">
        <f t="shared" ref="L18:L81" si="1">IF(G18="Low Risk (A)",EDATE(F18,24),
IF(G18="Medium Risk(B)",EDATE(F18,12),
IF(G18="High Risk(C)",EDATE(F18,6),"")))</f>
        <v>46435</v>
      </c>
      <c r="M18" s="210" t="s">
        <v>1782</v>
      </c>
    </row>
    <row r="19" spans="1:13" ht="109.15">
      <c r="A19" s="205">
        <f>ROW() - ROW(Table48[[#Headers],[S/N]])</f>
        <v>18</v>
      </c>
      <c r="B19" s="182" t="s">
        <v>1474</v>
      </c>
      <c r="C19" s="59" t="s">
        <v>1783</v>
      </c>
      <c r="D19" s="206">
        <v>8054090612</v>
      </c>
      <c r="E19" s="206" t="s">
        <v>1733</v>
      </c>
      <c r="F19" s="207">
        <v>46071</v>
      </c>
      <c r="G19" s="19" t="s">
        <v>1734</v>
      </c>
      <c r="H19" s="181" t="s">
        <v>188</v>
      </c>
      <c r="I19" s="19" t="s">
        <v>906</v>
      </c>
      <c r="J19" s="206" t="s">
        <v>743</v>
      </c>
      <c r="K19" s="206" t="s">
        <v>1361</v>
      </c>
      <c r="L19" s="208">
        <f t="shared" si="1"/>
        <v>46801</v>
      </c>
      <c r="M19" s="210" t="s">
        <v>1784</v>
      </c>
    </row>
    <row r="20" spans="1:13" ht="109.15">
      <c r="A20" s="205">
        <f>ROW() - ROW(Table48[[#Headers],[S/N]])</f>
        <v>19</v>
      </c>
      <c r="B20" s="183" t="s">
        <v>266</v>
      </c>
      <c r="C20" s="61" t="s">
        <v>1785</v>
      </c>
      <c r="D20" s="206">
        <v>8067371578</v>
      </c>
      <c r="E20" s="206" t="s">
        <v>1733</v>
      </c>
      <c r="F20" s="207">
        <v>46071</v>
      </c>
      <c r="G20" s="19" t="s">
        <v>1734</v>
      </c>
      <c r="H20" s="181" t="s">
        <v>188</v>
      </c>
      <c r="I20" s="19" t="s">
        <v>906</v>
      </c>
      <c r="J20" s="206" t="s">
        <v>743</v>
      </c>
      <c r="K20" s="206" t="s">
        <v>1361</v>
      </c>
      <c r="L20" s="208">
        <f t="shared" si="1"/>
        <v>46801</v>
      </c>
      <c r="M20" s="210" t="s">
        <v>1786</v>
      </c>
    </row>
    <row r="21" spans="1:13" ht="93.6">
      <c r="A21" s="205">
        <f>ROW() - ROW(Table48[[#Headers],[S/N]])</f>
        <v>20</v>
      </c>
      <c r="B21" s="215" t="s">
        <v>377</v>
      </c>
      <c r="C21" s="59" t="s">
        <v>1787</v>
      </c>
      <c r="D21" s="206">
        <v>8039204856</v>
      </c>
      <c r="E21" s="206" t="s">
        <v>1733</v>
      </c>
      <c r="F21" s="207">
        <v>46071</v>
      </c>
      <c r="G21" s="19" t="s">
        <v>1738</v>
      </c>
      <c r="H21" s="181"/>
      <c r="I21" s="206"/>
      <c r="J21" s="206" t="str">
        <f>IF(I21="YES","CAPA VERIFICATION SHOULD BE SCHEDULED",IF(I21="NO","REMINDER LETTER SHOULD BE SENT",""))</f>
        <v/>
      </c>
      <c r="K21" s="206" t="str">
        <f>IF(I21="YES","CAPA SUBMITTED",IF(I21="NO","CAPA YET TO BE SUBMITTED",""))</f>
        <v/>
      </c>
      <c r="L21" s="208">
        <f t="shared" si="1"/>
        <v>46436</v>
      </c>
      <c r="M21" s="210" t="s">
        <v>377</v>
      </c>
    </row>
    <row r="22" spans="1:13" ht="187.15">
      <c r="A22" s="205">
        <f>ROW() - ROW(Table48[[#Headers],[S/N]])</f>
        <v>21</v>
      </c>
      <c r="B22" s="183" t="s">
        <v>1788</v>
      </c>
      <c r="C22" s="59" t="s">
        <v>1789</v>
      </c>
      <c r="D22" s="206">
        <v>8069568448</v>
      </c>
      <c r="E22" s="206" t="s">
        <v>1733</v>
      </c>
      <c r="F22" s="207">
        <v>46071</v>
      </c>
      <c r="G22" s="19" t="s">
        <v>1738</v>
      </c>
      <c r="H22" s="181"/>
      <c r="I22" s="206"/>
      <c r="J22" s="206" t="str">
        <f>IF(I22="YES","CAPA VERIFICATION SHOULD BE SCHEDULED",IF(I22="NO","REMINDER LETTER SHOULD BE SENT",""))</f>
        <v/>
      </c>
      <c r="K22" s="206" t="str">
        <f>IF(I22="YES","CAPA SUBMITTED",IF(I22="NO","CAPA YET TO BE SUBMITTED",""))</f>
        <v/>
      </c>
      <c r="L22" s="208">
        <f t="shared" si="1"/>
        <v>46436</v>
      </c>
      <c r="M22" s="210" t="s">
        <v>1790</v>
      </c>
    </row>
    <row r="23" spans="1:13" ht="124.9">
      <c r="A23" s="205">
        <f>ROW() - ROW(Table48[[#Headers],[S/N]])</f>
        <v>22</v>
      </c>
      <c r="B23" s="182" t="s">
        <v>1791</v>
      </c>
      <c r="C23" s="59" t="s">
        <v>1792</v>
      </c>
      <c r="D23" s="206">
        <v>8057930829</v>
      </c>
      <c r="E23" s="206" t="s">
        <v>1733</v>
      </c>
      <c r="F23" s="207">
        <v>46071</v>
      </c>
      <c r="G23" s="19" t="s">
        <v>1734</v>
      </c>
      <c r="H23" s="181" t="s">
        <v>188</v>
      </c>
      <c r="I23" s="19" t="s">
        <v>906</v>
      </c>
      <c r="J23" s="206" t="s">
        <v>743</v>
      </c>
      <c r="K23" s="206" t="s">
        <v>1361</v>
      </c>
      <c r="L23" s="208">
        <f t="shared" si="1"/>
        <v>46801</v>
      </c>
      <c r="M23" s="210" t="s">
        <v>1793</v>
      </c>
    </row>
    <row r="24" spans="1:13" ht="15.6">
      <c r="A24" s="205">
        <f>ROW() - ROW(Table48[[#Headers],[S/N]])</f>
        <v>23</v>
      </c>
      <c r="B24" s="185"/>
      <c r="C24" s="63"/>
      <c r="D24" s="205"/>
      <c r="E24" s="205"/>
      <c r="F24" s="216"/>
      <c r="G24" s="28"/>
      <c r="H24" s="186"/>
      <c r="I24" s="205"/>
      <c r="J24" s="205" t="str">
        <f t="shared" ref="J24:J87" si="2">IF(I24="YES","CAPA VERIFICATION SHOULD BE SCHEDULED",IF(I24="NO","REMINDER LETTER SHOULD BE SENT",""))</f>
        <v/>
      </c>
      <c r="K24" s="205" t="str">
        <f t="shared" ref="K24:K87" si="3">IF(I24="YES","CAPA SUBMITTED",IF(I24="NO","CAPA YET TO BE SUBMITTED",""))</f>
        <v/>
      </c>
      <c r="L24" s="217" t="str">
        <f t="shared" si="1"/>
        <v/>
      </c>
      <c r="M24" s="218"/>
    </row>
    <row r="25" spans="1:13" ht="15.6">
      <c r="A25" s="205">
        <f>ROW() - ROW(Table48[[#Headers],[S/N]])</f>
        <v>24</v>
      </c>
      <c r="B25" s="187"/>
      <c r="C25" s="205"/>
      <c r="D25" s="205"/>
      <c r="E25" s="205"/>
      <c r="F25" s="216"/>
      <c r="G25" s="28"/>
      <c r="H25" s="186"/>
      <c r="I25" s="205"/>
      <c r="J25" s="205" t="str">
        <f t="shared" si="2"/>
        <v/>
      </c>
      <c r="K25" s="205" t="str">
        <f t="shared" si="3"/>
        <v/>
      </c>
      <c r="L25" s="217" t="str">
        <f t="shared" si="1"/>
        <v/>
      </c>
      <c r="M25" s="218"/>
    </row>
    <row r="26" spans="1:13" ht="15.6">
      <c r="A26" s="205">
        <f>ROW() - ROW(Table48[[#Headers],[S/N]])</f>
        <v>25</v>
      </c>
      <c r="B26" s="185"/>
      <c r="C26" s="188"/>
      <c r="D26" s="205"/>
      <c r="E26" s="205"/>
      <c r="F26" s="216"/>
      <c r="G26" s="28"/>
      <c r="H26" s="186"/>
      <c r="I26" s="205"/>
      <c r="J26" s="205" t="str">
        <f t="shared" si="2"/>
        <v/>
      </c>
      <c r="K26" s="205" t="str">
        <f t="shared" si="3"/>
        <v/>
      </c>
      <c r="L26" s="217" t="str">
        <f t="shared" si="1"/>
        <v/>
      </c>
      <c r="M26" s="218"/>
    </row>
    <row r="27" spans="1:13" ht="15.6">
      <c r="A27" s="205">
        <f>ROW() - ROW(Table48[[#Headers],[S/N]])</f>
        <v>26</v>
      </c>
      <c r="B27" s="185"/>
      <c r="C27" s="188"/>
      <c r="D27" s="205"/>
      <c r="E27" s="205"/>
      <c r="F27" s="216"/>
      <c r="G27" s="28"/>
      <c r="H27" s="186"/>
      <c r="I27" s="205"/>
      <c r="J27" s="205" t="str">
        <f t="shared" si="2"/>
        <v/>
      </c>
      <c r="K27" s="205" t="str">
        <f t="shared" si="3"/>
        <v/>
      </c>
      <c r="L27" s="217" t="str">
        <f t="shared" si="1"/>
        <v/>
      </c>
      <c r="M27" s="218"/>
    </row>
    <row r="28" spans="1:13" ht="15.6">
      <c r="A28" s="205">
        <f>ROW() - ROW(Table48[[#Headers],[S/N]])</f>
        <v>27</v>
      </c>
      <c r="B28" s="187"/>
      <c r="C28" s="188"/>
      <c r="D28" s="205"/>
      <c r="E28" s="205"/>
      <c r="F28" s="216"/>
      <c r="G28" s="28"/>
      <c r="H28" s="186"/>
      <c r="I28" s="205"/>
      <c r="J28" s="205" t="str">
        <f t="shared" si="2"/>
        <v/>
      </c>
      <c r="K28" s="205" t="str">
        <f t="shared" si="3"/>
        <v/>
      </c>
      <c r="L28" s="217" t="str">
        <f t="shared" si="1"/>
        <v/>
      </c>
      <c r="M28" s="218"/>
    </row>
    <row r="29" spans="1:13" ht="15.6">
      <c r="A29" s="205">
        <f>ROW() - ROW(Table48[[#Headers],[S/N]])</f>
        <v>28</v>
      </c>
      <c r="B29" s="185"/>
      <c r="C29" s="188"/>
      <c r="D29" s="205"/>
      <c r="E29" s="205"/>
      <c r="F29" s="216"/>
      <c r="G29" s="28"/>
      <c r="H29" s="186"/>
      <c r="I29" s="205"/>
      <c r="J29" s="205" t="str">
        <f t="shared" si="2"/>
        <v/>
      </c>
      <c r="K29" s="205" t="str">
        <f t="shared" si="3"/>
        <v/>
      </c>
      <c r="L29" s="217" t="str">
        <f t="shared" si="1"/>
        <v/>
      </c>
      <c r="M29" s="218"/>
    </row>
    <row r="30" spans="1:13" ht="15.6">
      <c r="A30" s="205">
        <f>ROW() - ROW(Table48[[#Headers],[S/N]])</f>
        <v>29</v>
      </c>
      <c r="B30" s="187"/>
      <c r="C30" s="188"/>
      <c r="D30" s="205"/>
      <c r="E30" s="205"/>
      <c r="F30" s="216"/>
      <c r="G30" s="28"/>
      <c r="H30" s="186"/>
      <c r="I30" s="205"/>
      <c r="J30" s="205" t="str">
        <f t="shared" si="2"/>
        <v/>
      </c>
      <c r="K30" s="205" t="str">
        <f t="shared" si="3"/>
        <v/>
      </c>
      <c r="L30" s="217" t="str">
        <f t="shared" si="1"/>
        <v/>
      </c>
      <c r="M30" s="218"/>
    </row>
    <row r="31" spans="1:13" ht="15.6">
      <c r="A31" s="205">
        <f>ROW() - ROW(Table48[[#Headers],[S/N]])</f>
        <v>30</v>
      </c>
      <c r="B31" s="187"/>
      <c r="C31" s="188"/>
      <c r="D31" s="205"/>
      <c r="E31" s="205"/>
      <c r="F31" s="216"/>
      <c r="G31" s="28"/>
      <c r="H31" s="186"/>
      <c r="I31" s="205"/>
      <c r="J31" s="205" t="str">
        <f t="shared" si="2"/>
        <v/>
      </c>
      <c r="K31" s="205" t="str">
        <f t="shared" si="3"/>
        <v/>
      </c>
      <c r="L31" s="217" t="str">
        <f t="shared" si="1"/>
        <v/>
      </c>
      <c r="M31" s="218"/>
    </row>
    <row r="32" spans="1:13" ht="15.6">
      <c r="A32" s="205">
        <f>ROW() - ROW(Table48[[#Headers],[S/N]])</f>
        <v>31</v>
      </c>
      <c r="B32" s="219"/>
      <c r="C32" s="188"/>
      <c r="D32" s="188"/>
      <c r="E32" s="205"/>
      <c r="F32" s="216"/>
      <c r="G32" s="28"/>
      <c r="H32" s="186"/>
      <c r="I32" s="205"/>
      <c r="J32" s="205" t="str">
        <f t="shared" si="2"/>
        <v/>
      </c>
      <c r="K32" s="205" t="str">
        <f t="shared" si="3"/>
        <v/>
      </c>
      <c r="L32" s="217" t="str">
        <f t="shared" si="1"/>
        <v/>
      </c>
      <c r="M32" s="218"/>
    </row>
    <row r="33" spans="1:13" ht="15.6">
      <c r="A33" s="205">
        <f>ROW() - ROW(Table48[[#Headers],[S/N]])</f>
        <v>32</v>
      </c>
      <c r="B33" s="219"/>
      <c r="C33" s="188"/>
      <c r="D33" s="205"/>
      <c r="E33" s="205"/>
      <c r="F33" s="216"/>
      <c r="G33" s="28"/>
      <c r="H33" s="186"/>
      <c r="I33" s="205"/>
      <c r="J33" s="205" t="str">
        <f t="shared" si="2"/>
        <v/>
      </c>
      <c r="K33" s="205" t="str">
        <f t="shared" si="3"/>
        <v/>
      </c>
      <c r="L33" s="217" t="str">
        <f t="shared" si="1"/>
        <v/>
      </c>
      <c r="M33" s="218"/>
    </row>
    <row r="34" spans="1:13" ht="15.6">
      <c r="A34" s="205">
        <f>ROW() - ROW(Table48[[#Headers],[S/N]])</f>
        <v>33</v>
      </c>
      <c r="B34" s="219"/>
      <c r="C34" s="188"/>
      <c r="D34" s="205"/>
      <c r="E34" s="205"/>
      <c r="F34" s="216"/>
      <c r="G34" s="28"/>
      <c r="H34" s="186"/>
      <c r="I34" s="205"/>
      <c r="J34" s="205" t="str">
        <f t="shared" si="2"/>
        <v/>
      </c>
      <c r="K34" s="205" t="str">
        <f t="shared" si="3"/>
        <v/>
      </c>
      <c r="L34" s="217" t="str">
        <f t="shared" si="1"/>
        <v/>
      </c>
      <c r="M34" s="218"/>
    </row>
    <row r="35" spans="1:13" ht="15.6">
      <c r="A35" s="205">
        <f>ROW() - ROW(Table48[[#Headers],[S/N]])</f>
        <v>34</v>
      </c>
      <c r="B35" s="219"/>
      <c r="C35" s="188"/>
      <c r="D35" s="205"/>
      <c r="E35" s="205"/>
      <c r="F35" s="216"/>
      <c r="G35" s="28"/>
      <c r="H35" s="186"/>
      <c r="I35" s="205"/>
      <c r="J35" s="205" t="str">
        <f t="shared" si="2"/>
        <v/>
      </c>
      <c r="K35" s="205" t="str">
        <f t="shared" si="3"/>
        <v/>
      </c>
      <c r="L35" s="217" t="str">
        <f t="shared" si="1"/>
        <v/>
      </c>
      <c r="M35" s="218"/>
    </row>
    <row r="36" spans="1:13" ht="15.6">
      <c r="A36" s="205">
        <f>ROW() - ROW(Table48[[#Headers],[S/N]])</f>
        <v>35</v>
      </c>
      <c r="B36" s="185"/>
      <c r="C36" s="188"/>
      <c r="D36" s="205"/>
      <c r="E36" s="205"/>
      <c r="F36" s="216"/>
      <c r="G36" s="28"/>
      <c r="H36" s="186"/>
      <c r="I36" s="205"/>
      <c r="J36" s="205" t="str">
        <f t="shared" si="2"/>
        <v/>
      </c>
      <c r="K36" s="205" t="str">
        <f t="shared" si="3"/>
        <v/>
      </c>
      <c r="L36" s="217" t="str">
        <f t="shared" si="1"/>
        <v/>
      </c>
      <c r="M36" s="218"/>
    </row>
    <row r="37" spans="1:13" ht="15.6">
      <c r="A37" s="205">
        <f>ROW() - ROW(Table48[[#Headers],[S/N]])</f>
        <v>36</v>
      </c>
      <c r="B37" s="185"/>
      <c r="C37" s="188"/>
      <c r="D37" s="205"/>
      <c r="E37" s="205"/>
      <c r="F37" s="216"/>
      <c r="G37" s="28"/>
      <c r="H37" s="186"/>
      <c r="I37" s="205"/>
      <c r="J37" s="205" t="str">
        <f t="shared" si="2"/>
        <v/>
      </c>
      <c r="K37" s="205" t="str">
        <f t="shared" si="3"/>
        <v/>
      </c>
      <c r="L37" s="217" t="str">
        <f t="shared" si="1"/>
        <v/>
      </c>
      <c r="M37" s="218"/>
    </row>
    <row r="38" spans="1:13" ht="15.6">
      <c r="A38" s="205">
        <f>ROW() - ROW(Table48[[#Headers],[S/N]])</f>
        <v>37</v>
      </c>
      <c r="B38" s="187"/>
      <c r="C38" s="188"/>
      <c r="D38" s="205"/>
      <c r="E38" s="205"/>
      <c r="F38" s="216"/>
      <c r="G38" s="28"/>
      <c r="H38" s="186"/>
      <c r="I38" s="205"/>
      <c r="J38" s="205" t="str">
        <f t="shared" si="2"/>
        <v/>
      </c>
      <c r="K38" s="205" t="str">
        <f t="shared" si="3"/>
        <v/>
      </c>
      <c r="L38" s="217" t="str">
        <f t="shared" si="1"/>
        <v/>
      </c>
      <c r="M38" s="218"/>
    </row>
    <row r="39" spans="1:13" ht="15.6">
      <c r="A39" s="205">
        <f>ROW() - ROW(Table48[[#Headers],[S/N]])</f>
        <v>38</v>
      </c>
      <c r="B39" s="187"/>
      <c r="C39" s="188"/>
      <c r="D39" s="205"/>
      <c r="E39" s="205"/>
      <c r="F39" s="216"/>
      <c r="G39" s="28"/>
      <c r="H39" s="186"/>
      <c r="I39" s="205"/>
      <c r="J39" s="205" t="str">
        <f t="shared" si="2"/>
        <v/>
      </c>
      <c r="K39" s="205" t="str">
        <f t="shared" si="3"/>
        <v/>
      </c>
      <c r="L39" s="217" t="str">
        <f t="shared" si="1"/>
        <v/>
      </c>
      <c r="M39" s="218"/>
    </row>
    <row r="40" spans="1:13" ht="15.6">
      <c r="A40" s="205">
        <f>ROW() - ROW(Table48[[#Headers],[S/N]])</f>
        <v>39</v>
      </c>
      <c r="B40" s="187"/>
      <c r="C40" s="188"/>
      <c r="D40" s="205"/>
      <c r="E40" s="205"/>
      <c r="F40" s="216"/>
      <c r="G40" s="28"/>
      <c r="H40" s="186"/>
      <c r="I40" s="205"/>
      <c r="J40" s="205" t="str">
        <f t="shared" si="2"/>
        <v/>
      </c>
      <c r="K40" s="205" t="str">
        <f t="shared" si="3"/>
        <v/>
      </c>
      <c r="L40" s="217" t="str">
        <f t="shared" si="1"/>
        <v/>
      </c>
      <c r="M40" s="218"/>
    </row>
    <row r="41" spans="1:13" ht="15.6">
      <c r="A41" s="205">
        <f>ROW() - ROW(Table48[[#Headers],[S/N]])</f>
        <v>40</v>
      </c>
      <c r="B41" s="187"/>
      <c r="C41" s="188"/>
      <c r="D41" s="205"/>
      <c r="E41" s="205"/>
      <c r="F41" s="216"/>
      <c r="G41" s="28"/>
      <c r="H41" s="186"/>
      <c r="I41" s="205"/>
      <c r="J41" s="205" t="str">
        <f t="shared" si="2"/>
        <v/>
      </c>
      <c r="K41" s="205" t="str">
        <f t="shared" si="3"/>
        <v/>
      </c>
      <c r="L41" s="217" t="str">
        <f t="shared" si="1"/>
        <v/>
      </c>
      <c r="M41" s="218"/>
    </row>
    <row r="42" spans="1:13" ht="15.6">
      <c r="A42" s="205">
        <f>ROW() - ROW(Table48[[#Headers],[S/N]])</f>
        <v>41</v>
      </c>
      <c r="B42" s="187"/>
      <c r="C42" s="188"/>
      <c r="D42" s="205"/>
      <c r="E42" s="205"/>
      <c r="F42" s="216"/>
      <c r="G42" s="28"/>
      <c r="H42" s="186"/>
      <c r="I42" s="205"/>
      <c r="J42" s="205" t="str">
        <f t="shared" si="2"/>
        <v/>
      </c>
      <c r="K42" s="205" t="str">
        <f t="shared" si="3"/>
        <v/>
      </c>
      <c r="L42" s="217" t="str">
        <f t="shared" si="1"/>
        <v/>
      </c>
      <c r="M42" s="218"/>
    </row>
    <row r="43" spans="1:13" ht="15.6">
      <c r="A43" s="205">
        <f>ROW() - ROW(Table48[[#Headers],[S/N]])</f>
        <v>42</v>
      </c>
      <c r="B43" s="187"/>
      <c r="C43" s="188"/>
      <c r="D43" s="205"/>
      <c r="E43" s="205"/>
      <c r="F43" s="216"/>
      <c r="G43" s="28"/>
      <c r="H43" s="186"/>
      <c r="I43" s="205"/>
      <c r="J43" s="205" t="str">
        <f t="shared" si="2"/>
        <v/>
      </c>
      <c r="K43" s="205" t="str">
        <f t="shared" si="3"/>
        <v/>
      </c>
      <c r="L43" s="217" t="str">
        <f t="shared" si="1"/>
        <v/>
      </c>
      <c r="M43" s="218"/>
    </row>
    <row r="44" spans="1:13" ht="15.6">
      <c r="A44" s="205">
        <f>ROW() - ROW(Table48[[#Headers],[S/N]])</f>
        <v>43</v>
      </c>
      <c r="B44" s="185"/>
      <c r="C44" s="188"/>
      <c r="D44" s="205"/>
      <c r="E44" s="205"/>
      <c r="F44" s="216"/>
      <c r="G44" s="28"/>
      <c r="H44" s="186"/>
      <c r="I44" s="205"/>
      <c r="J44" s="205" t="str">
        <f t="shared" si="2"/>
        <v/>
      </c>
      <c r="K44" s="205" t="str">
        <f t="shared" si="3"/>
        <v/>
      </c>
      <c r="L44" s="217" t="str">
        <f t="shared" si="1"/>
        <v/>
      </c>
      <c r="M44" s="218"/>
    </row>
    <row r="45" spans="1:13">
      <c r="A45" s="205">
        <f>ROW() - ROW(Table48[[#Headers],[S/N]])</f>
        <v>44</v>
      </c>
      <c r="B45" s="189"/>
      <c r="C45" s="205"/>
      <c r="D45" s="205"/>
      <c r="E45" s="205"/>
      <c r="F45" s="216"/>
      <c r="G45" s="28"/>
      <c r="H45" s="186"/>
      <c r="I45" s="205"/>
      <c r="J45" s="205" t="str">
        <f t="shared" si="2"/>
        <v/>
      </c>
      <c r="K45" s="205" t="str">
        <f t="shared" si="3"/>
        <v/>
      </c>
      <c r="L45" s="217" t="str">
        <f t="shared" si="1"/>
        <v/>
      </c>
      <c r="M45" s="218"/>
    </row>
    <row r="46" spans="1:13">
      <c r="A46" s="205">
        <f>ROW() - ROW(Table48[[#Headers],[S/N]])</f>
        <v>45</v>
      </c>
      <c r="B46" s="189"/>
      <c r="C46" s="205"/>
      <c r="D46" s="205"/>
      <c r="E46" s="205"/>
      <c r="F46" s="216"/>
      <c r="G46" s="28"/>
      <c r="H46" s="186"/>
      <c r="I46" s="205"/>
      <c r="J46" s="205" t="str">
        <f t="shared" si="2"/>
        <v/>
      </c>
      <c r="K46" s="205" t="str">
        <f t="shared" si="3"/>
        <v/>
      </c>
      <c r="L46" s="217" t="str">
        <f t="shared" si="1"/>
        <v/>
      </c>
      <c r="M46" s="218"/>
    </row>
    <row r="47" spans="1:13">
      <c r="A47" s="205">
        <f>ROW() - ROW(Table48[[#Headers],[S/N]])</f>
        <v>46</v>
      </c>
      <c r="B47" s="219"/>
      <c r="C47" s="205"/>
      <c r="D47" s="205"/>
      <c r="E47" s="205"/>
      <c r="F47" s="216"/>
      <c r="G47" s="28"/>
      <c r="H47" s="186"/>
      <c r="I47" s="205"/>
      <c r="J47" s="205" t="str">
        <f t="shared" si="2"/>
        <v/>
      </c>
      <c r="K47" s="205" t="str">
        <f t="shared" si="3"/>
        <v/>
      </c>
      <c r="L47" s="217" t="str">
        <f t="shared" si="1"/>
        <v/>
      </c>
      <c r="M47" s="218"/>
    </row>
    <row r="48" spans="1:13">
      <c r="A48" s="205">
        <f>ROW() - ROW(Table48[[#Headers],[S/N]])</f>
        <v>47</v>
      </c>
      <c r="B48" s="189"/>
      <c r="C48" s="205"/>
      <c r="D48" s="205"/>
      <c r="E48" s="205"/>
      <c r="F48" s="216"/>
      <c r="G48" s="28"/>
      <c r="H48" s="220"/>
      <c r="I48" s="205"/>
      <c r="J48" s="205" t="str">
        <f t="shared" si="2"/>
        <v/>
      </c>
      <c r="K48" s="205" t="str">
        <f t="shared" si="3"/>
        <v/>
      </c>
      <c r="L48" s="217" t="str">
        <f t="shared" si="1"/>
        <v/>
      </c>
      <c r="M48" s="218"/>
    </row>
    <row r="49" spans="1:13">
      <c r="A49" s="205">
        <f>ROW() - ROW(Table48[[#Headers],[S/N]])</f>
        <v>48</v>
      </c>
      <c r="B49" s="189"/>
      <c r="C49" s="205"/>
      <c r="D49" s="205"/>
      <c r="E49" s="205"/>
      <c r="F49" s="216"/>
      <c r="G49" s="28"/>
      <c r="H49" s="186"/>
      <c r="I49" s="205"/>
      <c r="J49" s="205" t="str">
        <f t="shared" si="2"/>
        <v/>
      </c>
      <c r="K49" s="205" t="str">
        <f t="shared" si="3"/>
        <v/>
      </c>
      <c r="L49" s="217" t="str">
        <f t="shared" si="1"/>
        <v/>
      </c>
      <c r="M49" s="218"/>
    </row>
    <row r="50" spans="1:13">
      <c r="A50" s="205">
        <f>ROW() - ROW(Table48[[#Headers],[S/N]])</f>
        <v>49</v>
      </c>
      <c r="B50" s="189"/>
      <c r="C50" s="205"/>
      <c r="D50" s="205"/>
      <c r="E50" s="205"/>
      <c r="F50" s="216"/>
      <c r="G50" s="28"/>
      <c r="H50" s="186"/>
      <c r="I50" s="205"/>
      <c r="J50" s="205" t="str">
        <f t="shared" si="2"/>
        <v/>
      </c>
      <c r="K50" s="205" t="str">
        <f t="shared" si="3"/>
        <v/>
      </c>
      <c r="L50" s="217" t="str">
        <f t="shared" si="1"/>
        <v/>
      </c>
      <c r="M50" s="218"/>
    </row>
    <row r="51" spans="1:13">
      <c r="A51" s="205">
        <f>ROW() - ROW(Table48[[#Headers],[S/N]])</f>
        <v>50</v>
      </c>
      <c r="B51" s="189"/>
      <c r="C51" s="205"/>
      <c r="D51" s="205"/>
      <c r="E51" s="205"/>
      <c r="F51" s="216"/>
      <c r="G51" s="28"/>
      <c r="H51" s="186"/>
      <c r="I51" s="205"/>
      <c r="J51" s="205" t="str">
        <f t="shared" si="2"/>
        <v/>
      </c>
      <c r="K51" s="205" t="str">
        <f t="shared" si="3"/>
        <v/>
      </c>
      <c r="L51" s="217" t="str">
        <f t="shared" si="1"/>
        <v/>
      </c>
      <c r="M51" s="218"/>
    </row>
    <row r="52" spans="1:13">
      <c r="A52" s="205">
        <f>ROW() - ROW(Table48[[#Headers],[S/N]])</f>
        <v>51</v>
      </c>
      <c r="B52" s="189"/>
      <c r="C52" s="205"/>
      <c r="D52" s="205"/>
      <c r="E52" s="205"/>
      <c r="F52" s="216"/>
      <c r="G52" s="28"/>
      <c r="H52" s="186"/>
      <c r="I52" s="205"/>
      <c r="J52" s="205" t="str">
        <f t="shared" si="2"/>
        <v/>
      </c>
      <c r="K52" s="205" t="str">
        <f t="shared" si="3"/>
        <v/>
      </c>
      <c r="L52" s="217" t="str">
        <f t="shared" si="1"/>
        <v/>
      </c>
      <c r="M52" s="218"/>
    </row>
    <row r="53" spans="1:13">
      <c r="A53" s="205">
        <f>ROW() - ROW(Table48[[#Headers],[S/N]])</f>
        <v>52</v>
      </c>
      <c r="B53" s="189"/>
      <c r="C53" s="205"/>
      <c r="D53" s="205"/>
      <c r="E53" s="205"/>
      <c r="F53" s="216"/>
      <c r="G53" s="28"/>
      <c r="H53" s="186"/>
      <c r="I53" s="205"/>
      <c r="J53" s="205" t="str">
        <f t="shared" si="2"/>
        <v/>
      </c>
      <c r="K53" s="205" t="str">
        <f t="shared" si="3"/>
        <v/>
      </c>
      <c r="L53" s="217" t="str">
        <f t="shared" si="1"/>
        <v/>
      </c>
      <c r="M53" s="218"/>
    </row>
    <row r="54" spans="1:13">
      <c r="A54" s="205">
        <f>ROW() - ROW(Table48[[#Headers],[S/N]])</f>
        <v>53</v>
      </c>
      <c r="B54" s="189"/>
      <c r="C54" s="205"/>
      <c r="D54" s="205"/>
      <c r="E54" s="205"/>
      <c r="F54" s="216"/>
      <c r="G54" s="28"/>
      <c r="H54" s="186"/>
      <c r="I54" s="205"/>
      <c r="J54" s="205" t="str">
        <f t="shared" si="2"/>
        <v/>
      </c>
      <c r="K54" s="205" t="str">
        <f t="shared" si="3"/>
        <v/>
      </c>
      <c r="L54" s="217" t="str">
        <f t="shared" si="1"/>
        <v/>
      </c>
      <c r="M54" s="218"/>
    </row>
    <row r="55" spans="1:13">
      <c r="A55" s="205">
        <f>ROW() - ROW(Table48[[#Headers],[S/N]])</f>
        <v>54</v>
      </c>
      <c r="B55" s="189"/>
      <c r="C55" s="205"/>
      <c r="D55" s="205"/>
      <c r="E55" s="205"/>
      <c r="F55" s="216"/>
      <c r="G55" s="28"/>
      <c r="H55" s="186"/>
      <c r="I55" s="205"/>
      <c r="J55" s="205" t="str">
        <f t="shared" si="2"/>
        <v/>
      </c>
      <c r="K55" s="205" t="str">
        <f t="shared" si="3"/>
        <v/>
      </c>
      <c r="L55" s="217" t="str">
        <f t="shared" si="1"/>
        <v/>
      </c>
      <c r="M55" s="218"/>
    </row>
    <row r="56" spans="1:13">
      <c r="A56" s="205">
        <f>ROW() - ROW(Table48[[#Headers],[S/N]])</f>
        <v>55</v>
      </c>
      <c r="B56" s="189"/>
      <c r="C56" s="205"/>
      <c r="D56" s="205"/>
      <c r="E56" s="205"/>
      <c r="F56" s="216"/>
      <c r="G56" s="28"/>
      <c r="H56" s="186"/>
      <c r="I56" s="205"/>
      <c r="J56" s="205" t="str">
        <f t="shared" si="2"/>
        <v/>
      </c>
      <c r="K56" s="205" t="str">
        <f t="shared" si="3"/>
        <v/>
      </c>
      <c r="L56" s="217" t="str">
        <f t="shared" si="1"/>
        <v/>
      </c>
      <c r="M56" s="218"/>
    </row>
    <row r="57" spans="1:13">
      <c r="A57" s="205">
        <f>ROW() - ROW(Table48[[#Headers],[S/N]])</f>
        <v>56</v>
      </c>
      <c r="B57" s="189"/>
      <c r="C57" s="205"/>
      <c r="D57" s="205"/>
      <c r="E57" s="205"/>
      <c r="F57" s="216"/>
      <c r="G57" s="28"/>
      <c r="H57" s="186"/>
      <c r="I57" s="205"/>
      <c r="J57" s="205" t="str">
        <f t="shared" si="2"/>
        <v/>
      </c>
      <c r="K57" s="205" t="str">
        <f t="shared" si="3"/>
        <v/>
      </c>
      <c r="L57" s="217" t="str">
        <f t="shared" si="1"/>
        <v/>
      </c>
      <c r="M57" s="218"/>
    </row>
    <row r="58" spans="1:13">
      <c r="A58" s="205">
        <f>ROW() - ROW(Table48[[#Headers],[S/N]])</f>
        <v>57</v>
      </c>
      <c r="B58" s="189"/>
      <c r="C58" s="205"/>
      <c r="D58" s="205"/>
      <c r="E58" s="205"/>
      <c r="F58" s="216"/>
      <c r="G58" s="28"/>
      <c r="H58" s="186"/>
      <c r="I58" s="205"/>
      <c r="J58" s="205" t="str">
        <f t="shared" si="2"/>
        <v/>
      </c>
      <c r="K58" s="205" t="str">
        <f t="shared" si="3"/>
        <v/>
      </c>
      <c r="L58" s="217" t="str">
        <f t="shared" si="1"/>
        <v/>
      </c>
      <c r="M58" s="218"/>
    </row>
    <row r="59" spans="1:13">
      <c r="A59" s="205">
        <f>ROW() - ROW(Table48[[#Headers],[S/N]])</f>
        <v>58</v>
      </c>
      <c r="B59" s="189"/>
      <c r="C59" s="205"/>
      <c r="D59" s="205"/>
      <c r="E59" s="205"/>
      <c r="F59" s="216"/>
      <c r="G59" s="28"/>
      <c r="H59" s="186"/>
      <c r="I59" s="205"/>
      <c r="J59" s="205" t="str">
        <f t="shared" si="2"/>
        <v/>
      </c>
      <c r="K59" s="205" t="str">
        <f t="shared" si="3"/>
        <v/>
      </c>
      <c r="L59" s="217" t="str">
        <f t="shared" si="1"/>
        <v/>
      </c>
      <c r="M59" s="218"/>
    </row>
    <row r="60" spans="1:13">
      <c r="A60" s="205">
        <f>ROW() - ROW(Table48[[#Headers],[S/N]])</f>
        <v>59</v>
      </c>
      <c r="B60" s="189"/>
      <c r="C60" s="205"/>
      <c r="D60" s="205"/>
      <c r="E60" s="205"/>
      <c r="F60" s="216"/>
      <c r="G60" s="28"/>
      <c r="H60" s="186"/>
      <c r="I60" s="205"/>
      <c r="J60" s="205" t="str">
        <f t="shared" si="2"/>
        <v/>
      </c>
      <c r="K60" s="205" t="str">
        <f t="shared" si="3"/>
        <v/>
      </c>
      <c r="L60" s="217" t="str">
        <f t="shared" si="1"/>
        <v/>
      </c>
      <c r="M60" s="218"/>
    </row>
    <row r="61" spans="1:13">
      <c r="A61" s="205">
        <f>ROW() - ROW(Table48[[#Headers],[S/N]])</f>
        <v>60</v>
      </c>
      <c r="B61" s="189"/>
      <c r="C61" s="205"/>
      <c r="D61" s="205"/>
      <c r="E61" s="205"/>
      <c r="F61" s="216"/>
      <c r="G61" s="28"/>
      <c r="H61" s="186"/>
      <c r="I61" s="205"/>
      <c r="J61" s="205" t="str">
        <f t="shared" si="2"/>
        <v/>
      </c>
      <c r="K61" s="205" t="str">
        <f t="shared" si="3"/>
        <v/>
      </c>
      <c r="L61" s="217" t="str">
        <f t="shared" si="1"/>
        <v/>
      </c>
      <c r="M61" s="218"/>
    </row>
    <row r="62" spans="1:13">
      <c r="A62" s="205">
        <f>ROW() - ROW(Table48[[#Headers],[S/N]])</f>
        <v>61</v>
      </c>
      <c r="B62" s="189"/>
      <c r="C62" s="205"/>
      <c r="D62" s="205"/>
      <c r="E62" s="205"/>
      <c r="F62" s="216"/>
      <c r="G62" s="28"/>
      <c r="H62" s="186"/>
      <c r="I62" s="205"/>
      <c r="J62" s="205" t="str">
        <f t="shared" si="2"/>
        <v/>
      </c>
      <c r="K62" s="205" t="str">
        <f t="shared" si="3"/>
        <v/>
      </c>
      <c r="L62" s="217" t="str">
        <f t="shared" si="1"/>
        <v/>
      </c>
      <c r="M62" s="218"/>
    </row>
    <row r="63" spans="1:13">
      <c r="A63" s="205">
        <f>ROW() - ROW(Table48[[#Headers],[S/N]])</f>
        <v>62</v>
      </c>
      <c r="B63" s="189"/>
      <c r="C63" s="205"/>
      <c r="D63" s="205"/>
      <c r="E63" s="205"/>
      <c r="F63" s="216"/>
      <c r="G63" s="28"/>
      <c r="H63" s="186"/>
      <c r="I63" s="205"/>
      <c r="J63" s="205" t="str">
        <f t="shared" si="2"/>
        <v/>
      </c>
      <c r="K63" s="205" t="str">
        <f t="shared" si="3"/>
        <v/>
      </c>
      <c r="L63" s="217" t="str">
        <f t="shared" si="1"/>
        <v/>
      </c>
      <c r="M63" s="218"/>
    </row>
    <row r="64" spans="1:13">
      <c r="A64" s="205">
        <f>ROW() - ROW(Table48[[#Headers],[S/N]])</f>
        <v>63</v>
      </c>
      <c r="B64" s="189"/>
      <c r="C64" s="205"/>
      <c r="D64" s="205"/>
      <c r="E64" s="205"/>
      <c r="F64" s="216"/>
      <c r="G64" s="28"/>
      <c r="H64" s="186"/>
      <c r="I64" s="205"/>
      <c r="J64" s="205" t="str">
        <f t="shared" si="2"/>
        <v/>
      </c>
      <c r="K64" s="205" t="str">
        <f t="shared" si="3"/>
        <v/>
      </c>
      <c r="L64" s="217" t="str">
        <f t="shared" si="1"/>
        <v/>
      </c>
      <c r="M64" s="218"/>
    </row>
    <row r="65" spans="1:13">
      <c r="A65" s="205">
        <f>ROW() - ROW(Table48[[#Headers],[S/N]])</f>
        <v>64</v>
      </c>
      <c r="B65" s="189"/>
      <c r="C65" s="205"/>
      <c r="D65" s="205"/>
      <c r="E65" s="205"/>
      <c r="F65" s="216"/>
      <c r="G65" s="28"/>
      <c r="H65" s="186"/>
      <c r="I65" s="205"/>
      <c r="J65" s="205" t="str">
        <f t="shared" si="2"/>
        <v/>
      </c>
      <c r="K65" s="205" t="str">
        <f t="shared" si="3"/>
        <v/>
      </c>
      <c r="L65" s="217" t="str">
        <f t="shared" si="1"/>
        <v/>
      </c>
      <c r="M65" s="218"/>
    </row>
    <row r="66" spans="1:13">
      <c r="A66" s="205">
        <f>ROW() - ROW(Table48[[#Headers],[S/N]])</f>
        <v>65</v>
      </c>
      <c r="B66" s="190"/>
      <c r="C66" s="205"/>
      <c r="D66" s="205"/>
      <c r="E66" s="205"/>
      <c r="F66" s="216"/>
      <c r="G66" s="28"/>
      <c r="H66" s="186"/>
      <c r="I66" s="205"/>
      <c r="J66" s="205" t="str">
        <f t="shared" si="2"/>
        <v/>
      </c>
      <c r="K66" s="205" t="str">
        <f t="shared" si="3"/>
        <v/>
      </c>
      <c r="L66" s="217" t="str">
        <f t="shared" si="1"/>
        <v/>
      </c>
      <c r="M66" s="218"/>
    </row>
    <row r="67" spans="1:13">
      <c r="A67" s="205">
        <f>ROW() - ROW(Table48[[#Headers],[S/N]])</f>
        <v>66</v>
      </c>
      <c r="B67" s="190"/>
      <c r="C67" s="205"/>
      <c r="D67" s="205"/>
      <c r="E67" s="205"/>
      <c r="F67" s="216"/>
      <c r="G67" s="28"/>
      <c r="H67" s="186"/>
      <c r="I67" s="205"/>
      <c r="J67" s="205" t="str">
        <f t="shared" si="2"/>
        <v/>
      </c>
      <c r="K67" s="205" t="str">
        <f t="shared" si="3"/>
        <v/>
      </c>
      <c r="L67" s="217" t="str">
        <f t="shared" si="1"/>
        <v/>
      </c>
      <c r="M67" s="218"/>
    </row>
    <row r="68" spans="1:13">
      <c r="A68" s="205">
        <f>ROW() - ROW(Table48[[#Headers],[S/N]])</f>
        <v>67</v>
      </c>
      <c r="B68" s="190"/>
      <c r="C68" s="205"/>
      <c r="D68" s="205"/>
      <c r="E68" s="205"/>
      <c r="F68" s="216"/>
      <c r="G68" s="28"/>
      <c r="H68" s="186"/>
      <c r="I68" s="205"/>
      <c r="J68" s="205" t="str">
        <f t="shared" si="2"/>
        <v/>
      </c>
      <c r="K68" s="205" t="str">
        <f t="shared" si="3"/>
        <v/>
      </c>
      <c r="L68" s="217" t="str">
        <f t="shared" si="1"/>
        <v/>
      </c>
      <c r="M68" s="218"/>
    </row>
    <row r="69" spans="1:13">
      <c r="A69" s="205">
        <f>ROW() - ROW(Table48[[#Headers],[S/N]])</f>
        <v>68</v>
      </c>
      <c r="B69" s="190"/>
      <c r="C69" s="205"/>
      <c r="D69" s="205"/>
      <c r="E69" s="205"/>
      <c r="F69" s="216"/>
      <c r="G69" s="28"/>
      <c r="H69" s="186"/>
      <c r="I69" s="205"/>
      <c r="J69" s="205" t="str">
        <f t="shared" si="2"/>
        <v/>
      </c>
      <c r="K69" s="205" t="str">
        <f t="shared" si="3"/>
        <v/>
      </c>
      <c r="L69" s="217" t="str">
        <f t="shared" si="1"/>
        <v/>
      </c>
      <c r="M69" s="218"/>
    </row>
    <row r="70" spans="1:13">
      <c r="A70" s="205">
        <f>ROW() - ROW(Table48[[#Headers],[S/N]])</f>
        <v>69</v>
      </c>
      <c r="B70" s="190"/>
      <c r="C70" s="205"/>
      <c r="D70" s="205"/>
      <c r="E70" s="205"/>
      <c r="F70" s="216"/>
      <c r="G70" s="28"/>
      <c r="H70" s="186"/>
      <c r="I70" s="205"/>
      <c r="J70" s="205" t="str">
        <f t="shared" si="2"/>
        <v/>
      </c>
      <c r="K70" s="205" t="str">
        <f t="shared" si="3"/>
        <v/>
      </c>
      <c r="L70" s="217" t="str">
        <f t="shared" si="1"/>
        <v/>
      </c>
      <c r="M70" s="218"/>
    </row>
    <row r="71" spans="1:13">
      <c r="A71" s="205">
        <f>ROW() - ROW(Table48[[#Headers],[S/N]])</f>
        <v>70</v>
      </c>
      <c r="B71" s="190"/>
      <c r="C71" s="205"/>
      <c r="D71" s="205"/>
      <c r="E71" s="205"/>
      <c r="F71" s="216"/>
      <c r="G71" s="28"/>
      <c r="H71" s="186"/>
      <c r="I71" s="205"/>
      <c r="J71" s="205" t="str">
        <f t="shared" si="2"/>
        <v/>
      </c>
      <c r="K71" s="205" t="str">
        <f t="shared" si="3"/>
        <v/>
      </c>
      <c r="L71" s="217" t="str">
        <f t="shared" si="1"/>
        <v/>
      </c>
      <c r="M71" s="218"/>
    </row>
    <row r="72" spans="1:13">
      <c r="A72" s="205">
        <f>ROW() - ROW(Table48[[#Headers],[S/N]])</f>
        <v>71</v>
      </c>
      <c r="B72" s="190"/>
      <c r="C72" s="205"/>
      <c r="D72" s="205"/>
      <c r="E72" s="205"/>
      <c r="F72" s="216"/>
      <c r="G72" s="28"/>
      <c r="H72" s="186"/>
      <c r="I72" s="205"/>
      <c r="J72" s="205" t="str">
        <f t="shared" si="2"/>
        <v/>
      </c>
      <c r="K72" s="205" t="str">
        <f t="shared" si="3"/>
        <v/>
      </c>
      <c r="L72" s="217" t="str">
        <f t="shared" si="1"/>
        <v/>
      </c>
      <c r="M72" s="218"/>
    </row>
    <row r="73" spans="1:13">
      <c r="A73" s="205">
        <f>ROW() - ROW(Table48[[#Headers],[S/N]])</f>
        <v>72</v>
      </c>
      <c r="B73" s="190"/>
      <c r="C73" s="205"/>
      <c r="D73" s="205"/>
      <c r="E73" s="205"/>
      <c r="F73" s="216"/>
      <c r="G73" s="28"/>
      <c r="H73" s="220"/>
      <c r="I73" s="205"/>
      <c r="J73" s="205" t="str">
        <f t="shared" si="2"/>
        <v/>
      </c>
      <c r="K73" s="205" t="str">
        <f t="shared" si="3"/>
        <v/>
      </c>
      <c r="L73" s="217" t="str">
        <f t="shared" si="1"/>
        <v/>
      </c>
      <c r="M73" s="218"/>
    </row>
    <row r="74" spans="1:13">
      <c r="A74" s="205">
        <f>ROW() - ROW(Table48[[#Headers],[S/N]])</f>
        <v>73</v>
      </c>
      <c r="B74" s="190"/>
      <c r="C74" s="205"/>
      <c r="D74" s="205"/>
      <c r="E74" s="205"/>
      <c r="F74" s="216"/>
      <c r="G74" s="28"/>
      <c r="H74" s="220"/>
      <c r="I74" s="205"/>
      <c r="J74" s="205" t="str">
        <f t="shared" si="2"/>
        <v/>
      </c>
      <c r="K74" s="205" t="str">
        <f t="shared" si="3"/>
        <v/>
      </c>
      <c r="L74" s="217" t="str">
        <f t="shared" si="1"/>
        <v/>
      </c>
      <c r="M74" s="218"/>
    </row>
    <row r="75" spans="1:13" ht="15.6">
      <c r="A75" s="205">
        <f>ROW() - ROW(Table48[[#Headers],[S/N]])</f>
        <v>74</v>
      </c>
      <c r="B75" s="191"/>
      <c r="C75" s="63"/>
      <c r="D75" s="192"/>
      <c r="E75" s="205"/>
      <c r="F75" s="216"/>
      <c r="G75" s="28"/>
      <c r="H75" s="220"/>
      <c r="I75" s="205"/>
      <c r="J75" s="205" t="str">
        <f t="shared" si="2"/>
        <v/>
      </c>
      <c r="K75" s="205" t="str">
        <f t="shared" si="3"/>
        <v/>
      </c>
      <c r="L75" s="217" t="str">
        <f t="shared" si="1"/>
        <v/>
      </c>
      <c r="M75" s="218"/>
    </row>
    <row r="76" spans="1:13" ht="15.6">
      <c r="A76" s="205">
        <f>ROW() - ROW(Table48[[#Headers],[S/N]])</f>
        <v>75</v>
      </c>
      <c r="B76" s="193"/>
      <c r="C76" s="194"/>
      <c r="D76" s="192"/>
      <c r="E76" s="205"/>
      <c r="F76" s="216"/>
      <c r="G76" s="28"/>
      <c r="H76" s="220"/>
      <c r="I76" s="205"/>
      <c r="J76" s="205" t="str">
        <f t="shared" si="2"/>
        <v/>
      </c>
      <c r="K76" s="205" t="str">
        <f t="shared" si="3"/>
        <v/>
      </c>
      <c r="L76" s="217" t="str">
        <f t="shared" si="1"/>
        <v/>
      </c>
      <c r="M76" s="218"/>
    </row>
    <row r="77" spans="1:13" ht="15.6">
      <c r="A77" s="205">
        <f>ROW() - ROW(Table48[[#Headers],[S/N]])</f>
        <v>76</v>
      </c>
      <c r="B77" s="195"/>
      <c r="C77" s="63"/>
      <c r="D77" s="192"/>
      <c r="E77" s="205"/>
      <c r="F77" s="216"/>
      <c r="G77" s="28"/>
      <c r="H77" s="220"/>
      <c r="I77" s="205"/>
      <c r="J77" s="205" t="str">
        <f t="shared" si="2"/>
        <v/>
      </c>
      <c r="K77" s="205" t="str">
        <f t="shared" si="3"/>
        <v/>
      </c>
      <c r="L77" s="217" t="str">
        <f t="shared" si="1"/>
        <v/>
      </c>
      <c r="M77" s="218"/>
    </row>
    <row r="78" spans="1:13" ht="15.6">
      <c r="A78" s="205">
        <f>ROW() - ROW(Table48[[#Headers],[S/N]])</f>
        <v>77</v>
      </c>
      <c r="B78" s="195"/>
      <c r="C78" s="194"/>
      <c r="D78" s="192"/>
      <c r="E78" s="205"/>
      <c r="F78" s="216"/>
      <c r="G78" s="28"/>
      <c r="H78" s="220"/>
      <c r="I78" s="205"/>
      <c r="J78" s="205" t="str">
        <f t="shared" si="2"/>
        <v/>
      </c>
      <c r="K78" s="205" t="str">
        <f t="shared" si="3"/>
        <v/>
      </c>
      <c r="L78" s="217" t="str">
        <f t="shared" si="1"/>
        <v/>
      </c>
      <c r="M78" s="218"/>
    </row>
    <row r="79" spans="1:13" ht="15.6">
      <c r="A79" s="205">
        <f>ROW() - ROW(Table48[[#Headers],[S/N]])</f>
        <v>78</v>
      </c>
      <c r="B79" s="191"/>
      <c r="C79" s="63"/>
      <c r="D79" s="192"/>
      <c r="E79" s="205"/>
      <c r="F79" s="216"/>
      <c r="G79" s="28"/>
      <c r="H79" s="220"/>
      <c r="I79" s="205"/>
      <c r="J79" s="205" t="str">
        <f t="shared" si="2"/>
        <v/>
      </c>
      <c r="K79" s="205" t="str">
        <f t="shared" si="3"/>
        <v/>
      </c>
      <c r="L79" s="217" t="str">
        <f t="shared" si="1"/>
        <v/>
      </c>
      <c r="M79" s="218"/>
    </row>
    <row r="80" spans="1:13" ht="15.6">
      <c r="A80" s="205">
        <f>ROW() - ROW(Table48[[#Headers],[S/N]])</f>
        <v>79</v>
      </c>
      <c r="B80" s="196"/>
      <c r="C80" s="194"/>
      <c r="D80" s="192"/>
      <c r="E80" s="205"/>
      <c r="F80" s="216"/>
      <c r="G80" s="28"/>
      <c r="H80" s="220"/>
      <c r="I80" s="205"/>
      <c r="J80" s="205" t="str">
        <f t="shared" si="2"/>
        <v/>
      </c>
      <c r="K80" s="205" t="str">
        <f t="shared" si="3"/>
        <v/>
      </c>
      <c r="L80" s="217" t="str">
        <f t="shared" si="1"/>
        <v/>
      </c>
      <c r="M80" s="218"/>
    </row>
    <row r="81" spans="1:13" ht="15.6">
      <c r="A81" s="205">
        <f>ROW() - ROW(Table48[[#Headers],[S/N]])</f>
        <v>80</v>
      </c>
      <c r="B81" s="197"/>
      <c r="C81" s="194"/>
      <c r="D81" s="192"/>
      <c r="E81" s="205"/>
      <c r="F81" s="216"/>
      <c r="G81" s="28"/>
      <c r="H81" s="220"/>
      <c r="I81" s="205"/>
      <c r="J81" s="205" t="str">
        <f t="shared" si="2"/>
        <v/>
      </c>
      <c r="K81" s="205" t="str">
        <f t="shared" si="3"/>
        <v/>
      </c>
      <c r="L81" s="217" t="str">
        <f t="shared" si="1"/>
        <v/>
      </c>
      <c r="M81" s="218"/>
    </row>
    <row r="82" spans="1:13" ht="15.6">
      <c r="A82" s="205">
        <f>ROW() - ROW(Table48[[#Headers],[S/N]])</f>
        <v>81</v>
      </c>
      <c r="B82" s="196"/>
      <c r="C82" s="194"/>
      <c r="D82" s="192"/>
      <c r="E82" s="205"/>
      <c r="F82" s="216"/>
      <c r="G82" s="28"/>
      <c r="H82" s="220"/>
      <c r="I82" s="205"/>
      <c r="J82" s="205" t="str">
        <f t="shared" si="2"/>
        <v/>
      </c>
      <c r="K82" s="205" t="str">
        <f t="shared" si="3"/>
        <v/>
      </c>
      <c r="L82" s="217" t="str">
        <f t="shared" ref="L82:L107" si="4">IF(G82="Low Risk (A)",EDATE(F82,24),
IF(G82="Medium Risk(B)",EDATE(F82,12),
IF(G82="High Risk(C)",EDATE(F82,6),"")))</f>
        <v/>
      </c>
      <c r="M82" s="218"/>
    </row>
    <row r="83" spans="1:13" ht="15.6">
      <c r="A83" s="205">
        <f>ROW() - ROW(Table48[[#Headers],[S/N]])</f>
        <v>82</v>
      </c>
      <c r="B83" s="196"/>
      <c r="C83" s="194"/>
      <c r="D83" s="192"/>
      <c r="E83" s="205"/>
      <c r="F83" s="216"/>
      <c r="G83" s="28"/>
      <c r="H83" s="220"/>
      <c r="I83" s="205"/>
      <c r="J83" s="205" t="str">
        <f t="shared" si="2"/>
        <v/>
      </c>
      <c r="K83" s="205" t="str">
        <f t="shared" si="3"/>
        <v/>
      </c>
      <c r="L83" s="217" t="str">
        <f t="shared" si="4"/>
        <v/>
      </c>
      <c r="M83" s="218"/>
    </row>
    <row r="84" spans="1:13">
      <c r="A84" s="205">
        <f>ROW() - ROW(Table48[[#Headers],[S/N]])</f>
        <v>83</v>
      </c>
      <c r="B84" s="221"/>
      <c r="C84" s="205"/>
      <c r="D84" s="205"/>
      <c r="E84" s="205"/>
      <c r="F84" s="216"/>
      <c r="G84" s="28"/>
      <c r="H84" s="220"/>
      <c r="I84" s="205"/>
      <c r="J84" s="205" t="str">
        <f t="shared" si="2"/>
        <v/>
      </c>
      <c r="K84" s="205" t="str">
        <f t="shared" si="3"/>
        <v/>
      </c>
      <c r="L84" s="217" t="str">
        <f t="shared" si="4"/>
        <v/>
      </c>
      <c r="M84" s="218"/>
    </row>
    <row r="85" spans="1:13" ht="15.6">
      <c r="A85" s="205">
        <f>ROW() - ROW(Table48[[#Headers],[S/N]])</f>
        <v>84</v>
      </c>
      <c r="B85" s="198"/>
      <c r="C85" s="67"/>
      <c r="D85" s="68"/>
      <c r="E85" s="205"/>
      <c r="F85" s="216"/>
      <c r="G85" s="28"/>
      <c r="H85" s="220"/>
      <c r="I85" s="205"/>
      <c r="J85" s="205" t="str">
        <f t="shared" si="2"/>
        <v/>
      </c>
      <c r="K85" s="205" t="str">
        <f t="shared" si="3"/>
        <v/>
      </c>
      <c r="L85" s="217" t="str">
        <f t="shared" si="4"/>
        <v/>
      </c>
      <c r="M85" s="218"/>
    </row>
    <row r="86" spans="1:13" ht="15.6">
      <c r="A86" s="205">
        <f>ROW() - ROW(Table48[[#Headers],[S/N]])</f>
        <v>85</v>
      </c>
      <c r="B86" s="199"/>
      <c r="C86" s="68"/>
      <c r="D86" s="68"/>
      <c r="E86" s="205"/>
      <c r="F86" s="216"/>
      <c r="G86" s="28"/>
      <c r="H86" s="220"/>
      <c r="I86" s="205"/>
      <c r="J86" s="205" t="str">
        <f t="shared" si="2"/>
        <v/>
      </c>
      <c r="K86" s="205" t="str">
        <f t="shared" si="3"/>
        <v/>
      </c>
      <c r="L86" s="217" t="str">
        <f t="shared" si="4"/>
        <v/>
      </c>
      <c r="M86" s="218"/>
    </row>
    <row r="87" spans="1:13" ht="15.6">
      <c r="A87" s="205">
        <f>ROW() - ROW(Table48[[#Headers],[S/N]])</f>
        <v>86</v>
      </c>
      <c r="B87" s="199"/>
      <c r="C87" s="68"/>
      <c r="D87" s="68"/>
      <c r="E87" s="205"/>
      <c r="F87" s="216"/>
      <c r="G87" s="28"/>
      <c r="H87" s="220"/>
      <c r="I87" s="205"/>
      <c r="J87" s="205" t="str">
        <f t="shared" si="2"/>
        <v/>
      </c>
      <c r="K87" s="205" t="str">
        <f t="shared" si="3"/>
        <v/>
      </c>
      <c r="L87" s="217" t="str">
        <f t="shared" si="4"/>
        <v/>
      </c>
      <c r="M87" s="218"/>
    </row>
    <row r="88" spans="1:13" ht="15.6">
      <c r="A88" s="205">
        <f>ROW() - ROW(Table48[[#Headers],[S/N]])</f>
        <v>87</v>
      </c>
      <c r="B88" s="198"/>
      <c r="C88" s="67"/>
      <c r="D88" s="68"/>
      <c r="E88" s="205"/>
      <c r="F88" s="216"/>
      <c r="G88" s="28"/>
      <c r="H88" s="220"/>
      <c r="I88" s="205"/>
      <c r="J88" s="205" t="str">
        <f t="shared" ref="J88:J107" si="5">IF(I88="YES","CAPA VERIFICATION SHOULD BE SCHEDULED",IF(I88="NO","REMINDER LETTER SHOULD BE SENT",""))</f>
        <v/>
      </c>
      <c r="K88" s="205" t="str">
        <f t="shared" ref="K88:K107" si="6">IF(I88="YES","CAPA SUBMITTED",IF(I88="NO","CAPA YET TO BE SUBMITTED",""))</f>
        <v/>
      </c>
      <c r="L88" s="217" t="str">
        <f t="shared" si="4"/>
        <v/>
      </c>
      <c r="M88" s="218"/>
    </row>
    <row r="89" spans="1:13" ht="15.6">
      <c r="A89" s="205">
        <f>ROW() - ROW(Table48[[#Headers],[S/N]])</f>
        <v>88</v>
      </c>
      <c r="B89" s="198"/>
      <c r="C89" s="67"/>
      <c r="D89" s="68"/>
      <c r="E89" s="205"/>
      <c r="F89" s="216"/>
      <c r="G89" s="28"/>
      <c r="H89" s="220"/>
      <c r="I89" s="205"/>
      <c r="J89" s="205" t="str">
        <f t="shared" si="5"/>
        <v/>
      </c>
      <c r="K89" s="205" t="str">
        <f t="shared" si="6"/>
        <v/>
      </c>
      <c r="L89" s="217" t="str">
        <f t="shared" si="4"/>
        <v/>
      </c>
      <c r="M89" s="218"/>
    </row>
    <row r="90" spans="1:13" ht="15.6">
      <c r="A90" s="205">
        <f>ROW() - ROW(Table48[[#Headers],[S/N]])</f>
        <v>89</v>
      </c>
      <c r="B90" s="198"/>
      <c r="C90" s="67"/>
      <c r="D90" s="68"/>
      <c r="E90" s="205"/>
      <c r="F90" s="216"/>
      <c r="G90" s="28"/>
      <c r="H90" s="220"/>
      <c r="I90" s="205"/>
      <c r="J90" s="205" t="str">
        <f t="shared" si="5"/>
        <v/>
      </c>
      <c r="K90" s="205" t="str">
        <f t="shared" si="6"/>
        <v/>
      </c>
      <c r="L90" s="217" t="str">
        <f t="shared" si="4"/>
        <v/>
      </c>
      <c r="M90" s="218"/>
    </row>
    <row r="91" spans="1:13" ht="15.6">
      <c r="A91" s="205">
        <f>ROW() - ROW(Table48[[#Headers],[S/N]])</f>
        <v>90</v>
      </c>
      <c r="B91" s="198"/>
      <c r="C91" s="67"/>
      <c r="D91" s="68"/>
      <c r="E91" s="205"/>
      <c r="F91" s="216"/>
      <c r="G91" s="28"/>
      <c r="H91" s="220"/>
      <c r="I91" s="205"/>
      <c r="J91" s="205" t="str">
        <f t="shared" si="5"/>
        <v/>
      </c>
      <c r="K91" s="205" t="str">
        <f t="shared" si="6"/>
        <v/>
      </c>
      <c r="L91" s="217" t="str">
        <f t="shared" si="4"/>
        <v/>
      </c>
      <c r="M91" s="218"/>
    </row>
    <row r="92" spans="1:13" ht="15.6">
      <c r="A92" s="205">
        <f>ROW() - ROW(Table48[[#Headers],[S/N]])</f>
        <v>91</v>
      </c>
      <c r="B92" s="198"/>
      <c r="C92" s="68"/>
      <c r="D92" s="68"/>
      <c r="E92" s="205"/>
      <c r="F92" s="216"/>
      <c r="G92" s="28"/>
      <c r="H92" s="220"/>
      <c r="I92" s="205"/>
      <c r="J92" s="205" t="str">
        <f t="shared" si="5"/>
        <v/>
      </c>
      <c r="K92" s="205" t="str">
        <f t="shared" si="6"/>
        <v/>
      </c>
      <c r="L92" s="217" t="str">
        <f t="shared" si="4"/>
        <v/>
      </c>
      <c r="M92" s="218"/>
    </row>
    <row r="93" spans="1:13" ht="15.6">
      <c r="A93" s="205">
        <f>ROW() - ROW(Table48[[#Headers],[S/N]])</f>
        <v>92</v>
      </c>
      <c r="B93" s="199"/>
      <c r="C93" s="68"/>
      <c r="D93" s="68"/>
      <c r="E93" s="205"/>
      <c r="F93" s="216"/>
      <c r="G93" s="28"/>
      <c r="H93" s="220"/>
      <c r="I93" s="205"/>
      <c r="J93" s="205" t="str">
        <f t="shared" si="5"/>
        <v/>
      </c>
      <c r="K93" s="205" t="str">
        <f t="shared" si="6"/>
        <v/>
      </c>
      <c r="L93" s="217" t="str">
        <f t="shared" si="4"/>
        <v/>
      </c>
      <c r="M93" s="218"/>
    </row>
    <row r="94" spans="1:13" ht="15.6">
      <c r="A94" s="205">
        <f>ROW() - ROW(Table48[[#Headers],[S/N]])</f>
        <v>93</v>
      </c>
      <c r="B94" s="198"/>
      <c r="C94" s="67"/>
      <c r="D94" s="68"/>
      <c r="E94" s="205"/>
      <c r="F94" s="216"/>
      <c r="G94" s="28"/>
      <c r="H94" s="220"/>
      <c r="I94" s="205"/>
      <c r="J94" s="205" t="str">
        <f t="shared" si="5"/>
        <v/>
      </c>
      <c r="K94" s="205" t="str">
        <f t="shared" si="6"/>
        <v/>
      </c>
      <c r="L94" s="217" t="str">
        <f t="shared" si="4"/>
        <v/>
      </c>
      <c r="M94" s="218"/>
    </row>
    <row r="95" spans="1:13" ht="15.6">
      <c r="A95" s="205">
        <f>ROW() - ROW(Table48[[#Headers],[S/N]])</f>
        <v>94</v>
      </c>
      <c r="B95" s="198"/>
      <c r="C95" s="67"/>
      <c r="D95" s="67"/>
      <c r="E95" s="205"/>
      <c r="F95" s="216"/>
      <c r="G95" s="28"/>
      <c r="H95" s="220"/>
      <c r="I95" s="205"/>
      <c r="J95" s="205" t="str">
        <f t="shared" si="5"/>
        <v/>
      </c>
      <c r="K95" s="205" t="str">
        <f t="shared" si="6"/>
        <v/>
      </c>
      <c r="L95" s="217" t="str">
        <f t="shared" si="4"/>
        <v/>
      </c>
      <c r="M95" s="218"/>
    </row>
    <row r="96" spans="1:13" ht="15.6">
      <c r="A96" s="205">
        <f>ROW() - ROW(Table48[[#Headers],[S/N]])</f>
        <v>95</v>
      </c>
      <c r="B96" s="198"/>
      <c r="C96" s="67"/>
      <c r="D96" s="68"/>
      <c r="E96" s="205"/>
      <c r="F96" s="216"/>
      <c r="G96" s="28"/>
      <c r="H96" s="220"/>
      <c r="I96" s="205"/>
      <c r="J96" s="205" t="str">
        <f t="shared" si="5"/>
        <v/>
      </c>
      <c r="K96" s="205" t="str">
        <f t="shared" si="6"/>
        <v/>
      </c>
      <c r="L96" s="217" t="str">
        <f t="shared" si="4"/>
        <v/>
      </c>
      <c r="M96" s="218"/>
    </row>
    <row r="97" spans="1:13">
      <c r="A97" s="205">
        <f>ROW() - ROW(Table48[[#Headers],[S/N]])</f>
        <v>96</v>
      </c>
      <c r="B97" s="221"/>
      <c r="C97" s="205"/>
      <c r="D97" s="205"/>
      <c r="E97" s="205"/>
      <c r="F97" s="216"/>
      <c r="G97" s="28"/>
      <c r="H97" s="220"/>
      <c r="I97" s="205"/>
      <c r="J97" s="205" t="str">
        <f t="shared" si="5"/>
        <v/>
      </c>
      <c r="K97" s="205" t="str">
        <f t="shared" si="6"/>
        <v/>
      </c>
      <c r="L97" s="217" t="str">
        <f t="shared" si="4"/>
        <v/>
      </c>
      <c r="M97" s="218"/>
    </row>
    <row r="98" spans="1:13">
      <c r="A98" s="205">
        <f>ROW() - ROW(Table48[[#Headers],[S/N]])</f>
        <v>97</v>
      </c>
      <c r="B98" s="221"/>
      <c r="C98" s="205"/>
      <c r="D98" s="205"/>
      <c r="E98" s="205"/>
      <c r="F98" s="216"/>
      <c r="G98" s="28"/>
      <c r="H98" s="220"/>
      <c r="I98" s="205"/>
      <c r="J98" s="205" t="str">
        <f t="shared" si="5"/>
        <v/>
      </c>
      <c r="K98" s="205" t="str">
        <f t="shared" si="6"/>
        <v/>
      </c>
      <c r="L98" s="217" t="str">
        <f t="shared" si="4"/>
        <v/>
      </c>
      <c r="M98" s="218"/>
    </row>
    <row r="99" spans="1:13">
      <c r="A99" s="205">
        <f>ROW() - ROW(Table48[[#Headers],[S/N]])</f>
        <v>98</v>
      </c>
      <c r="B99" s="221"/>
      <c r="C99" s="205"/>
      <c r="D99" s="205"/>
      <c r="E99" s="205"/>
      <c r="F99" s="216"/>
      <c r="G99" s="28"/>
      <c r="H99" s="220"/>
      <c r="I99" s="205"/>
      <c r="J99" s="205" t="str">
        <f t="shared" si="5"/>
        <v/>
      </c>
      <c r="K99" s="205" t="str">
        <f t="shared" si="6"/>
        <v/>
      </c>
      <c r="L99" s="217" t="str">
        <f t="shared" si="4"/>
        <v/>
      </c>
      <c r="M99" s="218"/>
    </row>
    <row r="100" spans="1:13">
      <c r="A100" s="205">
        <f>ROW() - ROW(Table48[[#Headers],[S/N]])</f>
        <v>99</v>
      </c>
      <c r="B100" s="221"/>
      <c r="C100" s="205"/>
      <c r="D100" s="205"/>
      <c r="E100" s="205"/>
      <c r="F100" s="216"/>
      <c r="G100" s="28"/>
      <c r="H100" s="220"/>
      <c r="I100" s="205"/>
      <c r="J100" s="205" t="str">
        <f t="shared" si="5"/>
        <v/>
      </c>
      <c r="K100" s="205" t="str">
        <f t="shared" si="6"/>
        <v/>
      </c>
      <c r="L100" s="217" t="str">
        <f t="shared" si="4"/>
        <v/>
      </c>
      <c r="M100" s="218"/>
    </row>
    <row r="101" spans="1:13">
      <c r="A101" s="205">
        <f>ROW() - ROW(Table48[[#Headers],[S/N]])</f>
        <v>100</v>
      </c>
      <c r="B101" s="221"/>
      <c r="C101" s="205"/>
      <c r="D101" s="205"/>
      <c r="E101" s="205"/>
      <c r="F101" s="216"/>
      <c r="G101" s="28"/>
      <c r="H101" s="220"/>
      <c r="I101" s="205"/>
      <c r="J101" s="205" t="str">
        <f t="shared" si="5"/>
        <v/>
      </c>
      <c r="K101" s="205" t="str">
        <f t="shared" si="6"/>
        <v/>
      </c>
      <c r="L101" s="217" t="str">
        <f t="shared" si="4"/>
        <v/>
      </c>
      <c r="M101" s="218"/>
    </row>
    <row r="102" spans="1:13">
      <c r="A102" s="205">
        <f>ROW() - ROW(Table48[[#Headers],[S/N]])</f>
        <v>101</v>
      </c>
      <c r="B102" s="221"/>
      <c r="C102" s="205"/>
      <c r="D102" s="205"/>
      <c r="E102" s="205"/>
      <c r="F102" s="216"/>
      <c r="G102" s="28"/>
      <c r="H102" s="220"/>
      <c r="I102" s="205"/>
      <c r="J102" s="205" t="str">
        <f t="shared" si="5"/>
        <v/>
      </c>
      <c r="K102" s="205" t="str">
        <f t="shared" si="6"/>
        <v/>
      </c>
      <c r="L102" s="217" t="str">
        <f t="shared" si="4"/>
        <v/>
      </c>
      <c r="M102" s="218"/>
    </row>
    <row r="103" spans="1:13">
      <c r="A103" s="205">
        <f>ROW() - ROW(Table48[[#Headers],[S/N]])</f>
        <v>102</v>
      </c>
      <c r="B103" s="221"/>
      <c r="C103" s="205"/>
      <c r="D103" s="205"/>
      <c r="E103" s="205"/>
      <c r="F103" s="216"/>
      <c r="G103" s="28"/>
      <c r="H103" s="220"/>
      <c r="I103" s="205"/>
      <c r="J103" s="205" t="str">
        <f t="shared" si="5"/>
        <v/>
      </c>
      <c r="K103" s="205" t="str">
        <f t="shared" si="6"/>
        <v/>
      </c>
      <c r="L103" s="217" t="str">
        <f t="shared" si="4"/>
        <v/>
      </c>
      <c r="M103" s="218"/>
    </row>
    <row r="104" spans="1:13">
      <c r="A104" s="205">
        <f>ROW() - ROW(Table48[[#Headers],[S/N]])</f>
        <v>103</v>
      </c>
      <c r="B104" s="221"/>
      <c r="C104" s="205"/>
      <c r="D104" s="205"/>
      <c r="E104" s="205"/>
      <c r="F104" s="216"/>
      <c r="G104" s="28"/>
      <c r="H104" s="220"/>
      <c r="I104" s="205"/>
      <c r="J104" s="205" t="str">
        <f t="shared" si="5"/>
        <v/>
      </c>
      <c r="K104" s="205" t="str">
        <f t="shared" si="6"/>
        <v/>
      </c>
      <c r="L104" s="217" t="str">
        <f t="shared" si="4"/>
        <v/>
      </c>
      <c r="M104" s="218"/>
    </row>
    <row r="105" spans="1:13">
      <c r="A105" s="205">
        <f>ROW() - ROW(Table48[[#Headers],[S/N]])</f>
        <v>104</v>
      </c>
      <c r="B105" s="221"/>
      <c r="C105" s="205"/>
      <c r="D105" s="205"/>
      <c r="E105" s="205"/>
      <c r="F105" s="216"/>
      <c r="G105" s="28"/>
      <c r="H105" s="220"/>
      <c r="I105" s="205"/>
      <c r="J105" s="205" t="str">
        <f t="shared" si="5"/>
        <v/>
      </c>
      <c r="K105" s="205" t="str">
        <f t="shared" si="6"/>
        <v/>
      </c>
      <c r="L105" s="217" t="str">
        <f t="shared" si="4"/>
        <v/>
      </c>
      <c r="M105" s="218"/>
    </row>
    <row r="106" spans="1:13">
      <c r="A106" s="205">
        <f>ROW() - ROW(Table48[[#Headers],[S/N]])</f>
        <v>105</v>
      </c>
      <c r="B106" s="221"/>
      <c r="C106" s="205"/>
      <c r="D106" s="205"/>
      <c r="E106" s="205"/>
      <c r="F106" s="216"/>
      <c r="G106" s="28"/>
      <c r="H106" s="220"/>
      <c r="I106" s="205"/>
      <c r="J106" s="205" t="str">
        <f t="shared" si="5"/>
        <v/>
      </c>
      <c r="K106" s="205" t="str">
        <f t="shared" si="6"/>
        <v/>
      </c>
      <c r="L106" s="217" t="str">
        <f t="shared" si="4"/>
        <v/>
      </c>
      <c r="M106" s="218"/>
    </row>
    <row r="107" spans="1:13">
      <c r="A107" s="205">
        <f>ROW() - ROW(Table48[[#Headers],[S/N]])</f>
        <v>106</v>
      </c>
      <c r="B107" s="221"/>
      <c r="C107" s="205"/>
      <c r="D107" s="205"/>
      <c r="E107" s="205"/>
      <c r="F107" s="216"/>
      <c r="G107" s="28"/>
      <c r="H107" s="220"/>
      <c r="I107" s="205"/>
      <c r="J107" s="205" t="str">
        <f t="shared" si="5"/>
        <v/>
      </c>
      <c r="K107" s="205" t="str">
        <f t="shared" si="6"/>
        <v/>
      </c>
      <c r="L107" s="217" t="str">
        <f t="shared" si="4"/>
        <v/>
      </c>
      <c r="M107" s="218"/>
    </row>
  </sheetData>
  <dataValidations count="3">
    <dataValidation type="list" allowBlank="1" showInputMessage="1" showErrorMessage="1" sqref="E2:E107" xr:uid="{FE626E09-ABA9-4D9C-8101-6ECCB62A7F32}">
      <formula1>"GSDP,CEVI"</formula1>
    </dataValidation>
    <dataValidation type="list" allowBlank="1" showInputMessage="1" showErrorMessage="1" sqref="G2:G14 G16 G18:G107" xr:uid="{6E43FE1E-CDD4-4173-903B-87C6823277C1}">
      <formula1>"Low Risk (A),Medium Risk(B),High Risk(C)"</formula1>
    </dataValidation>
    <dataValidation type="list" allowBlank="1" showInputMessage="1" showErrorMessage="1" sqref="I18:I107 I2:I14 I16" xr:uid="{1019DE06-5000-4F34-8C30-40B99068643F}">
      <formula1>"YES,NO,CAPA CLOSED"</formula1>
    </dataValidation>
  </dataValidations>
  <hyperlinks>
    <hyperlink ref="M4" r:id="rId1" xr:uid="{04A715BF-1FF0-406A-9F57-25DD7A1D30A8}"/>
    <hyperlink ref="M2" r:id="rId2" xr:uid="{072F4C97-2095-4EE6-B3BD-68D5ADBBF0E0}"/>
    <hyperlink ref="M3" r:id="rId3" xr:uid="{20C9DFE6-7021-4071-87AA-2F2FF529143A}"/>
    <hyperlink ref="M5" r:id="rId4" xr:uid="{7DA07E76-7475-46D9-BA30-4B4CEB296416}"/>
    <hyperlink ref="M11" r:id="rId5" xr:uid="{BE3ADDD9-D695-4FD5-96F9-E49E79E5980D}"/>
    <hyperlink ref="M13" r:id="rId6" xr:uid="{23AEA2F9-1E6E-4919-AF56-AB13EDC00C1E}"/>
    <hyperlink ref="M23" r:id="rId7" xr:uid="{9F360E3A-53A5-4F9B-9719-29594BB751F5}"/>
    <hyperlink ref="M21" r:id="rId8" xr:uid="{48CD5E35-B748-4704-9C57-8E04126F2A52}"/>
    <hyperlink ref="M17" r:id="rId9" xr:uid="{118A6757-27AA-490B-BA2B-2EF5CF2E9447}"/>
    <hyperlink ref="M20" r:id="rId10" xr:uid="{0D031883-CC39-4373-B6A4-328A32F8EF57}"/>
    <hyperlink ref="M19" r:id="rId11" xr:uid="{37F49E3E-4644-4F8D-B895-497530FC5A92}"/>
    <hyperlink ref="M22" r:id="rId12" xr:uid="{70B3D898-73C2-480C-85CD-421842352D8D}"/>
    <hyperlink ref="M14" r:id="rId13" xr:uid="{071C17CC-8458-4468-BE22-E37CBFCEB485}"/>
    <hyperlink ref="M12" r:id="rId14" xr:uid="{6A635CEF-D166-4F4D-902E-AFD146E5C4ED}"/>
    <hyperlink ref="M15" r:id="rId15" xr:uid="{FD1731B2-1E5B-4F61-A9B2-8B6BB1A5BD7E}"/>
    <hyperlink ref="M16" r:id="rId16" xr:uid="{CD4EAB74-FD71-40A7-A436-0DF09FFD1E62}"/>
    <hyperlink ref="M10" r:id="rId17" xr:uid="{381BEFD6-2B80-4C05-917E-845E3FEF2C75}"/>
    <hyperlink ref="M18" r:id="rId18" xr:uid="{628E37A8-7E70-4DEA-BFD4-13348618051E}"/>
    <hyperlink ref="M6" r:id="rId19" xr:uid="{5265F2B8-74DC-440B-984D-5F05A9305B28}"/>
    <hyperlink ref="M7" r:id="rId20" xr:uid="{3E5B3A5F-B0B9-44A6-9C7E-C8EDB75CB992}"/>
    <hyperlink ref="M8" r:id="rId21" xr:uid="{2FD31A35-ADBD-4C75-9425-551F14F010F4}"/>
  </hyperlinks>
  <pageMargins left="0.7" right="0.7" top="0.75" bottom="0.75" header="0.3" footer="0.3"/>
  <tableParts count="1">
    <tablePart r:id="rId2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3d5edd-c324-4cc7-96f8-eb6094d850cb">
      <Terms xmlns="http://schemas.microsoft.com/office/infopath/2007/PartnerControls"/>
    </lcf76f155ced4ddcb4097134ff3c332f>
    <TaxCatchAll xmlns="c21bd304-a54e-439b-a9ba-31413026572b" xsi:nil="true"/>
    <_ApprovalAssignedTo xmlns="b13d5edd-c324-4cc7-96f8-eb6094d850cb">
      <UserInfo>
        <DisplayName/>
        <AccountId xsi:nil="true"/>
        <AccountType/>
      </UserInfo>
    </_ApprovalAssignedTo>
    <_ApprovalRespondedBy xmlns="b13d5edd-c324-4cc7-96f8-eb6094d850cb">
      <UserInfo>
        <DisplayName/>
        <AccountId xsi:nil="true"/>
        <AccountType/>
      </UserInfo>
    </_ApprovalRespondedBy>
    <_ApprovalSentBy xmlns="b13d5edd-c324-4cc7-96f8-eb6094d850cb">
      <UserInfo>
        <DisplayName/>
        <AccountId xsi:nil="true"/>
        <AccountType/>
      </UserInfo>
    </_ApprovalSentBy>
    <_ApprovalStatus xmlns="b13d5edd-c324-4cc7-96f8-eb6094d850cb">0</_ApprovalStatus>
    <STATUS xmlns="b13d5edd-c324-4cc7-96f8-eb6094d850cb" xsi:nil="true"/>
    <DATE xmlns="b13d5edd-c324-4cc7-96f8-eb6094d850cb" xsi:nil="true"/>
    <GLSISTATUS xmlns="b13d5edd-c324-4cc7-96f8-eb6094d850c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3A50307184774BB7A9D49ED3BE5A05" ma:contentTypeVersion="19" ma:contentTypeDescription="Create a new document." ma:contentTypeScope="" ma:versionID="823485460da8e52c9a25c49434b5bd4f">
  <xsd:schema xmlns:xsd="http://www.w3.org/2001/XMLSchema" xmlns:xs="http://www.w3.org/2001/XMLSchema" xmlns:p="http://schemas.microsoft.com/office/2006/metadata/properties" xmlns:ns2="b13d5edd-c324-4cc7-96f8-eb6094d850cb" xmlns:ns3="c21bd304-a54e-439b-a9ba-31413026572b" targetNamespace="http://schemas.microsoft.com/office/2006/metadata/properties" ma:root="true" ma:fieldsID="51e7aa1d0a9fb3040b8a51c767c6fbaf" ns2:_="" ns3:_="">
    <xsd:import namespace="b13d5edd-c324-4cc7-96f8-eb6094d850cb"/>
    <xsd:import namespace="c21bd304-a54e-439b-a9ba-3141302657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MediaLengthInSeconds" minOccurs="0"/>
                <xsd:element ref="ns2:STATUS" minOccurs="0"/>
                <xsd:element ref="ns2:DATE" minOccurs="0"/>
                <xsd:element ref="ns2:GLSI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d5edd-c324-4cc7-96f8-eb6094d85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a725ea-f8e8-41c1-94f5-24b5de1ba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pprovalAssignedTo" ma:index="19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0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1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2" nillable="true" ma:displayName="Approval status" ma:internalName="_ApprovalStatus" ma:readOnly="true">
      <xsd:simpleType>
        <xsd:restriction base="dms:Unknown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4" nillable="true" ma:displayName="STATUS" ma:format="Dropdown" ma:internalName="STATUS">
      <xsd:simpleType>
        <xsd:restriction base="dms:Choice">
          <xsd:enumeration value="Pending"/>
          <xsd:enumeration value="Approved"/>
          <xsd:enumeration value="Rejected"/>
        </xsd:restriction>
      </xsd:simpleType>
    </xsd:element>
    <xsd:element name="DATE" ma:index="25" nillable="true" ma:displayName="DATE" ma:format="DateOnly" ma:internalName="DATE">
      <xsd:simpleType>
        <xsd:restriction base="dms:DateTime"/>
      </xsd:simpleType>
    </xsd:element>
    <xsd:element name="GLSISTATUS" ma:index="26" nillable="true" ma:displayName="GLSI STATUS" ma:format="Dropdown" ma:internalName="GLSISTATUS">
      <xsd:simpleType>
        <xsd:restriction base="dms:Choice">
          <xsd:enumeration value="DISCONTINUED"/>
          <xsd:enumeration value="RECOMMENDED FOR SUSPENSION"/>
          <xsd:enumeration value="SUSPEND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1bd304-a54e-439b-a9ba-3141302657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6c5e0a-eadb-46cd-89a2-074f48e70ec6}" ma:internalName="TaxCatchAll" ma:showField="CatchAllData" ma:web="c21bd304-a54e-439b-a9ba-3141302657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EA7F95-0408-43E9-86F9-F054FBBA11FA}"/>
</file>

<file path=customXml/itemProps2.xml><?xml version="1.0" encoding="utf-8"?>
<ds:datastoreItem xmlns:ds="http://schemas.openxmlformats.org/officeDocument/2006/customXml" ds:itemID="{C410232F-E372-4E5F-BBEE-270A3C63E463}"/>
</file>

<file path=customXml/itemProps3.xml><?xml version="1.0" encoding="utf-8"?>
<ds:datastoreItem xmlns:ds="http://schemas.openxmlformats.org/officeDocument/2006/customXml" ds:itemID="{13C6D28F-90AD-4A56-BD59-75C6DCD416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Drug Evaluation and Research</dc:creator>
  <cp:keywords/>
  <dc:description/>
  <cp:lastModifiedBy>Ifeanyi Okeke</cp:lastModifiedBy>
  <cp:revision/>
  <dcterms:created xsi:type="dcterms:W3CDTF">2024-05-11T15:31:08Z</dcterms:created>
  <dcterms:modified xsi:type="dcterms:W3CDTF">2026-03-24T11:20:20Z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29ed44619019477295765d46cf3eca39</vt:lpwstr>
  </property>
  <property fmtid="{D5CDD505-2E9C-101B-9397-08002B2CF9AE}" pid="3" name="MediaServiceImageTags">
    <vt:lpwstr/>
  </property>
  <property fmtid="{D5CDD505-2E9C-101B-9397-08002B2CF9AE}" pid="4" name="ContentTypeId">
    <vt:lpwstr>0x010100163A50307184774BB7A9D49ED3BE5A05</vt:lpwstr>
  </property>
  <property fmtid="{D5CDD505-2E9C-101B-9397-08002B2CF9AE}" pid="5" name="WorkbookGuid">
    <vt:lpwstr>4d412002-ab10-4f03-9921-88953cfe4f50</vt:lpwstr>
  </property>
</Properties>
</file>