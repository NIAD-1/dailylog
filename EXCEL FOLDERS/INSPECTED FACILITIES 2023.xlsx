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2"/>
  <workbookPr/>
  <mc:AlternateContent xmlns:mc="http://schemas.openxmlformats.org/markup-compatibility/2006">
    <mc:Choice Requires="x15">
      <x15ac:absPath xmlns:x15ac="http://schemas.microsoft.com/office/spreadsheetml/2010/11/ac" url="https://nafdacng.sharepoint.com/sites/PMSLAGOS/Shared Documents/GSDP (GOOD STORAGE AND DISTRIBUTION PRACTICE)/2023/"/>
    </mc:Choice>
  </mc:AlternateContent>
  <xr:revisionPtr revIDLastSave="522" documentId="11_661342EE34DDD145F671C0902690B64D4A218D57" xr6:coauthVersionLast="47" xr6:coauthVersionMax="47" xr10:uidLastSave="{9AC89623-3081-4204-8D05-5BD07A145429}"/>
  <bookViews>
    <workbookView xWindow="-108" yWindow="-108" windowWidth="23256" windowHeight="13176" firstSheet="1" activeTab="1" xr2:uid="{00000000-000D-0000-FFFF-FFFF00000000}"/>
  </bookViews>
  <sheets>
    <sheet name="INSPECTED FACILITIES 2023" sheetId="2" r:id="rId1"/>
    <sheet name="VISUAL REPRESENTATIONS" sheetId="13" r:id="rId2"/>
    <sheet name="FEB" sheetId="3" r:id="rId3"/>
    <sheet name="MAR" sheetId="4" r:id="rId4"/>
    <sheet name="APR" sheetId="5" r:id="rId5"/>
    <sheet name="MAY" sheetId="6" r:id="rId6"/>
    <sheet name="JUN" sheetId="7" r:id="rId7"/>
    <sheet name="JUL" sheetId="8" r:id="rId8"/>
    <sheet name="AUG" sheetId="9" r:id="rId9"/>
    <sheet name="SEP" sheetId="10" r:id="rId10"/>
    <sheet name="OCT" sheetId="11" r:id="rId11"/>
    <sheet name="NOV" sheetId="12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3" l="1"/>
  <c r="G4" i="13"/>
  <c r="G5" i="13"/>
  <c r="G6" i="13"/>
  <c r="G7" i="13"/>
  <c r="G8" i="13"/>
  <c r="G9" i="13"/>
  <c r="G10" i="13"/>
  <c r="G11" i="13"/>
  <c r="G12" i="13"/>
  <c r="G13" i="13"/>
  <c r="G2" i="13"/>
  <c r="F3" i="13"/>
  <c r="F4" i="13"/>
  <c r="F5" i="13"/>
  <c r="F6" i="13"/>
  <c r="F7" i="13"/>
  <c r="F8" i="13"/>
  <c r="F9" i="13"/>
  <c r="F10" i="13"/>
  <c r="F11" i="13"/>
  <c r="F12" i="13"/>
  <c r="F13" i="13"/>
  <c r="F2" i="13"/>
  <c r="E2" i="13"/>
  <c r="E3" i="13"/>
  <c r="E4" i="13"/>
  <c r="E5" i="13"/>
  <c r="E6" i="13"/>
  <c r="E7" i="13"/>
  <c r="E8" i="13"/>
  <c r="E9" i="13"/>
  <c r="E10" i="13"/>
  <c r="E11" i="13"/>
  <c r="E12" i="13"/>
  <c r="E13" i="13"/>
  <c r="D3" i="13"/>
  <c r="D4" i="13"/>
  <c r="D5" i="13"/>
  <c r="D6" i="13"/>
  <c r="D7" i="13"/>
  <c r="D8" i="13"/>
  <c r="D9" i="13"/>
  <c r="D10" i="13"/>
  <c r="D11" i="13"/>
  <c r="D12" i="13"/>
  <c r="D13" i="13"/>
  <c r="D2" i="13"/>
  <c r="C2" i="13"/>
  <c r="C3" i="13"/>
  <c r="C4" i="13"/>
  <c r="C5" i="13"/>
  <c r="C6" i="13"/>
  <c r="C7" i="13"/>
  <c r="C8" i="13"/>
  <c r="C9" i="13"/>
  <c r="C10" i="13"/>
  <c r="C11" i="13"/>
  <c r="C12" i="13"/>
  <c r="C13" i="13"/>
  <c r="B2" i="13"/>
  <c r="B3" i="13"/>
  <c r="B4" i="13"/>
  <c r="B5" i="13"/>
  <c r="B6" i="13"/>
  <c r="B7" i="13"/>
  <c r="B8" i="13"/>
  <c r="B9" i="13"/>
  <c r="B10" i="13"/>
  <c r="B11" i="13"/>
  <c r="B12" i="13"/>
  <c r="B13" i="13"/>
  <c r="O3" i="12"/>
  <c r="O4" i="12"/>
  <c r="O5" i="12"/>
  <c r="O6" i="12"/>
  <c r="K6" i="12"/>
  <c r="K5" i="12"/>
  <c r="K4" i="12"/>
  <c r="K3" i="12"/>
  <c r="O11" i="11"/>
  <c r="O10" i="11"/>
  <c r="O9" i="11"/>
  <c r="K9" i="11"/>
  <c r="O8" i="11"/>
  <c r="K8" i="11"/>
  <c r="O7" i="11"/>
  <c r="K7" i="11"/>
  <c r="O6" i="11"/>
  <c r="O5" i="11"/>
  <c r="K5" i="11"/>
  <c r="O4" i="11"/>
  <c r="K4" i="11"/>
  <c r="O3" i="11"/>
  <c r="K3" i="11"/>
  <c r="O5" i="9"/>
  <c r="K5" i="9"/>
  <c r="O4" i="9"/>
  <c r="K4" i="9"/>
  <c r="O3" i="9"/>
  <c r="K3" i="9"/>
  <c r="O14" i="8"/>
  <c r="K14" i="8"/>
  <c r="O13" i="8"/>
  <c r="O12" i="8"/>
  <c r="K12" i="8"/>
  <c r="O11" i="8"/>
  <c r="K11" i="8"/>
  <c r="O10" i="8"/>
  <c r="K10" i="8"/>
  <c r="O9" i="8"/>
  <c r="K9" i="8"/>
  <c r="O8" i="8"/>
  <c r="K8" i="8"/>
  <c r="O7" i="8"/>
  <c r="K7" i="8"/>
  <c r="O6" i="8"/>
  <c r="K6" i="8"/>
  <c r="O5" i="8"/>
  <c r="K5" i="8"/>
  <c r="O4" i="8"/>
  <c r="K4" i="8"/>
  <c r="O3" i="8"/>
  <c r="K3" i="8"/>
  <c r="O15" i="6"/>
  <c r="K15" i="6"/>
  <c r="O24" i="7"/>
  <c r="K24" i="7"/>
  <c r="O23" i="7"/>
  <c r="K23" i="7"/>
  <c r="O22" i="7"/>
  <c r="K22" i="7"/>
  <c r="O21" i="7"/>
  <c r="K21" i="7"/>
  <c r="O20" i="7"/>
  <c r="O19" i="7"/>
  <c r="K19" i="7"/>
  <c r="O18" i="7"/>
  <c r="K18" i="7"/>
  <c r="O17" i="7"/>
  <c r="K17" i="7"/>
  <c r="O16" i="7"/>
  <c r="K16" i="7"/>
  <c r="O15" i="7"/>
  <c r="K15" i="7"/>
  <c r="O14" i="7"/>
  <c r="K14" i="7"/>
  <c r="O13" i="7"/>
  <c r="K13" i="7"/>
  <c r="O12" i="7"/>
  <c r="K12" i="7"/>
  <c r="O11" i="7"/>
  <c r="K11" i="7"/>
  <c r="O10" i="7"/>
  <c r="K10" i="7"/>
  <c r="O9" i="7"/>
  <c r="K9" i="7"/>
  <c r="O8" i="7"/>
  <c r="K8" i="7"/>
  <c r="O7" i="7"/>
  <c r="K7" i="7"/>
  <c r="O6" i="7"/>
  <c r="K6" i="7"/>
  <c r="O5" i="7"/>
  <c r="K5" i="7"/>
  <c r="O4" i="7"/>
  <c r="K4" i="7"/>
  <c r="O3" i="7"/>
  <c r="K3" i="7"/>
  <c r="O14" i="6"/>
  <c r="K14" i="6"/>
  <c r="O13" i="6"/>
  <c r="K13" i="6"/>
  <c r="O12" i="6"/>
  <c r="K12" i="6"/>
  <c r="O11" i="6"/>
  <c r="K11" i="6"/>
  <c r="O10" i="6"/>
  <c r="O9" i="6"/>
  <c r="K9" i="6"/>
  <c r="O8" i="6"/>
  <c r="K8" i="6"/>
  <c r="O7" i="6"/>
  <c r="K7" i="6"/>
  <c r="O6" i="6"/>
  <c r="K6" i="6"/>
  <c r="O5" i="6"/>
  <c r="K5" i="6"/>
  <c r="O4" i="6"/>
  <c r="K4" i="6"/>
  <c r="O3" i="6"/>
  <c r="K3" i="6"/>
  <c r="K8" i="5"/>
  <c r="K7" i="5"/>
  <c r="K6" i="5"/>
  <c r="K5" i="5"/>
  <c r="K4" i="5"/>
  <c r="K3" i="5"/>
  <c r="O10" i="4"/>
  <c r="K10" i="4"/>
  <c r="O9" i="4"/>
  <c r="K9" i="4"/>
  <c r="O8" i="4"/>
  <c r="K8" i="4"/>
  <c r="O7" i="4"/>
  <c r="K7" i="4"/>
  <c r="O6" i="4"/>
  <c r="K6" i="4"/>
  <c r="O5" i="4"/>
  <c r="K5" i="4"/>
  <c r="O4" i="4"/>
  <c r="K4" i="4"/>
  <c r="O3" i="4"/>
  <c r="K3" i="4"/>
  <c r="N29" i="3"/>
  <c r="K29" i="3"/>
  <c r="N28" i="3"/>
  <c r="K28" i="3"/>
  <c r="N27" i="3"/>
  <c r="K27" i="3"/>
  <c r="N26" i="3"/>
  <c r="K26" i="3"/>
  <c r="N25" i="3"/>
  <c r="K25" i="3"/>
  <c r="N24" i="3"/>
  <c r="K24" i="3"/>
  <c r="N23" i="3"/>
  <c r="K23" i="3"/>
  <c r="N22" i="3"/>
  <c r="K22" i="3"/>
  <c r="N21" i="3"/>
  <c r="K21" i="3"/>
  <c r="N20" i="3"/>
  <c r="K20" i="3"/>
  <c r="N19" i="3"/>
  <c r="K19" i="3"/>
  <c r="N18" i="3"/>
  <c r="K18" i="3"/>
  <c r="N17" i="3"/>
  <c r="K17" i="3"/>
  <c r="N16" i="3"/>
  <c r="K16" i="3"/>
  <c r="N15" i="3"/>
  <c r="K15" i="3"/>
  <c r="N14" i="3"/>
  <c r="K14" i="3"/>
  <c r="N13" i="3"/>
  <c r="K13" i="3"/>
  <c r="N12" i="3"/>
  <c r="K12" i="3"/>
  <c r="N11" i="3"/>
  <c r="K11" i="3"/>
  <c r="N10" i="3"/>
  <c r="K10" i="3"/>
  <c r="N9" i="3"/>
  <c r="K9" i="3"/>
  <c r="N8" i="3"/>
  <c r="K8" i="3"/>
  <c r="N7" i="3"/>
  <c r="K7" i="3"/>
  <c r="N6" i="3"/>
  <c r="K6" i="3"/>
  <c r="N5" i="3"/>
  <c r="K5" i="3"/>
  <c r="N4" i="3"/>
  <c r="K4" i="3"/>
  <c r="K6" i="2"/>
  <c r="O98" i="2"/>
  <c r="O108" i="2"/>
  <c r="O107" i="2"/>
  <c r="K107" i="2"/>
  <c r="O106" i="2"/>
  <c r="K106" i="2"/>
  <c r="O105" i="2"/>
  <c r="K105" i="2"/>
  <c r="O104" i="2"/>
  <c r="K104" i="2"/>
  <c r="O103" i="2"/>
  <c r="O102" i="2"/>
  <c r="O101" i="2"/>
  <c r="K101" i="2"/>
  <c r="O100" i="2"/>
  <c r="K100" i="2"/>
  <c r="O99" i="2"/>
  <c r="K99" i="2"/>
  <c r="O97" i="2"/>
  <c r="K97" i="2"/>
  <c r="O96" i="2"/>
  <c r="K96" i="2"/>
  <c r="O95" i="2"/>
  <c r="K95" i="2"/>
  <c r="O94" i="2"/>
  <c r="K94" i="2"/>
  <c r="O93" i="2"/>
  <c r="K93" i="2"/>
  <c r="O92" i="2"/>
  <c r="K92" i="2"/>
  <c r="O91" i="2"/>
  <c r="K91" i="2"/>
  <c r="O90" i="2"/>
  <c r="O89" i="2"/>
  <c r="K89" i="2"/>
  <c r="O88" i="2"/>
  <c r="K88" i="2"/>
  <c r="O87" i="2"/>
  <c r="K87" i="2"/>
  <c r="O86" i="2"/>
  <c r="K86" i="2"/>
  <c r="O85" i="2"/>
  <c r="K85" i="2"/>
  <c r="O84" i="2"/>
  <c r="K84" i="2"/>
  <c r="O83" i="2"/>
  <c r="K83" i="2"/>
  <c r="O82" i="2"/>
  <c r="K82" i="2"/>
  <c r="O81" i="2"/>
  <c r="K81" i="2"/>
  <c r="O80" i="2"/>
  <c r="K80" i="2"/>
  <c r="O79" i="2"/>
  <c r="K79" i="2"/>
  <c r="O78" i="2"/>
  <c r="K78" i="2"/>
  <c r="O77" i="2"/>
  <c r="K77" i="2"/>
  <c r="O76" i="2"/>
  <c r="K76" i="2"/>
  <c r="O75" i="2"/>
  <c r="K75" i="2"/>
  <c r="O74" i="2"/>
  <c r="O73" i="2"/>
  <c r="K73" i="2"/>
  <c r="O72" i="2"/>
  <c r="K72" i="2"/>
  <c r="O71" i="2"/>
  <c r="K71" i="2"/>
  <c r="O70" i="2"/>
  <c r="K70" i="2"/>
  <c r="O69" i="2"/>
  <c r="K69" i="2"/>
  <c r="O68" i="2"/>
  <c r="K68" i="2"/>
  <c r="O67" i="2"/>
  <c r="K67" i="2"/>
  <c r="O66" i="2"/>
  <c r="K66" i="2"/>
  <c r="O65" i="2"/>
  <c r="K65" i="2"/>
  <c r="O64" i="2"/>
  <c r="K64" i="2"/>
  <c r="O63" i="2"/>
  <c r="K63" i="2"/>
  <c r="O62" i="2"/>
  <c r="K62" i="2"/>
  <c r="O61" i="2"/>
  <c r="K61" i="2"/>
  <c r="O60" i="2"/>
  <c r="K60" i="2"/>
  <c r="O59" i="2"/>
  <c r="K59" i="2"/>
  <c r="O58" i="2"/>
  <c r="K58" i="2"/>
  <c r="O57" i="2"/>
  <c r="K57" i="2"/>
  <c r="O56" i="2"/>
  <c r="K56" i="2"/>
  <c r="O55" i="2"/>
  <c r="K55" i="2"/>
  <c r="O54" i="2"/>
  <c r="K54" i="2"/>
  <c r="O53" i="2"/>
  <c r="K53" i="2"/>
  <c r="O52" i="2"/>
  <c r="O51" i="2"/>
  <c r="K51" i="2"/>
  <c r="O50" i="2"/>
  <c r="K50" i="2"/>
  <c r="O49" i="2"/>
  <c r="K49" i="2"/>
  <c r="O48" i="2"/>
  <c r="K48" i="2"/>
  <c r="O47" i="2"/>
  <c r="K47" i="2"/>
  <c r="O46" i="2"/>
  <c r="K46" i="2"/>
  <c r="O45" i="2"/>
  <c r="K45" i="2"/>
  <c r="O44" i="2"/>
  <c r="O43" i="2"/>
  <c r="K43" i="2"/>
  <c r="O42" i="2"/>
  <c r="K42" i="2"/>
  <c r="O41" i="2"/>
  <c r="K41" i="2"/>
  <c r="O40" i="2"/>
  <c r="K40" i="2"/>
  <c r="O39" i="2"/>
  <c r="K39" i="2"/>
  <c r="O38" i="2"/>
  <c r="K38" i="2"/>
  <c r="O37" i="2"/>
  <c r="K37" i="2"/>
  <c r="O36" i="2"/>
  <c r="K36" i="2"/>
  <c r="O35" i="2"/>
  <c r="K35" i="2"/>
  <c r="O34" i="2"/>
  <c r="K34" i="2"/>
  <c r="O33" i="2"/>
  <c r="K33" i="2"/>
  <c r="O32" i="2"/>
  <c r="K32" i="2"/>
  <c r="O31" i="2"/>
  <c r="K31" i="2"/>
  <c r="O30" i="2"/>
  <c r="K30" i="2"/>
  <c r="O29" i="2"/>
  <c r="K29" i="2"/>
  <c r="O28" i="2"/>
  <c r="K28" i="2"/>
  <c r="O27" i="2"/>
  <c r="K27" i="2"/>
  <c r="O26" i="2"/>
  <c r="K26" i="2"/>
  <c r="O25" i="2"/>
  <c r="K25" i="2"/>
  <c r="O24" i="2"/>
  <c r="K24" i="2"/>
  <c r="O23" i="2"/>
  <c r="K23" i="2"/>
  <c r="O22" i="2"/>
  <c r="K22" i="2"/>
  <c r="O21" i="2"/>
  <c r="K21" i="2"/>
  <c r="O20" i="2"/>
  <c r="K20" i="2"/>
  <c r="O19" i="2"/>
  <c r="K19" i="2"/>
  <c r="O18" i="2"/>
  <c r="K18" i="2"/>
  <c r="O17" i="2"/>
  <c r="K17" i="2"/>
  <c r="O16" i="2"/>
  <c r="K16" i="2"/>
  <c r="O15" i="2"/>
  <c r="K15" i="2"/>
  <c r="O14" i="2"/>
  <c r="K14" i="2"/>
  <c r="O13" i="2"/>
  <c r="K13" i="2"/>
  <c r="O12" i="2"/>
  <c r="K12" i="2"/>
  <c r="O11" i="2"/>
  <c r="K11" i="2"/>
  <c r="O10" i="2"/>
  <c r="K10" i="2"/>
  <c r="O9" i="2"/>
  <c r="K9" i="2"/>
  <c r="O8" i="2"/>
  <c r="K8" i="2"/>
  <c r="O7" i="2"/>
  <c r="K7" i="2"/>
  <c r="O6" i="2"/>
  <c r="O5" i="2"/>
  <c r="K5" i="2"/>
  <c r="O4" i="2"/>
  <c r="K4" i="2"/>
</calcChain>
</file>

<file path=xl/sharedStrings.xml><?xml version="1.0" encoding="utf-8"?>
<sst xmlns="http://schemas.openxmlformats.org/spreadsheetml/2006/main" count="2331" uniqueCount="621">
  <si>
    <t>GDP INSPECTION CLASSIFICATION DATA BASE AS AT 2023</t>
  </si>
  <si>
    <t>S/N</t>
  </si>
  <si>
    <t>NAME OF MANUFACTURER</t>
  </si>
  <si>
    <t>LOCATION ADDRESS</t>
  </si>
  <si>
    <t>CONTACT</t>
  </si>
  <si>
    <t>TYPE OF LAST INSPECTION</t>
  </si>
  <si>
    <t xml:space="preserve"> </t>
  </si>
  <si>
    <t>FINDINGS</t>
  </si>
  <si>
    <t>CAPA ISSUED DATE</t>
  </si>
  <si>
    <t>CAPA SUBMITTED</t>
  </si>
  <si>
    <t>CONCLUSION</t>
  </si>
  <si>
    <t>REMARKS</t>
  </si>
  <si>
    <t>EXPECTED DATE OF INSPECTION</t>
  </si>
  <si>
    <t>OMPANY FILE</t>
  </si>
  <si>
    <t>Column1</t>
  </si>
  <si>
    <t>COMPANY FILE</t>
  </si>
  <si>
    <t>MECURE INDUSTRIES LTD</t>
  </si>
  <si>
    <t>Plot 6, Block H, Apapa Oshodi Expressway, Oshodi, Lagos</t>
  </si>
  <si>
    <t>0700632873</t>
  </si>
  <si>
    <t>GDP</t>
  </si>
  <si>
    <t>Low-Risk (A)</t>
  </si>
  <si>
    <t>31st march 2023</t>
  </si>
  <si>
    <t>YES</t>
  </si>
  <si>
    <t>CAPA Submited</t>
  </si>
  <si>
    <t>CAPA VERIFICATION SHOULD BE SCHEDULED</t>
  </si>
  <si>
    <t>https://nafdacng.sharepoint.com/sites/PMSLAGOS/Shared Documents/GDP (GOOD DISTRIBUTION PRATICE)/GSDP COMPANY FILES\MECURE IND. LTD</t>
  </si>
  <si>
    <t>https://nafdacng.sharepoint.com/sites/PMSLAGOS/Shared Documents/GSDP (GOOD STORAGE AND DISTRIBUTION PRACTICE)/GSDP COMPANY FILES\MECURE IND. LTD</t>
  </si>
  <si>
    <t>GENEITH PHARMACEUTICALS</t>
  </si>
  <si>
    <t>12, Adewale Crescent, Oshodi, Lagos</t>
  </si>
  <si>
    <t>08122912281</t>
  </si>
  <si>
    <t>https://nafdacng.sharepoint.com/sites/PMSLAGOS/Shared Documents/GDP (GOOD DISTRIBUTION PRATICE)/GSDP COMPANY FILES\GENEITH PHARM. LTD</t>
  </si>
  <si>
    <t>https://nafdacng.sharepoint.com/sites/PMSLAGOS/Shared Documents/GSDP (GOOD STORAGE AND DISTRIBUTION PRACTICE)/GSDP COMPANY FILES\GENEITH PHARM. LTD</t>
  </si>
  <si>
    <t>ONWUADI &amp; SONS LTD</t>
  </si>
  <si>
    <t>11, Achakpo Street, Ajegunle, Lagos</t>
  </si>
  <si>
    <t>08028642459</t>
  </si>
  <si>
    <t>Medium-Risk (B)</t>
  </si>
  <si>
    <t>4th April 2023</t>
  </si>
  <si>
    <t>https://nafdacng.sharepoint.com/sites/PMSLAGOS/Shared Documents/GDP (GOOD DISTRIBUTION PRATICE)/GSDP COMPANY FILES\ONWUADI AND SONS LTD</t>
  </si>
  <si>
    <t>https://nafdacng.sharepoint.com/sites/PMSLAGOS/Shared Documents/GSDP (GOOD STORAGE AND DISTRIBUTION PRACTICE)/GSDP COMPANY FILES\ONWUADI AND SONS LTD</t>
  </si>
  <si>
    <t>MODDY DRUG CO. LTD</t>
  </si>
  <si>
    <t>93, Baale Street, Ajegunle, Lagos</t>
  </si>
  <si>
    <t>0802306320</t>
  </si>
  <si>
    <t>NO</t>
  </si>
  <si>
    <t>CAPA to be Submited</t>
  </si>
  <si>
    <t>https://nafdacng.sharepoint.com/sites/PMSLAGOS/Shared Documents/GDP (GOOD DISTRIBUTION PRATICE)/GSDP COMPANY FILES\MOODY DRUGS CO. LTD</t>
  </si>
  <si>
    <t>https://nafdacng.sharepoint.com/sites/PMSLAGOS/Shared Documents/GSDP (GOOD STORAGE AND DISTRIBUTION PRACTICE)/GSDP COMPANY FILES\MOODY DRUGS CO. LTD</t>
  </si>
  <si>
    <t xml:space="preserve">JUMENCO PHARMACEUTICAL </t>
  </si>
  <si>
    <t>52, Ladega Street, Ikorodu,Lagos</t>
  </si>
  <si>
    <t>08065232177</t>
  </si>
  <si>
    <t>14/02/2023</t>
  </si>
  <si>
    <t>https://nafdacng.sharepoint.com/sites/PMSLAGOS/Shared Documents/GDP (GOOD DISTRIBUTION PRATICE)/GSDP COMPANY FILES\JUMENCO PHARMACEUTICALS LTD</t>
  </si>
  <si>
    <t>https://nafdacng.sharepoint.com/sites/PMSLAGOS/Shared Documents/GSDP (GOOD STORAGE AND DISTRIBUTION PRACTICE)/GSDP COMPANY FILES\JUMENCO PHARMACEUTICALS LTD</t>
  </si>
  <si>
    <t>ANOKEM PHARMACEUTICALS</t>
  </si>
  <si>
    <t>58,Eluku Street,Ikorodu, Lagos</t>
  </si>
  <si>
    <t>07017691325</t>
  </si>
  <si>
    <t>https://nafdacng.sharepoint.com/sites/PMSLAGOS/Shared Documents/GDP (GOOD DISTRIBUTION PRATICE)/GSDP COMPANY FILES\ANOKEM PHARM. LTD</t>
  </si>
  <si>
    <t>https://nafdacng.sharepoint.com/sites/PMSLAGOS/Shared Documents/GSDP (GOOD STORAGE AND DISTRIBUTION PRACTICE)/GSDP COMPANY FILES\ANOKEM PHARM. LTD</t>
  </si>
  <si>
    <t>RALPHONES PHARMACEUTICAL</t>
  </si>
  <si>
    <t>1 Ralphone Lane,Irawo ajegunle,ikorodu,Lagos</t>
  </si>
  <si>
    <t>08037588238</t>
  </si>
  <si>
    <t>https://nafdacng.sharepoint.com/sites/PMSLAGOS/Shared Documents/GDP (GOOD DISTRIBUTION PRATICE)/GSDP COMPANY FILES\RALPHONES PHARMACEUTICAL LTD</t>
  </si>
  <si>
    <t>https://nafdacng.sharepoint.com/sites/PMSLAGOS/Shared Documents/GSDP (GOOD STORAGE AND DISTRIBUTION PRACTICE)/GSDP COMPANY FILES\RALPHONES PHARMACEUTICAL LTD</t>
  </si>
  <si>
    <t>LUGZ PHARMACEUTICAL</t>
  </si>
  <si>
    <t xml:space="preserve">58,Lagos Rd,Opp UBA,Ikorodu, Lagos </t>
  </si>
  <si>
    <t>08093955361  08148337773</t>
  </si>
  <si>
    <t>https://nafdacng.sharepoint.com/sites/PMSLAGOS/Shared Documents/GDP (GOOD DISTRIBUTION PRATICE)/GSDP COMPANY FILES\LUGZ PHARMACY</t>
  </si>
  <si>
    <t>https://nafdacng.sharepoint.com/sites/PMSLAGOS/Shared Documents/GSDP (GOOD STORAGE AND DISTRIBUTION PRACTICE)/GSDP COMPANY FILES\LUGZ PHARMACY</t>
  </si>
  <si>
    <t xml:space="preserve">LADAMOS PHARMACY </t>
  </si>
  <si>
    <t>2, Adenaike Alagbe Street , Ikorodu, Lagos</t>
  </si>
  <si>
    <t>08033885195</t>
  </si>
  <si>
    <t xml:space="preserve">High-Risk (C)    </t>
  </si>
  <si>
    <t>They were not issued cd</t>
  </si>
  <si>
    <t>N/A</t>
  </si>
  <si>
    <t>GOODCARE PHARMACEUTICAL</t>
  </si>
  <si>
    <t>11, sawo Road,Agric,Ikorodu,Lagos</t>
  </si>
  <si>
    <t>08064266572</t>
  </si>
  <si>
    <t>15/02/2023</t>
  </si>
  <si>
    <t>https://nafdacng.sharepoint.com/sites/PMSLAGOS/Shared Documents/GDP (GOOD DISTRIBUTION PRATICE)/GSDP COMPANY FILES\GOODCARE</t>
  </si>
  <si>
    <t>https://nafdacng.sharepoint.com/sites/PMSLAGOS/Shared Documents/GSDP (GOOD STORAGE AND DISTRIBUTION PRACTICE)/GSDP COMPANY FILES\GOODCARE</t>
  </si>
  <si>
    <t>PATVICS PHARMACEUTICAL</t>
  </si>
  <si>
    <t>603, Ikorodu Road, Mile 12, Lagos</t>
  </si>
  <si>
    <t>08033927269</t>
  </si>
  <si>
    <t>https://nafdacng.sharepoint.com/sites/PMSLAGOS/Shared Documents/GDP (GOOD DISTRIBUTION PRATICE)/GSDP COMPANY FILES\PATVICS LTD</t>
  </si>
  <si>
    <t>https://nafdacng.sharepoint.com/sites/PMSLAGOS/Shared Documents/GSDP (GOOD STORAGE AND DISTRIBUTION PRACTICE)/GSDP COMPANY FILES\PATVICS LTD</t>
  </si>
  <si>
    <t>KOJOS PHARMACY</t>
  </si>
  <si>
    <t>5, Oju Emuren Street, Odogunyan, Ikorodu</t>
  </si>
  <si>
    <t>08073823496</t>
  </si>
  <si>
    <t>https://nafdacng.sharepoint.com/sites/PMSLAGOS/Shared Documents/GDP (GOOD DISTRIBUTION PRATICE)/GSDP COMPANY FILES\KOJOS PHARMACY LTD</t>
  </si>
  <si>
    <t>https://nafdacng.sharepoint.com/sites/PMSLAGOS/Shared Documents/GSDP (GOOD STORAGE AND DISTRIBUTION PRACTICE)/GSDP COMPANY FILES\KOJOS PHARMACY LTD</t>
  </si>
  <si>
    <t>VIXA PHARMACEUTICALS</t>
  </si>
  <si>
    <t>13B, Sunday Jigida street, off celestical way,ogudu, lagos</t>
  </si>
  <si>
    <t>07082004139</t>
  </si>
  <si>
    <t>SWIPHA NIGERIA</t>
  </si>
  <si>
    <t>5, Dopemu road, depemu Lagos</t>
  </si>
  <si>
    <t>08146679976</t>
  </si>
  <si>
    <t>16/02/2023</t>
  </si>
  <si>
    <t>https://nafdacng.sharepoint.com/sites/PMSLAGOS/Shared Documents/GDP (GOOD DISTRIBUTION PRATICE)/GSDP COMPANY FILES\SWIPHA NIG. LTD</t>
  </si>
  <si>
    <t>https://nafdacng.sharepoint.com/sites/PMSLAGOS/Shared Documents/GSDP (GOOD STORAGE AND DISTRIBUTION PRACTICE)/GSDP COMPANY FILES\SWIPHA NIG. LTD</t>
  </si>
  <si>
    <t>BJ CHOICE PHARM</t>
  </si>
  <si>
    <t xml:space="preserve">1, Okenube Last Bus Stop, Ikotun Lagos </t>
  </si>
  <si>
    <t>08033204754</t>
  </si>
  <si>
    <t>CAPA  to be Submited</t>
  </si>
  <si>
    <t>https://nafdacng.sharepoint.com/sites/PMSLAGOS/Shared Documents/GDP (GOOD DISTRIBUTION PRATICE)/GSDP COMPANY FILES\BJ CHOICE PHARM. LTD</t>
  </si>
  <si>
    <t>https://nafdacng.sharepoint.com/sites/PMSLAGOS/Shared Documents/GSDP (GOOD STORAGE AND DISTRIBUTION PRACTICE)/GSDP COMPANY FILES\BJ CHOICE PHARM. LTD</t>
  </si>
  <si>
    <t>PAKEN VENTURES</t>
  </si>
  <si>
    <t>294, Idimu Road, Ikotun-Egbeda</t>
  </si>
  <si>
    <t>08103961314</t>
  </si>
  <si>
    <t>https://nafdacng.sharepoint.com/sites/PMSLAGOS/Shared Documents/GDP (GOOD DISTRIBUTION PRATICE)/GSDP COMPANY FILES\PAKEN VENTURES LTD</t>
  </si>
  <si>
    <t>https://nafdacng.sharepoint.com/sites/PMSLAGOS/Shared Documents/GSDP (GOOD STORAGE AND DISTRIBUTION PRACTICE)/GSDP COMPANY FILES\PAKEN VENTURES LTD</t>
  </si>
  <si>
    <t xml:space="preserve">HENBOSCO PHARMACY </t>
  </si>
  <si>
    <t>195, Abeokuta Exp. Way, Iyana Ipaja</t>
  </si>
  <si>
    <t>08099916512</t>
  </si>
  <si>
    <t>17/02/2023</t>
  </si>
  <si>
    <t>https://nafdacng.sharepoint.com/sites/PMSLAGOS/Shared Documents/GDP (GOOD DISTRIBUTION PRATICE)/GSDP COMPANY FILES\HENBOSCO PHARMACY LTD</t>
  </si>
  <si>
    <t>https://nafdacng.sharepoint.com/sites/PMSLAGOS/Shared Documents/GSDP (GOOD STORAGE AND DISTRIBUTION PRACTICE)/GSDP COMPANY FILES\HENBOSCO PHARMACY LTD</t>
  </si>
  <si>
    <t>LYNDUS PHARMACY LTD</t>
  </si>
  <si>
    <t>9 Akesan Rd, Egan, by Nepa, Igando, Alimosho, Lagos</t>
  </si>
  <si>
    <t>08137719998                08037138148</t>
  </si>
  <si>
    <t>21/02/2023</t>
  </si>
  <si>
    <t>https://nafdacng.sharepoint.com/sites/PMSLAGOS/Shared Documents/GDP (GOOD DISTRIBUTION PRATICE)/GSDP COMPANY FILES\LYNDUS PHARMACY LTD</t>
  </si>
  <si>
    <t>https://nafdacng.sharepoint.com/sites/PMSLAGOS/Shared Documents/GSDP (GOOD STORAGE AND DISTRIBUTION PRACTICE)/GSDP COMPANY FILES\LYNDUS PHARMACY LTD</t>
  </si>
  <si>
    <t>ROM CHIDECK PHARM. LTD</t>
  </si>
  <si>
    <t>4, Disusts, Isheri, Oshun, Alem, Lagos .</t>
  </si>
  <si>
    <t>07018687107</t>
  </si>
  <si>
    <t>https://nafdacng.sharepoint.com/sites/PMSLAGOS/Shared%20Documents/GDP%20(GOOD%20DISTRIBUTION%20PRATICE)/GSDP%20COMPANY%20FILES\ROM-CHIDEK</t>
  </si>
  <si>
    <t xml:space="preserve">JUVYWAY PHARMCY CO.LTD </t>
  </si>
  <si>
    <t xml:space="preserve">57,Alimosho Road,Iyana- Ipaja, Lagos </t>
  </si>
  <si>
    <t>08133295836</t>
  </si>
  <si>
    <t>22/02/2023</t>
  </si>
  <si>
    <t>https://nafdacng.sharepoint.com/sites/PMSLAGOS/Shared Documents/GDP (GOOD DISTRIBUTION PRATICE)/GSDP COMPANY FILES\JUVYWAY PHARMACY</t>
  </si>
  <si>
    <t>https://nafdacng.sharepoint.com/sites/PMSLAGOS/Shared Documents/GSDP (GOOD STORAGE AND DISTRIBUTION PRACTICE)/GSDP COMPANY FILES\JUVYWAY PHARMACY</t>
  </si>
  <si>
    <t xml:space="preserve">EVERSHINE PHARMACEUTICAL NIG LTD </t>
  </si>
  <si>
    <t xml:space="preserve">41, Amoke Alasala Street, Iyana- Ipaja, Lagos </t>
  </si>
  <si>
    <t>08061290502</t>
  </si>
  <si>
    <t>https://nafdacng.sharepoint.com/sites/PMSLAGOS/Shared Documents/GDP (GOOD DISTRIBUTION PRATICE)/GSDP COMPANY FILES\EVERSHINE PHARMA NIG LTD</t>
  </si>
  <si>
    <t>https://nafdacng.sharepoint.com/sites/PMSLAGOS/Shared Documents/GSDP (GOOD STORAGE AND DISTRIBUTION PRACTICE)/GSDP COMPANY FILES\EVERSHINE PHARMA NIG LTD</t>
  </si>
  <si>
    <t xml:space="preserve">
FRANKEY NIG.LTD </t>
  </si>
  <si>
    <t>9, Victor Fagbami street,Iyana- Ipaja, Lagos .</t>
  </si>
  <si>
    <t>08033012635</t>
  </si>
  <si>
    <t>https://nafdacng.sharepoint.com/sites/PMSLAGOS/Shared Documents/GDP (GOOD DISTRIBUTION PRATICE)/GSDP COMPANY FILES/FRANKCY NIG LTD</t>
  </si>
  <si>
    <t>https://nafdacng.sharepoint.com/sites/PMSLAGOS/Shared Documents/GSDP (GOOD STORAGE AND DISTRIBUTION PRACTICE)/GSDP COMPANY FILES/FRANKCY NIG LTD</t>
  </si>
  <si>
    <t>GOD IS GREAT PHARMACY</t>
  </si>
  <si>
    <t xml:space="preserve">1,Kola Ogunwale, Off Iyana Ipaja Lagos </t>
  </si>
  <si>
    <t>08058520035</t>
  </si>
  <si>
    <t>23/02/2023</t>
  </si>
  <si>
    <t>https://nafdacng.sharepoint.com/sites/PMSLAGOS/Shared Documents/GDP (GOOD DISTRIBUTION PRATICE)/GSDP COMPANY FILES\GOD IS GREAT PHARMACY</t>
  </si>
  <si>
    <t>https://nafdacng.sharepoint.com/sites/PMSLAGOS/Shared Documents/GSDP (GOOD STORAGE AND DISTRIBUTION PRACTICE)/GSDP COMPANY FILES\GOD IS GREAT PHARMACY</t>
  </si>
  <si>
    <t>SOMEC UNITED PHARMACY</t>
  </si>
  <si>
    <t>3,Adebayo Street Iyana Ipaja Lagos</t>
  </si>
  <si>
    <t>07062791634</t>
  </si>
  <si>
    <t>https://nafdacng.sharepoint.com/sites/PMSLAGOS/Shared Documents/GDP (GOOD DISTRIBUTION PRATICE)/GSDP COMPANY FILES/SKY PHARM</t>
  </si>
  <si>
    <t>https://nafdacng.sharepoint.com/sites/PMSLAGOS/Shared Documents/GSDP (GOOD STORAGE AND DISTRIBUTION PRACTICE)/GSDP COMPANY FILES/SKY PHARM</t>
  </si>
  <si>
    <t>UNITED ABC PHARMACEUTICAL</t>
  </si>
  <si>
    <t xml:space="preserve">45/47,Ipaja Road, Iyana Ipaja, Lagos </t>
  </si>
  <si>
    <t>08099887692</t>
  </si>
  <si>
    <t>https://nafdacng.sharepoint.com/sites/PMSLAGOS/Shared Documents/GDP (GOOD DISTRIBUTION PRATICE)/GSDP COMPANY FILES\UNITED ABC PHARM</t>
  </si>
  <si>
    <t>https://nafdacng.sharepoint.com/sites/PMSLAGOS/Shared Documents/GSDP (GOOD STORAGE AND DISTRIBUTION PRACTICE)/GSDP COMPANY FILES\UNITED ABC PHARM</t>
  </si>
  <si>
    <t xml:space="preserve">SA PHARMACY </t>
  </si>
  <si>
    <t>1, Imope Compound, Ikotun, Lagos State</t>
  </si>
  <si>
    <t>08033454283</t>
  </si>
  <si>
    <t>24/02/2023</t>
  </si>
  <si>
    <t>https://nafdacng.sharepoint.com/sites/PMSLAGOS/Shared Documents/GDP (GOOD DISTRIBUTION PRATICE)/GSDP COMPANY FILES\SA PHARMACY</t>
  </si>
  <si>
    <t>https://nafdacng.sharepoint.com/sites/PMSLAGOS/Shared Documents/GSDP (GOOD STORAGE AND DISTRIBUTION PRACTICE)/GSDP COMPANY FILES\SA PHARMACY</t>
  </si>
  <si>
    <t>RIGHTMATE PHARMACY</t>
  </si>
  <si>
    <t xml:space="preserve">3,Fatimo Street, Ikotun Lagos State </t>
  </si>
  <si>
    <t>08063358238</t>
  </si>
  <si>
    <t xml:space="preserve">Medium-Risk (B)    </t>
  </si>
  <si>
    <t>https://nafdacng.sharepoint.com/sites/PMSLAGOS/Shared Documents/GDP (GOOD DISTRIBUTION PRATICE)/GSDP COMPANY FILES\RIGHTMARES PHARM LTD</t>
  </si>
  <si>
    <t>https://nafdacng.sharepoint.com/sites/PMSLAGOS/Shared Documents/GSDP (GOOD STORAGE AND DISTRIBUTION PRACTICE)/GSDP COMPANY FILES\RIGHTMARES PHARM LTD</t>
  </si>
  <si>
    <t>M. U. SAM VENTURES LTD.</t>
  </si>
  <si>
    <t>Baale compound behind 156, Ipaja Road, Lagos.</t>
  </si>
  <si>
    <t>08180985654</t>
  </si>
  <si>
    <t>28/03/2023</t>
  </si>
  <si>
    <t xml:space="preserve">High-Risk (C) </t>
  </si>
  <si>
    <t>https://nafdacng.sharepoint.com/sites/PMSLAGOS/Shared Documents/GDP (GOOD DISTRIBUTION PRATICE)/GSDP COMPANY FILES\M.U. SAM</t>
  </si>
  <si>
    <t>https://nafdacng.sharepoint.com/sites/PMSLAGOS/Shared Documents/GSDP (GOOD STORAGE AND DISTRIBUTION PRACTICE)/GSDP COMPANY FILES\M.U. SAM</t>
  </si>
  <si>
    <t>LIVE BETA PHARMACEUTICALS LTD.</t>
  </si>
  <si>
    <t>147, Dopemu Road, Agege, Lagos.</t>
  </si>
  <si>
    <t>08039636208</t>
  </si>
  <si>
    <t>8th june 2023</t>
  </si>
  <si>
    <t>https://nafdacng.sharepoint.com/sites/PMSLAGOS/Shared Documents/GDP (GOOD DISTRIBUTION PRATICE)/GSDP COMPANY FILES\LIVE BETA PHARM</t>
  </si>
  <si>
    <t>https://nafdacng.sharepoint.com/sites/PMSLAGOS/Shared Documents/GSDP (GOOD STORAGE AND DISTRIBUTION PRACTICE)/GSDP COMPANY FILES\LIVE BETA PHARM</t>
  </si>
  <si>
    <t>AGU JUDEA PHARM. NIG. LTD.</t>
  </si>
  <si>
    <t>No. 193, Agege Motor road, Iyana Ipaja, Lagos</t>
  </si>
  <si>
    <t>08162478478</t>
  </si>
  <si>
    <t>https://nafdacng.sharepoint.com/sites/PMSLAGOS/Shared Documents/GDP (GOOD DISTRIBUTION PRATICE)/GSDP COMPANY FILES\AGU JUDEA PHARMACEUTICLAS</t>
  </si>
  <si>
    <t>https://nafdacng.sharepoint.com/sites/PMSLAGOS/Shared Documents/GSDP (GOOD STORAGE AND DISTRIBUTION PRACTICE)/GSDP COMPANY FILES\AGU JUDEA PHARMACEUTICLAS</t>
  </si>
  <si>
    <t>ZIFAM PINNACLE NIG. LTD.</t>
  </si>
  <si>
    <t>227, Ikorodu-Ososun Road, Obanikoro, Lagos</t>
  </si>
  <si>
    <t>08066886883</t>
  </si>
  <si>
    <t>29/03/2023</t>
  </si>
  <si>
    <t>https://nafdacng.sharepoint.com/sites/PMSLAGOS/Shared Documents/GDP (GOOD DISTRIBUTION PRATICE)/GSDP COMPANY FILES\ZIFAM PINNACLES LTD</t>
  </si>
  <si>
    <t>https://nafdacng.sharepoint.com/sites/PMSLAGOS/Shared Documents/GSDP (GOOD STORAGE AND DISTRIBUTION PRACTICE)/GSDP COMPANY FILES\ZIFAM PINNACLES LTD</t>
  </si>
  <si>
    <t>UNITED AFRICA LABORATORY LIMITED</t>
  </si>
  <si>
    <t>9, Tebun Bisiriyu street, shahsha, Lagos.</t>
  </si>
  <si>
    <t>07063877874</t>
  </si>
  <si>
    <t>30/03/2023</t>
  </si>
  <si>
    <t>11th august 2023</t>
  </si>
  <si>
    <t>https://nafdacng.sharepoint.com/sites/PMSLAGOS/Shared Documents/GDP (GOOD DISTRIBUTION PRATICE)/GSDP COMPANY FILES\UNITED AFRICA LABORATORY LTD</t>
  </si>
  <si>
    <t>https://nafdacng.sharepoint.com/sites/PMSLAGOS/Shared Documents/GSDP (GOOD STORAGE AND DISTRIBUTION PRACTICE)/GSDP COMPANY FILES\UNITED AFRICA LABORATORY LTD</t>
  </si>
  <si>
    <t>SANTUS PHARMACY &amp; STORES LTD.</t>
  </si>
  <si>
    <t>11, Sasha road, Akowonjo, Lagos.</t>
  </si>
  <si>
    <t>08051263650</t>
  </si>
  <si>
    <t>29th january 2024</t>
  </si>
  <si>
    <t>DONE</t>
  </si>
  <si>
    <t>https://nafdacng.sharepoint.com/sites/PMSLAGOS/Shared Documents/GDP (GOOD DISTRIBUTION PRATICE)/GSDP COMPANY FILES\SANTUS PHARMACY LTD</t>
  </si>
  <si>
    <t>https://nafdacng.sharepoint.com/sites/PMSLAGOS/Shared Documents/GSDP (GOOD STORAGE AND DISTRIBUTION PRACTICE)/GSDP COMPANY FILES\SANTUS PHARMACY LTD</t>
  </si>
  <si>
    <t>THINK ETERNITY DRUGS LTD.</t>
  </si>
  <si>
    <t>1, Oguntande street, Shasha, Lagos.</t>
  </si>
  <si>
    <t>08120739721</t>
  </si>
  <si>
    <t>https://nafdacng.sharepoint.com/sites/PMSLAGOS/Shared Documents/GDP (GOOD DISTRIBUTION PRATICE)/GSDP COMPANY FILES\THINK ENTERNITY DRUGS LTD</t>
  </si>
  <si>
    <t>https://nafdacng.sharepoint.com/sites/PMSLAGOS/Shared Documents/GSDP (GOOD STORAGE AND DISTRIBUTION PRACTICE)/GSDP COMPANY FILES\THINK ENTERNITY DRUGS LTD</t>
  </si>
  <si>
    <t>MIVERO PHARM. LTD.</t>
  </si>
  <si>
    <t>244, Agege Motor road, Mushin, Lagos.</t>
  </si>
  <si>
    <t>08161396721</t>
  </si>
  <si>
    <t>30th january 2024</t>
  </si>
  <si>
    <t>https://nafdacng.sharepoint.com/sites/PMSLAGOS/Shared Documents/GDP (GOOD DISTRIBUTION PRATICE)/GSDP COMPANY FILES\MIVERO PHARM</t>
  </si>
  <si>
    <t>https://nafdacng.sharepoint.com/sites/PMSLAGOS/Shared Documents/GSDP (GOOD STORAGE AND DISTRIBUTION PRACTICE)/GSDP COMPANY FILES\MIVERO PHARM</t>
  </si>
  <si>
    <t>R.L. UPRIGHT WAY NIG. LTD.</t>
  </si>
  <si>
    <t>15, Market street, Somolu, Lagos.</t>
  </si>
  <si>
    <t>08162250028</t>
  </si>
  <si>
    <t>https://nafdacng.sharepoint.com/sites/PMSLAGOS/Shared Documents/GDP (GOOD DISTRIBUTION PRATICE)/GSDP COMPANY FILES\R.L UPRIGHTWAY NIG LTD</t>
  </si>
  <si>
    <t>https://nafdacng.sharepoint.com/sites/PMSLAGOS/Shared Documents/GSDP (GOOD STORAGE AND DISTRIBUTION PRACTICE)/GSDP COMPANY FILES\R.L UPRIGHTWAY NIG LTD</t>
  </si>
  <si>
    <t>TEACO PHARM. CO. NIG. LTD.</t>
  </si>
  <si>
    <t>50, Akowonjo Road ,Egbeda, Lagos.</t>
  </si>
  <si>
    <t>08033025740</t>
  </si>
  <si>
    <t>https://nafdacng.sharepoint.com/sites/PMSLAGOS/Shared Documents/GDP (GOOD DISTRIBUTION PRATICE)/GSDP COMPANY FILES\TEACO PHARMACY</t>
  </si>
  <si>
    <t>https://nafdacng.sharepoint.com/sites/PMSLAGOS/Shared Documents/GSDP (GOOD STORAGE AND DISTRIBUTION PRACTICE)/GSDP COMPANY FILES\TEACO PHARMACY</t>
  </si>
  <si>
    <t>FUNKET NIG. LTD.</t>
  </si>
  <si>
    <t>83, Ikotun-Idumu road, Lagos.</t>
  </si>
  <si>
    <t>08033156922</t>
  </si>
  <si>
    <t>https://nafdacng.sharepoint.com/sites/PMSLAGOS/Shared Documents/GDP (GOOD DISTRIBUTION PRATICE)/GSDP COMPANY FILES\FUNKET NIG. LTD</t>
  </si>
  <si>
    <t>https://nafdacng.sharepoint.com/sites/PMSLAGOS/Shared Documents/GSDP (GOOD STORAGE AND DISTRIBUTION PRACTICE)/GSDP COMPANY FILES\FUNKET NIG. LTD</t>
  </si>
  <si>
    <t>KATCEE-MACKENZIE &amp;ASSOCIATES</t>
  </si>
  <si>
    <t>7, Market Street, Shomolu, Lagos</t>
  </si>
  <si>
    <t>08023649732</t>
  </si>
  <si>
    <t>https://nafdacng.sharepoint.com/sites/PMSLAGOS/Shared Documents/GDP (GOOD DISTRIBUTION PRATICE)/GSDP COMPANY FILES\KATCEE-MACKENZIE LTD</t>
  </si>
  <si>
    <t>https://nafdacng.sharepoint.com/sites/PMSLAGOS/Shared Documents/GSDP (GOOD STORAGE AND DISTRIBUTION PRACTICE)/GSDP COMPANY FILES\KATCEE-MACKENZIE LTD</t>
  </si>
  <si>
    <t>DRUG-IT SOLUTIONS LIMITED</t>
  </si>
  <si>
    <t>1, Ileshomi  Street, Mafoluku, Oshodi, Lagos</t>
  </si>
  <si>
    <t>08093346489</t>
  </si>
  <si>
    <t>18/04/2023</t>
  </si>
  <si>
    <t>9th may 2023</t>
  </si>
  <si>
    <t>https://nafdacng.sharepoint.com/sites/PMSLAGOS/Shared Documents/GDP (GOOD DISTRIBUTION PRATICE)/GSDP COMPANY FILES\DRUG IT PHARMACY</t>
  </si>
  <si>
    <t>https://nafdacng.sharepoint.com/sites/PMSLAGOS/Shared Documents/GSDP (GOOD STORAGE AND DISTRIBUTION PRACTICE)/GSDP COMPANY FILES\DRUG IT PHARMACY</t>
  </si>
  <si>
    <t>FAMOUS NIG. LTD.</t>
  </si>
  <si>
    <t>1,Olurunshogo Str., Mushin, Lagos.</t>
  </si>
  <si>
    <t>08035922751</t>
  </si>
  <si>
    <t>19/04/2023</t>
  </si>
  <si>
    <t>High-Risk (C)</t>
  </si>
  <si>
    <t>https://nafdacng.sharepoint.com/sites/PMSLAGOS/Shared Documents/GDP (GOOD DISTRIBUTION PRATICE)/GSDP COMPANY FILES\FAMOUS CHEMIST LTD</t>
  </si>
  <si>
    <t>https://nafdacng.sharepoint.com/sites/PMSLAGOS/Shared Documents/GSDP (GOOD STORAGE AND DISTRIBUTION PRACTICE)/GSDP COMPANY FILES\FAMOUS CHEMIST LTD</t>
  </si>
  <si>
    <t>ALIMOSHO CHEMIST LTD.</t>
  </si>
  <si>
    <t>47, Alew Ipaja Road, Iyana-Ipaja, Lagos</t>
  </si>
  <si>
    <t>The facility is no longer engaged in the importation or distribution of drugs in the past 5 years.</t>
  </si>
  <si>
    <t>A letter stating that they have stopped distribution was recieved by the directorate.</t>
  </si>
  <si>
    <t>https://nafdacng.sharepoint.com/sites/PMSLAGOS/Shared Documents/GDP (GOOD DISTRIBUTION PRATICE)/GSDP COMPANY FILES\ALIMOSHO CHEMISTS LTD</t>
  </si>
  <si>
    <t>https://nafdacng.sharepoint.com/sites/PMSLAGOS/Shared Documents/GSDP (GOOD STORAGE AND DISTRIBUTION PRACTICE)/GSDP COMPANY FILES\ALIMOSHO CHEMISTS LTD</t>
  </si>
  <si>
    <t>GOD 'S FOUNDATION PHARMA LTD.</t>
  </si>
  <si>
    <t>19, Baale Street, Orile, Iganmu , Lagos</t>
  </si>
  <si>
    <t>08162879574</t>
  </si>
  <si>
    <t>https://nafdacng.sharepoint.com/sites/PMSLAGOS/Shared Documents/GDP (GOOD DISTRIBUTION PRATICE)/GSDP COMPANY FILES\GODS FOUNDATION</t>
  </si>
  <si>
    <t>https://nafdacng.sharepoint.com/sites/PMSLAGOS/Shared Documents/GSDP (GOOD STORAGE AND DISTRIBUTION PRACTICE)/GSDP COMPANY FILES\GODS FOUNDATION</t>
  </si>
  <si>
    <t>E.U. EMMASON PHARM. CO.LTD.</t>
  </si>
  <si>
    <t>1, Baale street, Orile, Iganmu, Lagos</t>
  </si>
  <si>
    <t>08144612951</t>
  </si>
  <si>
    <t>https://nafdacng.sharepoint.com/sites/PMSLAGOS/Shared Documents/GDP (GOOD DISTRIBUTION PRATICE)/GSDP COMPANY FILES\E.U EMMASON</t>
  </si>
  <si>
    <t>https://nafdacng.sharepoint.com/sites/PMSLAGOS/Shared Documents/GSDP (GOOD STORAGE AND DISTRIBUTION PRACTICE)/GSDP COMPANY FILES\E.U EMMASON</t>
  </si>
  <si>
    <t>ANYIWEST PHARMACY LTD.</t>
  </si>
  <si>
    <t>3, Meiran road, shop 10, Merian B/stop. Abeokuta expressway, lagos</t>
  </si>
  <si>
    <t>08037277883</t>
  </si>
  <si>
    <t>https://nafdacng.sharepoint.com/sites/PMSLAGOS/Shared Documents/GDP (GOOD DISTRIBUTION PRATICE)/GSDP COMPANY FILES\ANYI WEST PHARMACY</t>
  </si>
  <si>
    <t>https://nafdacng.sharepoint.com/sites/PMSLAGOS/Shared Documents/GSDP (GOOD STORAGE AND DISTRIBUTION PRACTICE)/GSDP COMPANY FILES\ANYI WEST PHARMACY</t>
  </si>
  <si>
    <t>KRANTZ PHARMACEUTICAL &amp; CHEMICALS LTD.</t>
  </si>
  <si>
    <t>17,Muri Bakare street, Idimu, Lagos</t>
  </si>
  <si>
    <t>08033006749</t>
  </si>
  <si>
    <t>https://nafdacng.sharepoint.com/sites/PMSLAGOS/Shared Documents/GDP (GOOD DISTRIBUTION PRATICE)/GSDP COMPANY FILES\KRANTZ PHARMACY</t>
  </si>
  <si>
    <t>https://nafdacng.sharepoint.com/sites/PMSLAGOS/Shared Documents/GSDP (GOOD STORAGE AND DISTRIBUTION PRACTICE)/GSDP COMPANY FILES\KRANTZ PHARMACY</t>
  </si>
  <si>
    <t xml:space="preserve">ALGANDA PHARMACY </t>
  </si>
  <si>
    <t>16, Best time Avenue, start time Estate, Ago palaceway, Lagos</t>
  </si>
  <si>
    <t>08064445412</t>
  </si>
  <si>
    <t>https://nafdacng.sharepoint.com/sites/PMSLAGOS/Shared Documents/GDP (GOOD DISTRIBUTION PRATICE)/GSDP COMPANY FILES\ALGANDA PHARMACEUTICALS</t>
  </si>
  <si>
    <t>https://nafdacng.sharepoint.com/sites/PMSLAGOS/Shared Documents/GSDP (GOOD STORAGE AND DISTRIBUTION PRACTICE)/GSDP COMPANY FILES\ALGANDA PHARMACEUTICALS</t>
  </si>
  <si>
    <t>CIKASON PHARMACY</t>
  </si>
  <si>
    <t>2/4 Toyin Adebiyi, off Ezeagulu street, Oke afa, lagos.</t>
  </si>
  <si>
    <t>08033846632</t>
  </si>
  <si>
    <t>https://nafdacng.sharepoint.com/sites/PMSLAGOS/Shared Documents/GDP (GOOD DISTRIBUTION PRATICE)/GSDP COMPANY FILES\CIKASON PHARMACY</t>
  </si>
  <si>
    <t>https://nafdacng.sharepoint.com/sites/PMSLAGOS/Shared Documents/GSDP (GOOD STORAGE AND DISTRIBUTION PRACTICE)/GSDP COMPANY FILES\CIKASON PHARMACY</t>
  </si>
  <si>
    <t>MARY-IYKE PHARMACY &amp; STORES</t>
  </si>
  <si>
    <t>136, Baale Animashaun street, Dalemo, Alakuko, Abule Egba, Lagos</t>
  </si>
  <si>
    <t>08023051074</t>
  </si>
  <si>
    <t>https://nafdacng.sharepoint.com/sites/PMSLAGOS/Shared Documents/GDP (GOOD DISTRIBUTION PRATICE)/GSDP COMPANY FILES\MARY IYKE PHARMACY</t>
  </si>
  <si>
    <t>https://nafdacng.sharepoint.com/sites/PMSLAGOS/Shared Documents/GSDP (GOOD STORAGE AND DISTRIBUTION PRACTICE)/GSDP COMPANY FILES\MARY IYKE PHARMACY</t>
  </si>
  <si>
    <t>DRUG STOC E HUB LIMITED</t>
  </si>
  <si>
    <t>China town, taiwo street</t>
  </si>
  <si>
    <t>08087674169</t>
  </si>
  <si>
    <t>NO CAPA ISSUED</t>
  </si>
  <si>
    <t>CONTINOUS MONITORING TO ENSURE COMPLIANCE</t>
  </si>
  <si>
    <t>https://nafdacng.sharepoint.com/sites/PMSLAGOS/Shared Documents/GDP (GOOD DISTRIBUTION PRATICE)/GSDP COMPANY FILES\DRUG STOC EHUB</t>
  </si>
  <si>
    <t>https://nafdacng.sharepoint.com/sites/PMSLAGOS/Shared Documents/GSDP (GOOD STORAGE AND DISTRIBUTION PRACTICE)/GSDP COMPANY FILES\DRUG STOC EHUB</t>
  </si>
  <si>
    <t>MAC EVENTUS PHARM. CO. LTD.</t>
  </si>
  <si>
    <t xml:space="preserve">23, Yakayo Rd, Oja B/stop, Ojodu, Lagos. </t>
  </si>
  <si>
    <t>08024785424</t>
  </si>
  <si>
    <t>https://nafdacng.sharepoint.com/sites/PMSLAGOS/Shared Documents/GDP (GOOD DISTRIBUTION PRATICE)/GSDP COMPANY FILES\MAC EVENTUS PHARM LTD</t>
  </si>
  <si>
    <t>https://nafdacng.sharepoint.com/sites/PMSLAGOS/Shared Documents/GSDP (GOOD STORAGE AND DISTRIBUTION PRACTICE)/GSDP COMPANY FILES\MAC EVENTUS PHARM LTD</t>
  </si>
  <si>
    <t>SAMNTO PHARM. LTD.</t>
  </si>
  <si>
    <t>16b, Tolu road. olodi-Apapa. Lagos</t>
  </si>
  <si>
    <t>08060650657</t>
  </si>
  <si>
    <t>https://nafdacng.sharepoint.com/sites/PMSLAGOS/Shared Documents/GDP (GOOD DISTRIBUTION PRATICE)/GSDP COMPANY FILES\SAMNTO PHARM</t>
  </si>
  <si>
    <t>https://nafdacng.sharepoint.com/sites/PMSLAGOS/Shared Documents/GSDP (GOOD STORAGE AND DISTRIBUTION PRACTICE)/GSDP COMPANY FILES\SAMNTO PHARM</t>
  </si>
  <si>
    <t>ALANTRA PHARMACY</t>
  </si>
  <si>
    <t>7, Oyoromi street, off kodesoh street</t>
  </si>
  <si>
    <t>08023595633</t>
  </si>
  <si>
    <t>https://nafdacng.sharepoint.com/sites/PMSLAGOS/Shared Documents/GSDP (GOOD STORAGE AND DISTRIBUTION PRACTICE)/GSDP COMPANY FILES/A Alantra</t>
  </si>
  <si>
    <t>CHEV PHARMACEUTICALS</t>
  </si>
  <si>
    <t>13, Adeyemi street, Oshodi, Lagos</t>
  </si>
  <si>
    <t>08151488040</t>
  </si>
  <si>
    <t>31/05/2023</t>
  </si>
  <si>
    <t>https://nafdacng.sharepoint.com/sites/PMSLAGOS/Shared Documents/GDP (GOOD DISTRIBUTION PRATICE)/GSDP COMPANY FILES\CHEV PHARMACEUTICALS LTD</t>
  </si>
  <si>
    <t>https://nafdacng.sharepoint.com/sites/PMSLAGOS/Shared Documents/GSDP (GOOD STORAGE AND DISTRIBUTION PRACTICE)/GSDP COMPANY FILES\CHEV PHARMACEUTICALS LTD</t>
  </si>
  <si>
    <t>REMSON INVESTMENT LTD</t>
  </si>
  <si>
    <t>74 Agbado station road Ijaye, Lagos</t>
  </si>
  <si>
    <t>09015418270</t>
  </si>
  <si>
    <t>23/06/23</t>
  </si>
  <si>
    <t>https://nafdacng.sharepoint.com/sites/PMSLAGOS/Shared Documents/GDP (GOOD DISTRIBUTION PRATICE)/GSDP COMPANY FILES\REMSON</t>
  </si>
  <si>
    <t>https://nafdacng.sharepoint.com/sites/PMSLAGOS/Shared Documents/GSDP (GOOD STORAGE AND DISTRIBUTION PRACTICE)/GSDP COMPANY FILES\REMSON</t>
  </si>
  <si>
    <t>CITY OF GLORY PHARMACEUTICALS</t>
  </si>
  <si>
    <t>20, Iga Oba compond Ijegun, Lagos</t>
  </si>
  <si>
    <t>08065637705</t>
  </si>
  <si>
    <t>23/6/23</t>
  </si>
  <si>
    <t>https://nafdacng.sharepoint.com/sites/PMSLAGOS/Shared Documents/GDP (GOOD DISTRIBUTION PRATICE)/GSDP COMPANY FILES\CITY OF GLORY PHARM</t>
  </si>
  <si>
    <t>https://nafdacng.sharepoint.com/sites/PMSLAGOS/Shared Documents/GSDP (GOOD STORAGE AND DISTRIBUTION PRACTICE)/GSDP COMPANY FILES\CITY OF GLORY PHARM</t>
  </si>
  <si>
    <t>CHRIS NELB PHARM. LTD.</t>
  </si>
  <si>
    <t>6, Karimu street, kirikiri, lagos.</t>
  </si>
  <si>
    <t>08023206178</t>
  </si>
  <si>
    <t>https://nafdacng.sharepoint.com/sites/PMSLAGOS/Shared Documents/GDP (GOOD DISTRIBUTION PRATICE)/GSDP COMPANY FILES\CHRIS NELB PHARMACY</t>
  </si>
  <si>
    <t>https://nafdacng.sharepoint.com/sites/PMSLAGOS/Shared Documents/GSDP (GOOD STORAGE AND DISTRIBUTION PRACTICE)/GSDP COMPANY FILES\CHRIS NELB PHARMACY</t>
  </si>
  <si>
    <t>SURPLUS PHARMACY LTD.</t>
  </si>
  <si>
    <t>48, Igiolugbin street</t>
  </si>
  <si>
    <t>08085784284</t>
  </si>
  <si>
    <t>14/6/23</t>
  </si>
  <si>
    <t>https://nafdacng.sharepoint.com/sites/PMSLAGOS/Shared Documents/GDP (GOOD DISTRIBUTION PRATICE)/GSDP COMPANY FILES\SURPLUS PHARM</t>
  </si>
  <si>
    <t>https://nafdacng.sharepoint.com/sites/PMSLAGOS/Shared Documents/GSDP (GOOD STORAGE AND DISTRIBUTION PRACTICE)/GSDP COMPANY FILES\SURPLUS PHARM</t>
  </si>
  <si>
    <t>JOHN VIKEE PHARM.</t>
  </si>
  <si>
    <t>Igbodo New L/O, Oluwaseyi B/S, Ishashi, Lagos</t>
  </si>
  <si>
    <t>07038054807</t>
  </si>
  <si>
    <t>https://nafdacng.sharepoint.com/sites/PMSLAGOS/Shared Documents/GDP (GOOD DISTRIBUTION PRATICE)/GSDP COMPANY FILES\JOHNVIKEE PHARM</t>
  </si>
  <si>
    <t>DOMINO PHARMACY LTD.</t>
  </si>
  <si>
    <t>Km 48, Badagry Exp. Way, Okokomaiko, Lagos.</t>
  </si>
  <si>
    <t>08033622376</t>
  </si>
  <si>
    <t>https://nafdacng.sharepoint.com/sites/PMSLAGOS/Shared Documents/GDP (GOOD DISTRIBUTION PRATICE)/GSDP COMPANY FILES\DOMINO PHARM</t>
  </si>
  <si>
    <t>https://nafdacng.sharepoint.com/sites/PMSLAGOS/Shared Documents/GSDP (GOOD STORAGE AND DISTRIBUTION PRACTICE)/GSDP COMPANY FILES\DOMINO PHARM</t>
  </si>
  <si>
    <t>HOLEX PHARMACEUTCAL LTD.</t>
  </si>
  <si>
    <t>45, Old Ojo road, A,gboju, Amuwo, Lagos</t>
  </si>
  <si>
    <t>08067392192</t>
  </si>
  <si>
    <t xml:space="preserve">Medium-Risk (B)
</t>
  </si>
  <si>
    <t>https://nafdacng.sharepoint.com/sites/PMSLAGOS/Shared Documents/GDP (GOOD DISTRIBUTION PRATICE)/GSDP COMPANY FILES\HOLEX PHARMACEUTICALS</t>
  </si>
  <si>
    <t>https://nafdacng.sharepoint.com/sites/PMSLAGOS/Shared Documents/GSDP (GOOD STORAGE AND DISTRIBUTION PRACTICE)/GSDP COMPANY FILES\HOLEX PHARMACEUTICALS</t>
  </si>
  <si>
    <t>WINDON PHARMACY</t>
  </si>
  <si>
    <t>20, Badagry express way road, Oko</t>
  </si>
  <si>
    <t>08063788228</t>
  </si>
  <si>
    <t>https://nafdacng.sharepoint.com/sites/PMSLAGOS/Shared Documents/GDP (GOOD DISTRIBUTION PRATICE)/GSDP COMPANY FILES\WINDOM PHARMACY</t>
  </si>
  <si>
    <t>https://nafdacng.sharepoint.com/sites/PMSLAGOS/Shared Documents/GSDP (GOOD STORAGE AND DISTRIBUTION PRACTICE)/GSDP COMPANY FILES\WINDOM PHARMACY</t>
  </si>
  <si>
    <t xml:space="preserve">JOSFEKMART PHARMACY </t>
  </si>
  <si>
    <t>146, Ekoro road, Abule Egba, Lagos.</t>
  </si>
  <si>
    <t>09036389457</t>
  </si>
  <si>
    <t>https://nafdacng.sharepoint.com/sites/PMSLAGOS/Shared Documents/GDP (GOOD DISTRIBUTION PRATICE)/GSDP COMPANY FILES\JOSEFERKMART PHARMACY</t>
  </si>
  <si>
    <t>https://nafdacng.sharepoint.com/sites/PMSLAGOS/Shared Documents/GSDP (GOOD STORAGE AND DISTRIBUTION PRACTICE)/GSDP COMPANY FILES\JOSEFERKMART PHARMACY</t>
  </si>
  <si>
    <t>LINCO STAR PHARMACEUTICALS</t>
  </si>
  <si>
    <t>7/29, Olubumni Alonge st
reet, Pako Aguda B/stop</t>
  </si>
  <si>
    <t>07060841212</t>
  </si>
  <si>
    <t>Medium-Ris
k (B)</t>
  </si>
  <si>
    <t>https://nafdacng.sharepoint.com/sites/PMSLAGOS/Shared Documents/GDP (GOOD DISTRIBUTION PRATICE)/GSDP COMPANY FILES\LINCO STAR PHARM</t>
  </si>
  <si>
    <t>https://nafdacng.sharepoint.com/sites/PMSLAGOS/Shared Documents/GSDP (GOOD STORAGE AND DISTRIBUTION PRACTICE)/GSDP COMPANY FILES\LINCO STAR PHARM</t>
  </si>
  <si>
    <t>E. EGBESON CHEM. PHARM.</t>
  </si>
  <si>
    <t>61, Egbe road, Ejibo Lagos.</t>
  </si>
  <si>
    <t>07032823116</t>
  </si>
  <si>
    <t>https://nafdacng.sharepoint.com/sites/PMSLAGOS/Shared Documents/GDP (GOOD DISTRIBUTION PRATICE)/GSDP COMPANY FILES\E. EGBESON CHEM PHARM</t>
  </si>
  <si>
    <t>https://nafdacng.sharepoint.com/sites/PMSLAGOS/Shared Documents/GSDP (GOOD STORAGE AND DISTRIBUTION PRACTICE)/GSDP COMPANY FILES\E. EGBESON CHEM PHARM</t>
  </si>
  <si>
    <t>DE GOOD GOD PHARMACY</t>
  </si>
  <si>
    <t>4, Agbo Ille compond lane, Ijegun, lagos</t>
  </si>
  <si>
    <t>08035569255</t>
  </si>
  <si>
    <t>https://nafdacng.sharepoint.com/sites/PMSLAGOS/Shared Documents/GDP (GOOD DISTRIBUTION PRATICE)/GSDP COMPANY FILES\DE GOOD GOD PHARM</t>
  </si>
  <si>
    <t>https://nafdacng.sharepoint.com/sites/PMSLAGOS/Shared Documents/GSDP (GOOD STORAGE AND DISTRIBUTION PRACTICE)/GSDP COMPANY FILES\DE GOOD GOD PHARM</t>
  </si>
  <si>
    <t>ALKATRICE PHARMACEUTICALS</t>
  </si>
  <si>
    <t>14, Mosalasi street, Mazama, Kuje-Amuwo</t>
  </si>
  <si>
    <t>09132483301</t>
  </si>
  <si>
    <t>https://nafdacng.sharepoint.com/sites/PMSLAGOS/Shared Documents/GDP (GOOD DISTRIBUTION PRATICE)/GSDP COMPANY FILES\ALKATRICE PHARMACEUTICALS</t>
  </si>
  <si>
    <t>https://nafdacng.sharepoint.com/sites/PMSLAGOS/Shared Documents/GSDP (GOOD STORAGE AND DISTRIBUTION PRACTICE)/GSDP COMPANY FILES\ALKATRICE PHARMACEUTICALS</t>
  </si>
  <si>
    <t>LIVE MORE PHARMACY</t>
  </si>
  <si>
    <t>231, Old Ojo road, Agboju-Amuwo</t>
  </si>
  <si>
    <t>08031939448</t>
  </si>
  <si>
    <t>https://nafdacng.sharepoint.com/sites/PMSLAGOS/Shared Documents/GDP (GOOD DISTRIBUTION PRATICE)/GSDP COMPANY FILES\LIVE MORE PHARMACY</t>
  </si>
  <si>
    <t>https://nafdacng.sharepoint.com/sites/PMSLAGOS/Shared Documents/GSDP (GOOD STORAGE AND DISTRIBUTION PRACTICE)/GSDP COMPANY FILES\LIVE MORE PHARMACY</t>
  </si>
  <si>
    <t>UZOKENN PHARMACY</t>
  </si>
  <si>
    <t>268, Ipaja road, Agege, Lagos</t>
  </si>
  <si>
    <t>08033035614</t>
  </si>
  <si>
    <t>22/6/2023</t>
  </si>
  <si>
    <t>https://nafdacng.sharepoint.com/sites/PMSLAGOS/Shared Documents/GDP (GOOD DISTRIBUTION PRATICE)/GSDP COMPANY FILES\UZOKENN PHARMACY</t>
  </si>
  <si>
    <t>https://nafdacng.sharepoint.com/sites/PMSLAGOS/Shared Documents/GSDP (GOOD STORAGE AND DISTRIBUTION PRACTICE)/GSDP COMPANY FILES\UZOKENN PHARMACY</t>
  </si>
  <si>
    <t>EVITA MOORE NIG. LTD.</t>
  </si>
  <si>
    <t>1, Showonuola Street, Alhaja Bus- Stop</t>
  </si>
  <si>
    <t>09093309160</t>
  </si>
  <si>
    <t>16/06/2023</t>
  </si>
  <si>
    <t>https://nafdacng.sharepoint.com/sites/PMSLAGOS/Shared Documents/GDP (GOOD DISTRIBUTION PRATICE)/GSDP COMPANY FILES\EVITA MOORE NIG LTD</t>
  </si>
  <si>
    <t>https://nafdacng.sharepoint.com/sites/PMSLAGOS/Shared Documents/GSDP (GOOD STORAGE AND DISTRIBUTION PRACTICE)/GSDP COMPANY FILES\EVITA MOORE NIG LTD</t>
  </si>
  <si>
    <t>GLACK PHARMACEUTICALS LTD.</t>
  </si>
  <si>
    <t>22, Stella Osholake street, off international Airport road, Ajao Estate</t>
  </si>
  <si>
    <t>08033040722</t>
  </si>
  <si>
    <t>29/12/24</t>
  </si>
  <si>
    <t>https://nafdacng.sharepoint.com/sites/PMSLAGOS/Shared Documents/GDP (GOOD DISTRIBUTION PRATICE)/GSDP COMPANY FILES\GLACK PHARMECEUTICALS LTD</t>
  </si>
  <si>
    <t>https://nafdacng.sharepoint.com/sites/PMSLAGOS/Shared Documents/GSDP (GOOD STORAGE AND DISTRIBUTION PRACTICE)/GSDP COMPANY FILES\GLACK PHARMECEUTICALS LTD</t>
  </si>
  <si>
    <t>DRUG FIELD PHARMACEUTICALS</t>
  </si>
  <si>
    <t>13, Adeogun Street, Abule- egba, Lagos</t>
  </si>
  <si>
    <t>08033594790</t>
  </si>
  <si>
    <t>27/06/2023</t>
  </si>
  <si>
    <t>Mediu
m-Risk (B)</t>
  </si>
  <si>
    <t>COMPLIANCE WAS NOT ISSUED</t>
  </si>
  <si>
    <t>https://nafdacng.sharepoint.com/sites/PMSLAGOS/Shared Documents/GDP (GOOD DISTRIBUTION PRATICE)/GSDP COMPANY FILES\DRUG FIELD</t>
  </si>
  <si>
    <t>https://nafdacng.sharepoint.com/sites/PMSLAGOS/Shared Documents/GSDP (GOOD STORAGE AND DISTRIBUTION PRACTICE)/GSDP COMPANY FILES\DRUG FIELD</t>
  </si>
  <si>
    <t>DIVINE LIFT PHARMACEUTICALS</t>
  </si>
  <si>
    <t>107, Ipaja Rd, Agege, Lagos.</t>
  </si>
  <si>
    <t>07036950165</t>
  </si>
  <si>
    <t>https://nafdacng.sharepoint.com/sites/PMSLAGOS/Shared Documents/GDP (GOOD DISTRIBUTION PRATICE)/GSDP COMPANY FILES\DIVINE LIFT PHARMACY</t>
  </si>
  <si>
    <t>https://nafdacng.sharepoint.com/sites/PMSLAGOS/Shared Documents/GSDP (GOOD STORAGE AND DISTRIBUTION PRACTICE)/GSDP COMPANY FILES\DIVINE LIFT PHARMACY</t>
  </si>
  <si>
    <t>A.N. CHIDOZIE PHARMACEUTICALS</t>
  </si>
  <si>
    <t>1a, Ajelogo road, Mile 12, Lagos.</t>
  </si>
  <si>
    <t>0813882640</t>
  </si>
  <si>
    <t>https://nafdacng.sharepoint.com/sites/PMSLAGOS/Shared Documents/GDP (GOOD DISTRIBUTION PRATICE)/GSDP COMPANY FILES\A.N CHIDOZIE PHARMACEUTICAL LTD</t>
  </si>
  <si>
    <t>https://nafdacng.sharepoint.com/sites/PMSLAGOS/Shared Documents/GSDP (GOOD STORAGE AND DISTRIBUTION PRACTICE)/GSDP COMPANY FILES\A.N CHIDOZIE PHARMACEUTICAL LTD</t>
  </si>
  <si>
    <t xml:space="preserve">OBITEX DIVINE PHARMACEUTICALS
</t>
  </si>
  <si>
    <t xml:space="preserve">1a Ajelogo Road Mile 12 Lagos
</t>
  </si>
  <si>
    <t>08146376060</t>
  </si>
  <si>
    <t>https://nafdacng.sharepoint.com/sites/PMSLAGOS/Shared Documents/GDP (GOOD DISTRIBUTION PRATICE)/GSDP COMPANY FILES\OBITEX DIVINE PHARMACEUTICALS</t>
  </si>
  <si>
    <t>https://nafdacng.sharepoint.com/sites/PMSLAGOS/Shared Documents/GSDP (GOOD STORAGE AND DISTRIBUTION PRACTICE)/GSDP COMPANY FILES\OBITEX DIVINE PHARMACEUTICALS</t>
  </si>
  <si>
    <t xml:space="preserve">DRUG AMBASSADOR PHARM LTD.
</t>
  </si>
  <si>
    <t xml:space="preserve">Block E, Shop 9 &amp; 10,Prowa Complex Dillion Street Kirikiri Lagos State
</t>
  </si>
  <si>
    <t>09128428211</t>
  </si>
  <si>
    <t>https://nafdacng.sharepoint.com/sites/PMSLAGOS/Shared Documents/GDP (GOOD DISTRIBUTION PRATICE)/GSDP COMPANY FILES\DRUG AMBASADOR  PHARM</t>
  </si>
  <si>
    <t>https://nafdacng.sharepoint.com/sites/PMSLAGOS/Shared Documents/GSDP (GOOD STORAGE AND DISTRIBUTION PRACTICE)/GSDP COMPANY FILES\DRUG AMBASADOR PHARM</t>
  </si>
  <si>
    <t>BLESSED NOEDYKE PHARM. CO</t>
  </si>
  <si>
    <t>21,fadu Avenue, Ejigbo, Lagos</t>
  </si>
  <si>
    <t>08034060316</t>
  </si>
  <si>
    <t>23/1/2023</t>
  </si>
  <si>
    <t>https://nafdacng.sharepoint.com/sites/PMSLAGOS/Shared Documents/GDP (GOOD DISTRIBUTION PRATICE)/GSDP COMPANY FILES\BLESSED NEODYKE PHARM CO</t>
  </si>
  <si>
    <t>https://nafdacng.sharepoint.com/sites/PMSLAGOS/Shared Documents/GSDP (GOOD STORAGE AND DISTRIBUTION PRACTICE)/GSDP COMPANY FILES\BLESSED NEODYKE PHARM CO</t>
  </si>
  <si>
    <t>ELBE PHARMA.NIG.LTD</t>
  </si>
  <si>
    <t>1A African Church Close,Off Coker Road, Ilupej,Lagos State</t>
  </si>
  <si>
    <t>07031971331</t>
  </si>
  <si>
    <t>21/07/2023</t>
  </si>
  <si>
    <t>https://nafdacng.sharepoint.com/sites/PMSLAGOS/Shared Documents/GDP (GOOD DISTRIBUTION PRATICE)/GSDP COMPANY FILES\ELBE PHARMA. NIG LTD</t>
  </si>
  <si>
    <t>https://nafdacng.sharepoint.com/sites/PMSLAGOS/Shared Documents/GSDP (GOOD STORAGE AND DISTRIBUTION PRACTICE)/GSDP COMPANY FILES\ELBE PHARMA. NIG LTD</t>
  </si>
  <si>
    <t>GREENLIFE PHARMA</t>
  </si>
  <si>
    <t xml:space="preserve">3 Nasfat Close,Off Isolo Way, Ajao Estate, Lagos State
</t>
  </si>
  <si>
    <t>08033431338</t>
  </si>
  <si>
    <t>22/07/2023</t>
  </si>
  <si>
    <t>Low-Risk 
(A)</t>
  </si>
  <si>
    <t>16/01/24</t>
  </si>
  <si>
    <t>https://nafdacng.sharepoint.com/sites/PMSLAGOS/Shared Documents/GDP (GOOD DISTRIBUTION PRATICE)/GSDP COMPANY FILES\GREENLIFE PHARM. LTD</t>
  </si>
  <si>
    <t>https://nafdacng.sharepoint.com/sites/PMSLAGOS/Shared Documents/GSDP (GOOD STORAGE AND DISTRIBUTION PRACTICE)/GSDP COMPANY FILES\GREENLIFE PHARM. LTD</t>
  </si>
  <si>
    <t>EMBASSY PHARM</t>
  </si>
  <si>
    <t xml:space="preserve">41,Ademola Street,Off Obafemi Awolowo Road,Ikoyi,Lagos state
</t>
  </si>
  <si>
    <t>08033276868</t>
  </si>
  <si>
    <t>19/07/2023</t>
  </si>
  <si>
    <t>https://nafdacng.sharepoint.com/sites/PMSLAGOS/Shared Documents/GDP (GOOD DISTRIBUTION PRATICE)/GSDP COMPANY FILES\EMBASSY PHARM</t>
  </si>
  <si>
    <t>https://nafdacng.sharepoint.com/sites/PMSLAGOS/Shared Documents/GSDP (GOOD STORAGE AND DISTRIBUTION PRACTICE)/GSDP COMPANY FILES\EMBASSY PHARM</t>
  </si>
  <si>
    <t>TEKA PHARMACEUTICALS</t>
  </si>
  <si>
    <t xml:space="preserve">6,Morgan Estate,Phase 2 Ojuodu,Ikeja,Lagos State
</t>
  </si>
  <si>
    <t>07030814453</t>
  </si>
  <si>
    <t>https://nafdacng.sharepoint.com/sites/PMSLAGOS/Shared Documents/GDP (GOOD DISTRIBUTION PRATICE)/GSDP COMPANY FILES\TEKA PHARM</t>
  </si>
  <si>
    <t>https://nafdacng.sharepoint.com/sites/PMSLAGOS/Shared Documents/GSDP (GOOD STORAGE AND DISTRIBUTION PRACTICE)/GSDP COMPANY FILES\TEKA PHARM</t>
  </si>
  <si>
    <t>CLARION HEALTHCARE</t>
  </si>
  <si>
    <t xml:space="preserve">23,Afolabi Lesi Street,Ilupeju,Lagos State
</t>
  </si>
  <si>
    <t>08022902392</t>
  </si>
  <si>
    <t>31/07/2023</t>
  </si>
  <si>
    <t xml:space="preserve">Low-Risk (A)
</t>
  </si>
  <si>
    <t>27/07/23</t>
  </si>
  <si>
    <t>https://nafdacng.sharepoint.com/sites/PMSLAGOS/Shared Documents/GDP (GOOD DISTRIBUTION PRATICE)/GSDP COMPANY FILES\CLARION HEALTHCARE</t>
  </si>
  <si>
    <t>https://nafdacng.sharepoint.com/sites/PMSLAGOS/Shared Documents/GSDP (GOOD STORAGE AND DISTRIBUTION PRACTICE)/GSDP COMPANY FILES\CLARION HEALTHCARE</t>
  </si>
  <si>
    <t>HUGO DRUGS LIMITED</t>
  </si>
  <si>
    <t xml:space="preserve">62,Falolu Road,Surulere,Lagos
</t>
  </si>
  <si>
    <t>07065593663</t>
  </si>
  <si>
    <t>27/03/23</t>
  </si>
  <si>
    <t>https://nafdacng.sharepoint.com/sites/PMSLAGOS/Shared Documents/GDP (GOOD DISTRIBUTION PRATICE)/GSDP COMPANY FILES\HUGO DRUGS LIMITED</t>
  </si>
  <si>
    <t>https://nafdacng.sharepoint.com/sites/PMSLAGOS/Shared Documents/GSDP (GOOD STORAGE AND DISTRIBUTION PRACTICE)/GSDP COMPANY FILES\HUGO DRUGS LIMITED</t>
  </si>
  <si>
    <t>MARK PHARMACEUTICALS</t>
  </si>
  <si>
    <t xml:space="preserve">21,Moronui Cresent,Off Adelabu Road Surulere,Lagos,State
</t>
  </si>
  <si>
    <t>08067785840</t>
  </si>
  <si>
    <t>20/07/2023</t>
  </si>
  <si>
    <t>https://nafdacng.sharepoint.com/sites/PMSLAGOS/Shared Documents/GDP (GOOD DISTRIBUTION PRATICE)/GSDP COMPANY FILES\MARK PHARMACEUTICALS</t>
  </si>
  <si>
    <t>https://nafdacng.sharepoint.com/sites/PMSLAGOS/Shared Documents/GSDP (GOOD STORAGE AND DISTRIBUTION PRACTICE)/GSDP COMPANY FILES\MARK PHARMACEUTICALS</t>
  </si>
  <si>
    <t>DERM PHARMACEUTICALS</t>
  </si>
  <si>
    <t xml:space="preserve">19,Alhaji Salami Street,Aguda,Surulere,Lagos,State
</t>
  </si>
  <si>
    <t>08039532253</t>
  </si>
  <si>
    <t>CAPA CLOSED</t>
  </si>
  <si>
    <t>https://nafdacng.sharepoint.com/sites/PMSLAGOS/Shared Documents/GDP (GOOD DISTRIBUTION PRATICE)/GSDP COMPANY FILES\DERM PHARMACEUTICALS</t>
  </si>
  <si>
    <t>https://nafdacng.sharepoint.com/sites/PMSLAGOS/Shared Documents/GSDP (GOOD STORAGE AND DISTRIBUTION PRACTICE)/GSDP COMPANY FILES\DERM PHARMACEUTICALS</t>
  </si>
  <si>
    <t>SAGAR VITACEUTICALS</t>
  </si>
  <si>
    <t xml:space="preserve">Plot 2,Ladipoe Oluwole Street,Off Oba Akran Avenue,Ikeja,Lagos State.
</t>
  </si>
  <si>
    <t>08023692457</t>
  </si>
  <si>
    <t xml:space="preserve">High-Risk (C)
</t>
  </si>
  <si>
    <t>https://nafdacng.sharepoint.com/sites/PMSLAGOS/Shared Documents/GDP (GOOD DISTRIBUTION PRATICE)/GSDP COMPANY FILES\SAGAR VITACEAUTICALS NIG LTD</t>
  </si>
  <si>
    <t>https://nafdacng.sharepoint.com/sites/PMSLAGOS/Shared Documents/GSDP (GOOD STORAGE AND DISTRIBUTION PRACTICE)/GSDP COMPANY FILES\SAGAR VITACEAUTICALS NIG LTD</t>
  </si>
  <si>
    <t>VINCO PHARMACEUTICAL</t>
  </si>
  <si>
    <t xml:space="preserve">48,Dupe Otegbola Street Opp,Navy Barracks Sattelite Town,Lagos State
</t>
  </si>
  <si>
    <t>08023534907</t>
  </si>
  <si>
    <t>https://nafdacng.sharepoint.com/sites/PMSLAGOS/Shared Documents/GDP (GOOD DISTRIBUTION PRATICE)/GSDP COMPANY FILES\VINCO PHARM</t>
  </si>
  <si>
    <t>https://nafdacng.sharepoint.com/sites/PMSLAGOS/Shared Documents/GSDP (GOOD STORAGE AND DISTRIBUTION PRACTICE)/GSDP COMPANY FILES\VINCO PHARM</t>
  </si>
  <si>
    <t>ONIFAM LABORATORIES LTD.</t>
  </si>
  <si>
    <t xml:space="preserve">836,Lagos_Abeokuta Express Way,Lagos State
</t>
  </si>
  <si>
    <t>08036550174</t>
  </si>
  <si>
    <t>https://nafdacng.sharepoint.com/sites/PMSLAGOS/Shared Documents/GDP (GOOD DISTRIBUTION PRATICE)/GSDP COMPANY FILES\ONIFAM LABORATORIES LTD</t>
  </si>
  <si>
    <t>https://nafdacng.sharepoint.com/sites/PMSLAGOS/Shared Documents/GSDP (GOOD STORAGE AND DISTRIBUTION PRACTICE)/GSDP COMPANY FILES\ONIFAM LABORATORIES LTD</t>
  </si>
  <si>
    <t>AGARY PHARMACEUTICALS</t>
  </si>
  <si>
    <t>Plot 39C ,Amuwo Odofin Cmm Scheme,Lagos State.</t>
  </si>
  <si>
    <t>07064686455</t>
  </si>
  <si>
    <t>21/08/2023</t>
  </si>
  <si>
    <t>https://nafdacng.sharepoint.com/sites/PMSLAGOS/Shared Documents/GDP (GOOD DISTRIBUTION PRATICE)/GSDP COMPANY FILES\AGARY PHARMACEUTICALS LTD</t>
  </si>
  <si>
    <t>https://nafdacng.sharepoint.com/sites/PMSLAGOS/Shared Documents/GSDP (GOOD STORAGE AND DISTRIBUTION PRACTICE)/GSDP COMPANY FILES\AGARY PHARMACEUTICALS LTD</t>
  </si>
  <si>
    <t>SHALINA HEALTHCARE</t>
  </si>
  <si>
    <t>3/4, Adewunmi Industrial Estate,Oregun,Ikeja,Lagos State</t>
  </si>
  <si>
    <t>08107539933</t>
  </si>
  <si>
    <t>24/08/2023</t>
  </si>
  <si>
    <t>SOP's available</t>
  </si>
  <si>
    <t>https://nafdacng.sharepoint.com/sites/PMSLAGOS/Shared Documents/GDP (GOOD DISTRIBUTION PRATICE)/GSDP COMPANY FILES\SHALINA HEALTHCARE LTD</t>
  </si>
  <si>
    <t>https://nafdacng.sharepoint.com/sites/PMSLAGOS/Shared Documents/GSDP (GOOD STORAGE AND DISTRIBUTION PRACTICE)/GSDP COMPANY FILES\SHALINA HEALTHCARE LTD</t>
  </si>
  <si>
    <t>PINNACLE HEALTH PHARM LTD</t>
  </si>
  <si>
    <t xml:space="preserve">8,Douglas Ezemba Avenue Off Alahaji Agbeke Street By Marcity B/stop,Ago Palace Way,Okota,Lagos.
</t>
  </si>
  <si>
    <t>08034707350</t>
  </si>
  <si>
    <t xml:space="preserve">Low-Risk (A)
</t>
  </si>
  <si>
    <t>IMMACULATE CARE PHARMACY</t>
  </si>
  <si>
    <t>8,Itokin Road, Adamo Junction Ikorodu, lagos state.</t>
  </si>
  <si>
    <t>08056132025</t>
  </si>
  <si>
    <t>31/10/23</t>
  </si>
  <si>
    <t>https://nafdacng.sharepoint.com/sites/PMSLAGOS/Shared Documents/GDP (GOOD DISTRIBUTION PRATICE)/GSDP COMPANY FILES\IMMACULATE CARE PHARM</t>
  </si>
  <si>
    <t>https://nafdacng.sharepoint.com/sites/PMSLAGOS/Shared Documents/GSDP (GOOD STORAGE AND DISTRIBUTION PRACTICE)/GSDP COMPANY FILES\IMMACULATE CARE PHARM</t>
  </si>
  <si>
    <t>COLLIBEX PHARMACY</t>
  </si>
  <si>
    <t xml:space="preserve">1,Gbopa Road, Enu-owa Off Gberigbe Road Ikorodu, Lagos state.
</t>
  </si>
  <si>
    <t>08033222005</t>
  </si>
  <si>
    <t>https://nafdacng.sharepoint.com/sites/PMSLAGOS/Shared Documents/GDP (GOOD DISTRIBUTION PRATICE)/GSDP COMPANY FILES\COLLIBEX PHARM</t>
  </si>
  <si>
    <t>https://nafdacng.sharepoint.com/sites/PMSLAGOS/Shared Documents/GSDP (GOOD STORAGE AND DISTRIBUTION PRACTICE)/GSDP COMPANY FILES\COLLIBEX PHARM</t>
  </si>
  <si>
    <t>EMMASTEV PHARMACY</t>
  </si>
  <si>
    <t xml:space="preserve">39, Ijede Road, Itamaga Opp. Be Happy Hotel, Ikorodu, Lagos State.
</t>
  </si>
  <si>
    <t>09122355987</t>
  </si>
  <si>
    <t>https://nafdacng.sharepoint.com/sites/PMSLAGOS/Shared Documents/GDP (GOOD DISTRIBUTION PRATICE)/GSDP COMPANY FILES\EMMASTEV PHARM</t>
  </si>
  <si>
    <t>https://nafdacng.sharepoint.com/sites/PMSLAGOS/Shared Documents/GSDP (GOOD STORAGE AND DISTRIBUTION PRACTICE)/GSDP COMPANY FILES\EMMASTEV PHARM</t>
  </si>
  <si>
    <t>CAPA</t>
  </si>
  <si>
    <t>17/09/2023</t>
  </si>
  <si>
    <t>n/a</t>
  </si>
  <si>
    <t>CAPA Closed</t>
  </si>
  <si>
    <t>SKY PHARMACEUTICAL</t>
  </si>
  <si>
    <t xml:space="preserve">11, Olusegun,Ogandana Drive, Magodo Lagos State.
</t>
  </si>
  <si>
    <t>08029293318</t>
  </si>
  <si>
    <t>17/10/2023</t>
  </si>
  <si>
    <t>17/10/23</t>
  </si>
  <si>
    <t>https://nafdacng.sharepoint.com/sites/PMSLAGOS/Shared Documents/GDP (GOOD DISTRIBUTION PRATICE)/GSDP COMPANY FILES\SKY PHARM</t>
  </si>
  <si>
    <t>https://nafdacng.sharepoint.com/sites/PMSLAGOS/Shared Documents/GSDP (GOOD STORAGE AND DISTRIBUTION PRACTICE)/GSDP COMPANY FILES\SKY PHARM</t>
  </si>
  <si>
    <t>AJAO SAMUEL PHARMACY</t>
  </si>
  <si>
    <t xml:space="preserve">4 Fetuga Street, Ladi-Laki, Bariga, Laagos State.
</t>
  </si>
  <si>
    <t>08105196955</t>
  </si>
  <si>
    <t>Low-Ri
sk (A)</t>
  </si>
  <si>
    <t>https://nafdacng.sharepoint.com/sites/PMSLAGOS/Shared Documents/GDP (GOOD DISTRIBUTION PRATICE)/GSDP COMPANY FILES\AJAO SAMUEL</t>
  </si>
  <si>
    <t>https://nafdacng.sharepoint.com/sites/PMSLAGOS/Shared Documents/GSDP (GOOD STORAGE AND DISTRIBUTION PRACTICE)/GSDP COMPANY FILES\AJAO SAMUEL</t>
  </si>
  <si>
    <t>MALVEN MEDICS LIMITED</t>
  </si>
  <si>
    <t>4, Ligali Street, Ogudu, Lados State</t>
  </si>
  <si>
    <t>08023811157</t>
  </si>
  <si>
    <t>19/10/2023</t>
  </si>
  <si>
    <t>https://nafdacng.sharepoint.com/sites/PMSLAGOS/Shared Documents/GDP (GOOD DISTRIBUTION PRATICE)/GSDP COMPANY FILES\MALVEN MEDICS LTD</t>
  </si>
  <si>
    <t>https://nafdacng.sharepoint.com/sites/PMSLAGOS/Shared Documents/GSDP (GOOD STORAGE AND DISTRIBUTION PRACTICE)/GSDP COMPANY FILES\MALVEN MEDICS LTD</t>
  </si>
  <si>
    <t>TUM TAY COMPANY LIMITED</t>
  </si>
  <si>
    <t>22, Molade Okoya-Thomas Street, Off Adeniyi Jones Avenue, Lagos State.</t>
  </si>
  <si>
    <t>08033348405</t>
  </si>
  <si>
    <t xml:space="preserve">
Satisfactory</t>
  </si>
  <si>
    <t>https://nafdacng.sharepoint.com/sites/PMSLAGOS/Shared Documents/GDP (GOOD DISTRIBUTION PRATICE)/GSDP COMPANY FILES\TUM TAY COMPANY LTD</t>
  </si>
  <si>
    <t>https://nafdacng.sharepoint.com/sites/PMSLAGOS/Shared Documents/GSDP (GOOD STORAGE AND DISTRIBUTION PRACTICE)/GSDP COMPANY FILES\TUM TAY COMPANY LTD</t>
  </si>
  <si>
    <t>VIBORATH PHARMACY</t>
  </si>
  <si>
    <t xml:space="preserve">4,Vitborah avenue, Awoyaya ibeju-lekki, Lagos state.
</t>
  </si>
  <si>
    <t>16/10/2023</t>
  </si>
  <si>
    <t>https://nafdacng.sharepoint.com/sites/PMSLAGOS/Shared Documents/GDP (GOOD DISTRIBUTION PRATICE)/GSDP COMPANY FILES\VITBORAH PHARMA LTD</t>
  </si>
  <si>
    <t>https://nafdacng.sharepoint.com/sites/PMSLAGOS/Shared Documents/GSDP (GOOD STORAGE AND DISTRIBUTION PRACTICE)/GSDP COMPANY FILES\VITBORAH PHARMA LTD</t>
  </si>
  <si>
    <t>SAM SUNNY PHARMA &amp; STORE LIMITED</t>
  </si>
  <si>
    <t>183, Ojo Igbede Road, Alangbadi, Lagos</t>
  </si>
  <si>
    <t>08061326919</t>
  </si>
  <si>
    <t>https://nafdacng.sharepoint.com/sites/PMSLAGOS/Shared Documents/GDP (GOOD DISTRIBUTION PRATICE)/GSDP COMPANY FILES\SAM SUNNY PHARM</t>
  </si>
  <si>
    <t>https://nafdacng.sharepoint.com/sites/PMSLAGOS/Shared Documents/GSDP (GOOD STORAGE AND DISTRIBUTION PRACTICE)/GSDP COMPANY FILES\SAM SUNNY PHARM</t>
  </si>
  <si>
    <t>GOD SAINTS PHARMACEUTICALS LIMITED</t>
  </si>
  <si>
    <t>34/35 Soglo Way, Badagry Lagos State</t>
  </si>
  <si>
    <t>08184385203</t>
  </si>
  <si>
    <t>https://nafdacng.sharepoint.com/sites/PMSLAGOS/Shared Documents/GDP (GOOD DISTRIBUTION PRATICE)/GSDP COMPANY FILES\GOD SAINTS PHARMA LTD</t>
  </si>
  <si>
    <t>https://nafdacng.sharepoint.com/sites/PMSLAGOS/Shared Documents/GSDP (GOOD STORAGE AND DISTRIBUTION PRACTICE)/GSDP COMPANY FILES\GOD SAINTS PHARMA LTD</t>
  </si>
  <si>
    <t>JUSTINAK PHARMACY</t>
  </si>
  <si>
    <t>1/2 AIT Road,Kola Bus stop,Alagbado,Lagos State.</t>
  </si>
  <si>
    <t>07068291506</t>
  </si>
  <si>
    <t>https://nafdacng.sharepoint.com/sites/PMSLAGOS/Shared Documents/GDP (GOOD DISTRIBUTION PRATICE)/GSDP COMPANY FILES\JUSTINAK PHARMACY</t>
  </si>
  <si>
    <t>https://nafdacng.sharepoint.com/sites/PMSLAGOS/Shared Documents/GSDP (GOOD STORAGE AND DISTRIBUTION PRACTICE)/GSDP COMPANY FILES\JUSTINAK PHARMACY</t>
  </si>
  <si>
    <t>INSPIRATION PHARMACY NIG.LIMITED</t>
  </si>
  <si>
    <t>186,Mieran Road ,Ijaye Ojokoro,Lagos State.</t>
  </si>
  <si>
    <t>08090725047</t>
  </si>
  <si>
    <t>https://nafdacng.sharepoint.com/sites/PMSLAGOS/Shared Documents/GDP (GOOD DISTRIBUTION PRATICE)/GSDP COMPANY FILES\INSPIRATION PHARMACY</t>
  </si>
  <si>
    <t>https://nafdacng.sharepoint.com/sites/PMSLAGOS/Shared Documents/GSDP (GOOD STORAGE AND DISTRIBUTION PRACTICE)/GSDP COMPANY FILES\INSPIRATION PHARMACY</t>
  </si>
  <si>
    <t>TOTAL= 104</t>
  </si>
  <si>
    <t>GSDP INSPECTIONS</t>
  </si>
  <si>
    <t>CEVI INSPECTIONS</t>
  </si>
  <si>
    <t>LOW RISK</t>
  </si>
  <si>
    <t>MEDIUM RISK</t>
  </si>
  <si>
    <t>HIGH RISK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</si>
  <si>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</si>
  <si>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</si>
  <si>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</si>
  <si>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</si>
  <si>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</si>
  <si>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</si>
  <si>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</si>
  <si>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</si>
  <si>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</si>
  <si>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</si>
  <si>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</si>
  <si>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</si>
  <si>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DATE OF LAST INSPECTION</t>
  </si>
  <si>
    <t>Column2</t>
  </si>
  <si>
    <t>30/05/2023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</si>
</sst>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5"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name val="Times New Roman"/>
      <family val="1"/>
    </font>
    <font>
      <sz val="1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1"/>
      <name val="Times New Roman"/>
      <family val="1"/>
    </font>
    <font>
      <sz val="11"/>
      <color rgb="FF616161"/>
      <name val="Segoe UI"/>
      <family val="2"/>
    </font>
    <font>
      <u/>
      <sz val="11"/>
      <color theme="1"/>
      <name val="Aptos Narrow"/>
      <family val="2"/>
      <scheme val="minor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  <font>
      <sz val="11"/>
      <color theme="1"/>
      <name val="Aptos Narrow"/>
      <family val="2"/>
    </font>
    <font>
      <u/>
      <sz val="11"/>
      <color theme="1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0" borderId="0" applyNumberFormat="0" applyFill="0" applyBorder="0" applyAlignment="0" applyProtection="0"/>
  </cellStyleXfs>
  <cellXfs count="92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1" xfId="0" applyFont="1" applyBorder="1" applyAlignment="1">
      <alignment wrapText="1"/>
    </xf>
    <xf numFmtId="0" fontId="4" fillId="0" borderId="1" xfId="0" quotePrefix="1" applyFont="1" applyBorder="1"/>
    <xf numFmtId="0" fontId="4" fillId="0" borderId="1" xfId="0" applyFont="1" applyBorder="1" applyAlignment="1">
      <alignment vertical="center"/>
    </xf>
    <xf numFmtId="0" fontId="4" fillId="0" borderId="1" xfId="0" applyFont="1" applyBorder="1"/>
    <xf numFmtId="17" fontId="0" fillId="0" borderId="0" xfId="0" applyNumberFormat="1" applyAlignment="1">
      <alignment vertical="center"/>
    </xf>
    <xf numFmtId="0" fontId="2" fillId="0" borderId="0" xfId="2" applyFill="1" applyAlignment="1">
      <alignment vertical="center"/>
    </xf>
    <xf numFmtId="0" fontId="4" fillId="0" borderId="1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4" fillId="0" borderId="1" xfId="0" quotePrefix="1" applyFont="1" applyBorder="1" applyAlignment="1">
      <alignment wrapText="1"/>
    </xf>
    <xf numFmtId="49" fontId="4" fillId="0" borderId="1" xfId="0" applyNumberFormat="1" applyFont="1" applyBorder="1"/>
    <xf numFmtId="0" fontId="7" fillId="0" borderId="1" xfId="0" applyFont="1" applyBorder="1" applyAlignment="1">
      <alignment wrapText="1"/>
    </xf>
    <xf numFmtId="0" fontId="8" fillId="0" borderId="1" xfId="0" applyFont="1" applyBorder="1" applyAlignment="1">
      <alignment wrapText="1"/>
    </xf>
    <xf numFmtId="0" fontId="4" fillId="0" borderId="0" xfId="0" applyFont="1" applyAlignment="1">
      <alignment vertical="center"/>
    </xf>
    <xf numFmtId="14" fontId="5" fillId="0" borderId="1" xfId="0" applyNumberFormat="1" applyFont="1" applyBorder="1" applyAlignment="1">
      <alignment horizontal="right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right"/>
    </xf>
    <xf numFmtId="14" fontId="4" fillId="0" borderId="1" xfId="0" applyNumberFormat="1" applyFont="1" applyBorder="1" applyAlignment="1">
      <alignment horizontal="right" wrapText="1"/>
    </xf>
    <xf numFmtId="14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right" vertical="center"/>
    </xf>
    <xf numFmtId="0" fontId="5" fillId="0" borderId="1" xfId="0" applyFont="1" applyBorder="1" applyAlignment="1">
      <alignment horizontal="right" wrapText="1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right" vertical="center" wrapText="1"/>
    </xf>
    <xf numFmtId="0" fontId="12" fillId="0" borderId="0" xfId="0" applyFont="1" applyAlignment="1">
      <alignment vertical="center" wrapText="1"/>
    </xf>
    <xf numFmtId="0" fontId="11" fillId="0" borderId="3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/>
    <xf numFmtId="0" fontId="6" fillId="0" borderId="1" xfId="0" quotePrefix="1" applyFont="1" applyBorder="1"/>
    <xf numFmtId="14" fontId="6" fillId="0" borderId="1" xfId="0" applyNumberFormat="1" applyFont="1" applyBorder="1" applyAlignment="1">
      <alignment wrapText="1"/>
    </xf>
    <xf numFmtId="0" fontId="13" fillId="0" borderId="4" xfId="0" applyFont="1" applyBorder="1" applyAlignment="1">
      <alignment vertical="center" wrapText="1"/>
    </xf>
    <xf numFmtId="17" fontId="13" fillId="0" borderId="4" xfId="0" applyNumberFormat="1" applyFont="1" applyBorder="1" applyAlignment="1">
      <alignment vertical="center"/>
    </xf>
    <xf numFmtId="0" fontId="13" fillId="0" borderId="4" xfId="0" applyFont="1" applyBorder="1"/>
    <xf numFmtId="0" fontId="14" fillId="0" borderId="5" xfId="2" applyFont="1" applyBorder="1" applyAlignment="1">
      <alignment vertical="center"/>
    </xf>
    <xf numFmtId="0" fontId="0" fillId="0" borderId="0" xfId="0" applyAlignment="1">
      <alignment wrapText="1"/>
    </xf>
    <xf numFmtId="0" fontId="0" fillId="0" borderId="4" xfId="0" applyBorder="1" applyAlignment="1">
      <alignment vertical="center" wrapText="1"/>
    </xf>
    <xf numFmtId="17" fontId="0" fillId="0" borderId="4" xfId="0" applyNumberFormat="1" applyBorder="1" applyAlignment="1">
      <alignment vertical="center"/>
    </xf>
    <xf numFmtId="0" fontId="0" fillId="0" borderId="4" xfId="0" applyBorder="1"/>
    <xf numFmtId="0" fontId="2" fillId="0" borderId="5" xfId="2" applyBorder="1" applyAlignment="1">
      <alignment wrapText="1"/>
    </xf>
    <xf numFmtId="0" fontId="2" fillId="0" borderId="0" xfId="2" applyBorder="1" applyAlignment="1">
      <alignment vertical="center"/>
    </xf>
    <xf numFmtId="0" fontId="2" fillId="0" borderId="4" xfId="2" applyBorder="1" applyAlignment="1">
      <alignment wrapText="1"/>
    </xf>
    <xf numFmtId="0" fontId="0" fillId="0" borderId="4" xfId="0" applyBorder="1" applyAlignment="1">
      <alignment vertical="center"/>
    </xf>
    <xf numFmtId="0" fontId="2" fillId="0" borderId="4" xfId="2" applyBorder="1" applyAlignment="1"/>
    <xf numFmtId="0" fontId="2" fillId="0" borderId="4" xfId="2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17" fontId="0" fillId="0" borderId="4" xfId="0" applyNumberFormat="1" applyBorder="1" applyAlignment="1">
      <alignment vertical="center" wrapText="1"/>
    </xf>
    <xf numFmtId="0" fontId="0" fillId="0" borderId="4" xfId="0" applyBorder="1" applyAlignment="1">
      <alignment wrapText="1"/>
    </xf>
    <xf numFmtId="0" fontId="2" fillId="0" borderId="0" xfId="2" applyBorder="1" applyAlignment="1">
      <alignment wrapText="1"/>
    </xf>
    <xf numFmtId="0" fontId="2" fillId="0" borderId="0" xfId="2" applyBorder="1" applyAlignment="1">
      <alignment vertical="center" wrapText="1"/>
    </xf>
    <xf numFmtId="14" fontId="9" fillId="0" borderId="4" xfId="0" applyNumberFormat="1" applyFont="1" applyBorder="1" applyAlignment="1">
      <alignment horizontal="right" vertical="center" wrapText="1"/>
    </xf>
    <xf numFmtId="0" fontId="2" fillId="0" borderId="4" xfId="2" applyBorder="1" applyAlignment="1">
      <alignment vertical="center" wrapText="1"/>
    </xf>
    <xf numFmtId="0" fontId="5" fillId="0" borderId="1" xfId="0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wrapText="1"/>
    </xf>
    <xf numFmtId="0" fontId="0" fillId="0" borderId="4" xfId="2" applyFont="1" applyFill="1" applyBorder="1" applyAlignment="1"/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wrapText="1"/>
    </xf>
    <xf numFmtId="0" fontId="4" fillId="0" borderId="7" xfId="0" quotePrefix="1" applyFont="1" applyBorder="1"/>
    <xf numFmtId="0" fontId="4" fillId="0" borderId="7" xfId="0" applyFont="1" applyBorder="1" applyAlignment="1">
      <alignment vertical="center"/>
    </xf>
    <xf numFmtId="14" fontId="4" fillId="0" borderId="7" xfId="0" applyNumberFormat="1" applyFont="1" applyBorder="1" applyAlignment="1">
      <alignment horizontal="right"/>
    </xf>
    <xf numFmtId="0" fontId="4" fillId="0" borderId="7" xfId="0" applyFont="1" applyBorder="1" applyAlignment="1">
      <alignment horizontal="right" wrapText="1"/>
    </xf>
    <xf numFmtId="0" fontId="5" fillId="0" borderId="7" xfId="0" applyFont="1" applyBorder="1" applyAlignment="1">
      <alignment wrapText="1"/>
    </xf>
    <xf numFmtId="0" fontId="2" fillId="0" borderId="0" xfId="2" applyFill="1" applyBorder="1" applyAlignment="1">
      <alignment vertical="center"/>
    </xf>
    <xf numFmtId="0" fontId="0" fillId="0" borderId="0" xfId="0" applyAlignment="1">
      <alignment horizontal="right"/>
    </xf>
    <xf numFmtId="17" fontId="0" fillId="0" borderId="4" xfId="0" applyNumberFormat="1" applyBorder="1" applyAlignment="1">
      <alignment horizontal="right" vertical="center"/>
    </xf>
    <xf numFmtId="0" fontId="0" fillId="0" borderId="4" xfId="0" applyBorder="1" applyAlignment="1">
      <alignment horizontal="right" vertical="center"/>
    </xf>
    <xf numFmtId="0" fontId="10" fillId="0" borderId="4" xfId="2" applyFont="1" applyBorder="1" applyAlignment="1"/>
    <xf numFmtId="0" fontId="1" fillId="0" borderId="4" xfId="1" applyFill="1" applyBorder="1"/>
    <xf numFmtId="0" fontId="5" fillId="0" borderId="1" xfId="0" applyFont="1" applyBorder="1" applyAlignment="1">
      <alignment vertical="center" wrapText="1"/>
    </xf>
    <xf numFmtId="164" fontId="5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2" fillId="0" borderId="0" xfId="2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4" fillId="0" borderId="1" xfId="0" quotePrefix="1" applyFont="1" applyBorder="1" applyAlignment="1">
      <alignment vertical="center" wrapText="1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0" fontId="7" fillId="0" borderId="1" xfId="0" applyFont="1" applyBorder="1" applyAlignment="1">
      <alignment vertical="center" wrapText="1"/>
    </xf>
    <xf numFmtId="14" fontId="6" fillId="0" borderId="1" xfId="0" applyNumberFormat="1" applyFont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17" fontId="0" fillId="0" borderId="0" xfId="0" applyNumberFormat="1" applyAlignment="1">
      <alignment vertical="center" wrapText="1"/>
    </xf>
    <xf numFmtId="0" fontId="2" fillId="0" borderId="0" xfId="2" applyFill="1" applyAlignment="1">
      <alignment vertical="center" wrapText="1"/>
    </xf>
    <xf numFmtId="14" fontId="9" fillId="0" borderId="0" xfId="0" applyNumberFormat="1" applyFont="1" applyAlignment="1">
      <alignment horizontal="right" vertical="center" wrapText="1"/>
    </xf>
    <xf numFmtId="49" fontId="4" fillId="0" borderId="1" xfId="0" applyNumberFormat="1" applyFont="1" applyBorder="1" applyAlignment="1">
      <alignment vertical="center" wrapText="1"/>
    </xf>
    <xf numFmtId="0" fontId="6" fillId="0" borderId="1" xfId="0" quotePrefix="1" applyFont="1" applyBorder="1" applyAlignment="1">
      <alignment vertical="center" wrapText="1"/>
    </xf>
    <xf numFmtId="17" fontId="13" fillId="0" borderId="4" xfId="0" applyNumberFormat="1" applyFont="1" applyBorder="1" applyAlignment="1">
      <alignment vertical="center" wrapText="1"/>
    </xf>
    <xf numFmtId="0" fontId="14" fillId="0" borderId="5" xfId="2" applyFont="1" applyBorder="1" applyAlignment="1">
      <alignment vertical="center" wrapText="1"/>
    </xf>
    <xf numFmtId="0" fontId="10" fillId="0" borderId="0" xfId="2" applyFont="1" applyFill="1" applyAlignment="1">
      <alignment vertical="center" wrapText="1"/>
    </xf>
    <xf numFmtId="0" fontId="1" fillId="0" borderId="0" xfId="1" applyFill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3">
    <cellStyle name="Hyperlink" xfId="2" builtinId="8"/>
    <cellStyle name="Neutral" xfId="1" builtinId="28"/>
    <cellStyle name="Normal" xfId="0" builtinId="0"/>
  </cellStyles>
  <dxfs count="147"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\-yy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9" formatCode="m/d/yy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\-yy"/>
      <alignment horizontal="right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\-yy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\-yy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9" formatCode="m/d/yyyy"/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\-yy"/>
      <alignment horizontal="general" vertical="center" textRotation="0" wrapText="0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9" formatCode="m/d/yyyy"/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bottom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\-yy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30" formatCode="@"/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/>
        <vertAlign val="baseline"/>
        <sz val="11"/>
        <color theme="10"/>
        <name val="Aptos Narrow"/>
        <family val="2"/>
        <scheme val="minor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wrapText="1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\-yy"/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/>
        <top style="thin">
          <color theme="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wrapText="1"/>
    </dxf>
    <dxf>
      <alignment wrapText="1"/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fill>
        <patternFill patternType="none">
          <fgColor indexed="64"/>
          <bgColor rgb="FFFFFF00"/>
        </patternFill>
      </fill>
    </dxf>
    <dxf>
      <alignment wrapText="1"/>
    </dxf>
    <dxf>
      <fill>
        <patternFill patternType="none">
          <fgColor indexed="64"/>
          <bgColor rgb="FFFFFF00"/>
        </patternFill>
      </fill>
    </dxf>
    <dxf>
      <fill>
        <patternFill patternType="none">
          <fgColor indexed="64"/>
          <bgColor rgb="FFFFFF00"/>
        </patternFill>
      </fill>
    </dxf>
    <dxf>
      <fill>
        <patternFill patternType="none">
          <fgColor indexed="64"/>
          <bgColor rgb="FFFFFF00"/>
        </patternFill>
      </fill>
      <alignment wrapTex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alignment horizontal="right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numFmt numFmtId="19" formatCode="m/d/yyyy"/>
      <fill>
        <patternFill patternType="none">
          <fgColor indexed="64"/>
          <bgColor rgb="FFFFFF00"/>
        </patternFill>
      </fill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alignment horizontal="general" vertical="bottom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Times New Roman"/>
        <family val="1"/>
        <scheme val="none"/>
      </font>
      <fill>
        <patternFill patternType="none">
          <fgColor indexed="64"/>
          <bgColor rgb="FFFFFF00"/>
        </patternFill>
      </fill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</border>
    </dxf>
    <dxf>
      <fill>
        <patternFill patternType="none">
          <fgColor indexed="64"/>
          <bgColor rgb="FFFFFF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1"/>
        <scheme val="none"/>
      </font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 DATA FOR GSDP INSPECTIONS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'VISUAL REPRESENTATIONS'!B1</c:f>
              <c:strCache>
                <c:ptCount val="1"/>
                <c:pt idx="0">
                  <c:v>GSDP INSPECTIONS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'VISUAL REPRESENTATIONS'!$A$2:$A$13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REPRESENTATIONS'!$B$2:$B$13</c:f>
              <c:numCache>
                <c:formatCode>General</c:formatCode>
                <c:ptCount val="12"/>
                <c:pt idx="0">
                  <c:v>6</c:v>
                </c:pt>
                <c:pt idx="1">
                  <c:v>8</c:v>
                </c:pt>
                <c:pt idx="2">
                  <c:v>4</c:v>
                </c:pt>
                <c:pt idx="3">
                  <c:v>3</c:v>
                </c:pt>
                <c:pt idx="4">
                  <c:v>11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3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D5259022-240A-4891-8C86-AA2B78BFAE56}"/>
            </c:ext>
          </c:extLst>
        </c:ser>
        <c:ser>
          <c:idx val="1"/>
          <c:order val="1"/>
          <c:tx>
            <c:strRef>
              <c:f>'VISUAL REPRESENTATIONS'!C1</c:f>
              <c:strCache>
                <c:ptCount val="1"/>
                <c:pt idx="0">
                  <c:v>CEVI INSPECTIONS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'VISUAL REPRESENTATIONS'!$A$2:$A$13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REPRESENTATIONS'!$C$2:$C$13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63784BE3-052C-4CF8-BB25-99B64870FEF0}"/>
            </c:ext>
          </c:extLst>
        </c:ser>
        <c:ser>
          <c:idx val="2"/>
          <c:order val="2"/>
          <c:tx>
            <c:strRef>
              <c:f>'VISUAL REPRESENTATIONS'!D1</c:f>
              <c:strCache>
                <c:ptCount val="1"/>
                <c:pt idx="0">
                  <c:v>CAPA SUBMITTED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'VISUAL REPRESENTATIONS'!$A$2:$A$13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REPRESENTATIONS'!$D$2:$D$13</c:f>
              <c:numCache>
                <c:formatCode>General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CB5B606F-12A9-4263-A6E5-704F09D8B7B8}"/>
            </c:ext>
          </c:extLst>
        </c:ser>
        <c:ser>
          <c:idx val="3"/>
          <c:order val="3"/>
          <c:tx>
            <c:strRef>
              <c:f>'VISUAL REPRESENTATIONS'!E1</c:f>
              <c:strCache>
                <c:ptCount val="1"/>
                <c:pt idx="0">
                  <c:v>LOW RISK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'VISUAL REPRESENTATIONS'!$A$2:$A$13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REPRESENTATIONS'!$E$2:$E$13</c:f>
              <c:numCache>
                <c:formatCode>General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83CCB54C-FF49-4DAB-8C68-163CBF7B1E83}"/>
            </c:ext>
          </c:extLst>
        </c:ser>
        <c:ser>
          <c:idx val="4"/>
          <c:order val="4"/>
          <c:tx>
            <c:strRef>
              <c:f>'VISUAL REPRESENTATIONS'!F1</c:f>
              <c:strCache>
                <c:ptCount val="1"/>
                <c:pt idx="0">
                  <c:v>MEDIUM RISK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'VISUAL REPRESENTATIONS'!$A$2:$A$13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REPRESENTATIONS'!$F$2:$F$13</c:f>
              <c:numCache>
                <c:formatCode>General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2</c:v>
                </c:pt>
                <c:pt idx="4">
                  <c:v>5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0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0156363-5A38-4889-898D-81169619B0E2}"/>
            </c:ext>
          </c:extLst>
        </c:ser>
        <c:ser>
          <c:idx val="5"/>
          <c:order val="5"/>
          <c:tx>
            <c:strRef>
              <c:f>'VISUAL REPRESENTATIONS'!G1</c:f>
              <c:strCache>
                <c:ptCount val="1"/>
                <c:pt idx="0">
                  <c:v>HIGH RISK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'VISUAL REPRESENTATIONS'!$A$2:$A$13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'VISUAL REPRESENTATIONS'!$G$2:$G$13</c:f>
              <c:numCache>
                <c:formatCode>General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CCB99D3B-39C2-4DF9-B152-9F8517B788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20"/>
        <c:overlap val="-30"/>
        <c:axId val="910477320"/>
        <c:axId val="1548238343"/>
      </c:barChart>
      <c:catAx>
        <c:axId val="9104773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8238343"/>
        <c:crosses val="autoZero"/>
        <c:auto val="1"/>
        <c:lblAlgn val="ctr"/>
        <c:lblOffset val="100"/>
        <c:noMultiLvlLbl val="0"/>
      </c:catAx>
      <c:valAx>
        <c:axId val="1548238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0477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247650</xdr:colOff>
      <xdr:row>0</xdr:row>
      <xdr:rowOff>0</xdr:rowOff>
    </xdr:from>
    <xdr:to>
      <xdr:col>16</xdr:col>
      <xdr:colOff>123825</xdr:colOff>
      <xdr:row>17</xdr:row>
      <xdr:rowOff>19050</xdr:rowOff>
    </xdr:to>
    <xdr:graphicFrame macro="">
      <xdr:nvGraphicFramePr>
        <xdr:cNvPr id="2" name="Chart 1" descr="Chart type: Clustered Column. Multiple values by 'Field1'&#10;&#10;Description automatically generated">
          <a:extLst>
            <a:ext uri="{FF2B5EF4-FFF2-40B4-BE49-F238E27FC236}">
              <a16:creationId xmlns:a16="http://schemas.microsoft.com/office/drawing/2014/main" id="{EA33A03E-BA9B-6B07-8D16-B0736A25A4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4960C7B-9C7C-4373-8E14-EB4A3F6CF15C}" name="Table1" displayName="Table1" ref="A2:O108" totalsRowShown="0" headerRowDxfId="142" dataDxfId="141" tableBorderDxfId="140">
  <autoFilter ref="A2:O108" xr:uid="{E4960C7B-9C7C-4373-8E14-EB4A3F6CF15C}"/>
  <sortState xmlns:xlrd2="http://schemas.microsoft.com/office/spreadsheetml/2017/richdata2" ref="A3:O108">
    <sortCondition ref="A2:A108"/>
  </sortState>
  <tableColumns count="15">
    <tableColumn id="1" xr3:uid="{EBB2DE0D-8ED1-4240-8170-65FC814F19C4}" name="S/N" dataDxfId="139"/>
    <tableColumn id="2" xr3:uid="{2786CD78-1FD8-4217-8DFE-9754970F2E53}" name="NAME OF MANUFACTURER" dataDxfId="138"/>
    <tableColumn id="3" xr3:uid="{AB401B1A-75CD-4F3D-BD2F-A2A885045A4A}" name="LOCATION ADDRESS" dataDxfId="137"/>
    <tableColumn id="4" xr3:uid="{95FF7C42-50D4-4E2B-BD92-E8FB634B83FE}" name="CONTACT" dataDxfId="136"/>
    <tableColumn id="5" xr3:uid="{366B65AC-A40F-43F0-BE83-11561A779707}" name="TYPE OF LAST INSPECTION" dataDxfId="135"/>
    <tableColumn id="6" xr3:uid="{08F96E33-532C-4793-803B-04A775A2AF1C}" name=" " dataDxfId="134"/>
    <tableColumn id="7" xr3:uid="{1B10BA54-C846-46D2-B176-6AF3EF9ED495}" name="FINDINGS" dataDxfId="133"/>
    <tableColumn id="8" xr3:uid="{A764472F-2F8A-48A6-9176-657E962E1785}" name="CAPA ISSUED DATE" dataDxfId="132"/>
    <tableColumn id="9" xr3:uid="{491DAB44-8B11-4DBD-B8CE-296B4BD68C2B}" name="CAPA SUBMITTED" dataDxfId="131"/>
    <tableColumn id="10" xr3:uid="{216006D0-E848-4A2E-9890-995AF268BE09}" name="CONCLUSION" dataDxfId="130"/>
    <tableColumn id="11" xr3:uid="{218BB1E3-6F97-477A-A795-4D7111FEA853}" name="REMARKS" dataDxfId="129"/>
    <tableColumn id="12" xr3:uid="{6476DA11-8358-4B8B-A8F7-4011D6FFDD66}" name="EXPECTED DATE OF INSPECTION" dataDxfId="128"/>
    <tableColumn id="13" xr3:uid="{B00EF66F-A141-4138-B789-7D31F92CC214}" name="OMPANY FILE" dataDxfId="127"/>
    <tableColumn id="17" xr3:uid="{6716CB9B-418D-4EF5-A58C-7E21A0B1B1A4}" name="Column1" dataDxfId="126"/>
    <tableColumn id="14" xr3:uid="{2227FDF6-85D7-43F2-8DFD-260FC3364818}" name="COMPANY FILE" dataDxfId="125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84E87E-4548-4659-B755-B1A165EDACAD}" name="Table2" displayName="Table2" ref="A2:N29" totalsRowShown="0" headerRowDxfId="122" dataDxfId="121">
  <autoFilter ref="A2:N29" xr:uid="{E284E87E-4548-4659-B755-B1A165EDACAD}"/>
  <tableColumns count="14">
    <tableColumn id="1" xr3:uid="{E5FCA603-BD49-4174-B855-72EDABF929A4}" name="S/N" dataDxfId="120"/>
    <tableColumn id="2" xr3:uid="{BB5B488B-CAC6-4094-B20C-1D73F3C5D475}" name="NAME OF MANUFACTURER" dataDxfId="119"/>
    <tableColumn id="3" xr3:uid="{E322902A-4927-4807-BBF2-A3EB24FFBDF8}" name="LOCATION ADDRESS" dataDxfId="118"/>
    <tableColumn id="4" xr3:uid="{0EC7014E-74DD-4276-AD0F-FF528A2E5EC0}" name="CONTACT" dataDxfId="117"/>
    <tableColumn id="5" xr3:uid="{965DB55C-A31B-4444-85A7-51D8591FDA40}" name="TYPE OF LAST INSPECTION" dataDxfId="116"/>
    <tableColumn id="6" xr3:uid="{33A89636-D1E5-46A5-B0B4-7B264B57FF7A}" name="DATE OF LAST INSPECTION" dataDxfId="115"/>
    <tableColumn id="7" xr3:uid="{A4876B59-8360-41C2-B6D1-4FF314E7B844}" name="FINDINGS" dataDxfId="114"/>
    <tableColumn id="8" xr3:uid="{4B113A42-63B8-4B63-BADC-83FCE56F9A45}" name="CAPA ISSUED DATE" dataDxfId="113"/>
    <tableColumn id="9" xr3:uid="{64255ECD-3FEC-4208-BDF1-F7872A06B638}" name="CAPA SUBMITTED" dataDxfId="112"/>
    <tableColumn id="10" xr3:uid="{7084036D-ABFF-4DFE-B679-D68834C9418F}" name="CONCLUSION" dataDxfId="111"/>
    <tableColumn id="11" xr3:uid="{A13043F5-F5C5-4CD7-8FDB-6905CF7DFA3A}" name="REMARKS" dataDxfId="110">
      <calculatedColumnFormula>IF(I3="YES","CAPA VERIFICATION SHOULD BE SCHEDULED",IF(I3="NO","REMINDER LETTER SHOULD BE SENT",""))</calculatedColumnFormula>
    </tableColumn>
    <tableColumn id="12" xr3:uid="{75327B02-EDE6-43C5-B061-BD67A467CE0F}" name="EXPECTED DATE OF INSPECTION" dataDxfId="109"/>
    <tableColumn id="13" xr3:uid="{3581FAE5-FDF5-4393-96A4-01ED3B7EF78D}" name="OMPANY FILE" dataDxfId="108"/>
    <tableColumn id="15" xr3:uid="{5CBB4CE0-BBC0-4760-8C4E-35DA4AE62133}" name="Column2" dataDxfId="107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8E2CBD5-59BC-4ED1-ABEE-368FF915D80D}" name="Table3" displayName="Table3" ref="A2:O10" totalsRowShown="0">
  <autoFilter ref="A2:O10" xr:uid="{88E2CBD5-59BC-4ED1-ABEE-368FF915D80D}"/>
  <tableColumns count="15">
    <tableColumn id="1" xr3:uid="{EB164020-9176-429B-B1A1-70DC2F70792A}" name="S/N" dataDxfId="104"/>
    <tableColumn id="2" xr3:uid="{3E2FAC6C-D279-44E2-A2EF-279D76252F8B}" name="NAME OF MANUFACTURER" dataDxfId="103"/>
    <tableColumn id="3" xr3:uid="{484ACA5E-583E-4B4C-B385-F1504D6C374A}" name="LOCATION ADDRESS" dataDxfId="102"/>
    <tableColumn id="4" xr3:uid="{D1E5BC4B-0434-44B3-BE96-BD468A493C30}" name="CONTACT" dataDxfId="101"/>
    <tableColumn id="5" xr3:uid="{35340855-6646-4284-A165-F5A77BDBDD5C}" name="TYPE OF LAST INSPECTION" dataDxfId="100"/>
    <tableColumn id="6" xr3:uid="{6DAFA36B-FC29-4F0C-83EE-949C49901CD3}" name="DATE OF LAST INSPECTION" dataDxfId="99"/>
    <tableColumn id="7" xr3:uid="{35E6774A-CA3C-4FA1-BD7F-868C8FB593C4}" name="FINDINGS" dataDxfId="98"/>
    <tableColumn id="8" xr3:uid="{B1DC7E66-F3BE-4B96-A66B-A81E9397183B}" name="CAPA ISSUED DATE" dataDxfId="97"/>
    <tableColumn id="9" xr3:uid="{C67EC680-3B12-4F15-89D8-3FE5CFD03901}" name="CAPA SUBMITTED" dataDxfId="96"/>
    <tableColumn id="10" xr3:uid="{ED30295E-ED92-432D-94A4-7E8202FB77AC}" name="CONCLUSION" dataDxfId="95"/>
    <tableColumn id="11" xr3:uid="{8A9477E4-53D7-4A37-905F-B1629AD76D05}" name="REMARKS" dataDxfId="94">
      <calculatedColumnFormula>IF(I3="YES","CAPA VERIFICATION SHOULD BE SCHEDULED",IF(I3="NO","REMINDER LETTER SHOULD BE SENT",""))</calculatedColumnFormula>
    </tableColumn>
    <tableColumn id="12" xr3:uid="{D38B6FEF-1882-494A-B043-21292B68D08D}" name="EXPECTED DATE OF INSPECTION" dataDxfId="93"/>
    <tableColumn id="13" xr3:uid="{64B0E076-520A-4831-A10D-9FADBE4F790C}" name="OMPANY FILE" dataDxfId="92"/>
    <tableColumn id="14" xr3:uid="{64A964DD-466E-424B-9DD2-E565E86B77C4}" name="Column1" dataDxfId="91" dataCellStyle="Hyperlink"/>
    <tableColumn id="15" xr3:uid="{15141720-A412-409C-8F85-72405D858B8E}" name="Column2" dataDxfId="90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5DD4AB9-D118-44B4-8573-ED767C5F4352}" name="Table4" displayName="Table4" ref="A2:N9" totalsRowShown="0">
  <autoFilter ref="A2:N9" xr:uid="{F5DD4AB9-D118-44B4-8573-ED767C5F4352}"/>
  <tableColumns count="14">
    <tableColumn id="1" xr3:uid="{0FF9BFB0-94D4-48A3-8E46-CF11281B90A0}" name="S/N" dataDxfId="87"/>
    <tableColumn id="2" xr3:uid="{A6162977-8E16-4259-B559-CFD72885BBB8}" name="NAME OF MANUFACTURER" dataDxfId="86"/>
    <tableColumn id="3" xr3:uid="{CBF68403-CF7A-438E-84DC-B369A97004E4}" name="LOCATION ADDRESS" dataDxfId="85"/>
    <tableColumn id="4" xr3:uid="{A538D37D-75D2-4341-A7E9-CF3919771002}" name="CONTACT"/>
    <tableColumn id="5" xr3:uid="{CB9C1CB8-BC8A-4A49-AFDD-5D039DEF7D5B}" name="TYPE OF LAST INSPECTION" dataDxfId="84"/>
    <tableColumn id="6" xr3:uid="{1EFBB5CB-8D2F-40D3-BC92-90F25895E5CF}" name="DATE OF LAST INSPECTION" dataDxfId="83"/>
    <tableColumn id="7" xr3:uid="{82C4E348-C8AF-4AAD-81C4-F6A414FC2C55}" name="FINDINGS" dataDxfId="82"/>
    <tableColumn id="8" xr3:uid="{9AC0D12F-E10D-4DF3-8132-E86FB961AA83}" name="CAPA ISSUED DATE" dataDxfId="81"/>
    <tableColumn id="9" xr3:uid="{84C5A721-8CFD-4939-BC51-8CF0013E7FB1}" name="CAPA SUBMITTED" dataDxfId="80"/>
    <tableColumn id="10" xr3:uid="{396EFAA4-3F7D-4AE3-99A7-CF05EFEE0232}" name="CONCLUSION" dataDxfId="79"/>
    <tableColumn id="11" xr3:uid="{51377697-5F56-4D16-BA5A-F94581775733}" name="REMARKS" dataDxfId="78"/>
    <tableColumn id="12" xr3:uid="{009BE3AB-E066-405F-99BD-A57586DC8382}" name="EXPECTED DATE OF INSPECTION" dataDxfId="77"/>
    <tableColumn id="13" xr3:uid="{798464B2-BABC-4CE0-B7FD-AB02E16A4F78}" name="OMPANY FILE" dataDxfId="76"/>
    <tableColumn id="14" xr3:uid="{C6D5F525-9445-4B5D-A76A-5B2BFB1A3488}" name="Column1" dataDxfId="75" dataCellStyle="Hyperlink"/>
  </tableColumns>
  <tableStyleInfo name="TableStyleLight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05C4327-A266-42DE-B531-4167AE10854E}" name="Table5" displayName="Table5" ref="A2:N14" totalsRowShown="0">
  <autoFilter ref="A2:N14" xr:uid="{405C4327-A266-42DE-B531-4167AE10854E}"/>
  <tableColumns count="14">
    <tableColumn id="1" xr3:uid="{9B2F39DF-86C0-4565-9962-15038794C1C5}" name="S/N" dataDxfId="70"/>
    <tableColumn id="2" xr3:uid="{D9E5CDAA-DAB4-47F5-AA6B-EC258E2E88C5}" name="NAME OF MANUFACTURER" dataDxfId="69"/>
    <tableColumn id="3" xr3:uid="{132E7371-BEB1-4601-85CD-03554D342925}" name="LOCATION ADDRESS" dataDxfId="68"/>
    <tableColumn id="4" xr3:uid="{C823399C-AEFB-4335-84A2-17647D33F9A6}" name="CONTACT" dataDxfId="67"/>
    <tableColumn id="5" xr3:uid="{C86E189A-8A6C-414C-8289-106066C045C2}" name="TYPE OF LAST INSPECTION" dataDxfId="66"/>
    <tableColumn id="6" xr3:uid="{88067526-098C-4114-83EB-7AD57E06B875}" name="DATE OF LAST INSPECTION" dataDxfId="65"/>
    <tableColumn id="7" xr3:uid="{F3D2C86F-261F-40E6-A5BB-8169AFE57F0C}" name="FINDINGS" dataDxfId="64"/>
    <tableColumn id="8" xr3:uid="{9A541EBD-109D-46D8-B871-6F6A8AD05282}" name="CAPA ISSUED DATE" dataDxfId="63"/>
    <tableColumn id="9" xr3:uid="{7350A078-F795-4D38-B663-96AE8147E3B7}" name="CAPA SUBMITTED" dataDxfId="62"/>
    <tableColumn id="10" xr3:uid="{AEFA8CD9-CF31-48C6-BF66-4B38838398BE}" name="CONCLUSION" dataDxfId="61"/>
    <tableColumn id="11" xr3:uid="{D3D01473-6DD5-4DCF-8D70-2BB0E8665AB8}" name="REMARKS" dataDxfId="60">
      <calculatedColumnFormula>IF(I3="YES","CAPA VERIFICATION SHOULD BE SCHEDULED",IF(I3="NO","REMINDER LETTER SHOULD BE SENT",""))</calculatedColumnFormula>
    </tableColumn>
    <tableColumn id="12" xr3:uid="{C4692B97-FDBC-4E8E-8A35-0C713F651F7D}" name="EXPECTED DATE OF INSPECTION" dataDxfId="59"/>
    <tableColumn id="13" xr3:uid="{2C3BC09A-3CBB-4167-823A-6D1C5967AD68}" name="OMPANY FILE" dataDxfId="58"/>
    <tableColumn id="14" xr3:uid="{F6669929-59D1-45DB-8CDC-851B6353EEE3}" name="Column1" dataDxfId="57" dataCellStyle="Hyperlink"/>
  </tableColumns>
  <tableStyleInfo name="TableStyleLight14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0197E22-7585-4492-BD88-8B696225255E}" name="Table6" displayName="Table6" ref="A2:O24" totalsRowShown="0">
  <autoFilter ref="A2:O24" xr:uid="{10197E22-7585-4492-BD88-8B696225255E}"/>
  <tableColumns count="15">
    <tableColumn id="1" xr3:uid="{CFF1747A-87B1-46F4-B6A9-0B7D1D8B1E29}" name="S/N" dataDxfId="52"/>
    <tableColumn id="2" xr3:uid="{01DFA55A-B799-4D40-B1F0-5BB20DEC165E}" name="NAME OF MANUFACTURER" dataDxfId="51"/>
    <tableColumn id="3" xr3:uid="{8E7D2D72-3F57-4451-85A3-230CB18DB65A}" name="LOCATION ADDRESS" dataDxfId="50"/>
    <tableColumn id="4" xr3:uid="{F5E95F2C-E66F-44E8-B00E-A57E6807C0B1}" name="CONTACT" dataDxfId="49"/>
    <tableColumn id="5" xr3:uid="{F2E2CE44-9DCB-40BC-BBE6-7DFD23A7EA0F}" name="TYPE OF LAST INSPECTION" dataDxfId="48"/>
    <tableColumn id="6" xr3:uid="{771380EE-ACF1-48B6-A69A-444754D62EB3}" name="DATE OF LAST INSPECTION" dataDxfId="47"/>
    <tableColumn id="7" xr3:uid="{9B2C6C80-E273-47EE-8079-7DD4941B510F}" name="FINDINGS" dataDxfId="46"/>
    <tableColumn id="8" xr3:uid="{3D7051BE-4E93-4474-A85C-AAC2E6B7BD21}" name="CAPA ISSUED DATE"/>
    <tableColumn id="9" xr3:uid="{7C409F68-D3B5-45E4-BF08-62E795238A3C}" name="CAPA SUBMITTED" dataDxfId="45"/>
    <tableColumn id="10" xr3:uid="{0D66F7CC-20FD-4EDF-B394-45E9672A39FB}" name="CONCLUSION" dataDxfId="44"/>
    <tableColumn id="11" xr3:uid="{480B57DD-DE6E-4646-9431-42C898D04513}" name="REMARKS" dataDxfId="43">
      <calculatedColumnFormula>IF(I3="YES","CAPA VERIFICATION SHOULD BE SCHEDULED",IF(I3="NO","REMINDER LETTER SHOULD BE SENT",""))</calculatedColumnFormula>
    </tableColumn>
    <tableColumn id="12" xr3:uid="{9492A406-9AA7-45F4-85F8-05FB18BFCA6D}" name="EXPECTED DATE OF INSPECTION" dataDxfId="42"/>
    <tableColumn id="13" xr3:uid="{94C46240-A9A0-44D3-B280-AF5109BEED32}" name="OMPANY FILE" dataDxfId="41"/>
    <tableColumn id="14" xr3:uid="{753480F1-491D-490A-9C2D-AF8710F239B7}" name="Column1" dataDxfId="40" dataCellStyle="Hyperlink"/>
    <tableColumn id="15" xr3:uid="{C044C6E4-A68E-4177-B310-AA1F16B7C2AA}" name="Column2" dataDxfId="39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CB354409-DC1A-406B-BCC7-8D01860CA203}" name="Table7" displayName="Table7" ref="A2:O14" totalsRowShown="0">
  <autoFilter ref="A2:O14" xr:uid="{CB354409-DC1A-406B-BCC7-8D01860CA203}"/>
  <tableColumns count="15">
    <tableColumn id="1" xr3:uid="{C2F9A444-232B-4724-93CC-B97AA4FB018E}" name="S/N" dataDxfId="36"/>
    <tableColumn id="2" xr3:uid="{4F25AFB6-F3FA-44C0-84B8-DB6D9F357ACB}" name="NAME OF MANUFACTURER" dataDxfId="35"/>
    <tableColumn id="3" xr3:uid="{78125AF7-187B-4361-8377-0B18652D2198}" name="LOCATION ADDRESS" dataDxfId="34"/>
    <tableColumn id="4" xr3:uid="{07F27CCE-0239-4D7B-B56A-C49C438555C1}" name="CONTACT" dataDxfId="33"/>
    <tableColumn id="5" xr3:uid="{C606CEAC-D67A-45FA-B5D3-79BE2F0258E8}" name="TYPE OF LAST INSPECTION" dataDxfId="32"/>
    <tableColumn id="6" xr3:uid="{337F0BC6-84DF-4BB9-971D-4B45B1CD4385}" name="DATE OF LAST INSPECTION" dataDxfId="31"/>
    <tableColumn id="7" xr3:uid="{8456F302-5D42-4DE5-B833-76265E58C851}" name="FINDINGS" dataDxfId="30"/>
    <tableColumn id="8" xr3:uid="{2E505896-261A-458E-83FC-21C0EACBD17D}" name="CAPA ISSUED DATE" dataDxfId="29"/>
    <tableColumn id="9" xr3:uid="{FCDE3042-704F-4E2C-85CE-4AC07D07547B}" name="CAPA SUBMITTED" dataDxfId="28"/>
    <tableColumn id="10" xr3:uid="{5A283C1F-C47B-4E82-A248-6C1948D30241}" name="CONCLUSION" dataDxfId="27"/>
    <tableColumn id="11" xr3:uid="{7A7F6E0D-4415-4043-B49B-A78A61C7D43F}" name="REMARKS" dataDxfId="26">
      <calculatedColumnFormula>IF(I3="YES","CAPA VERIFICATION SHOULD BE SCHEDULED",IF(I3="NO","REMINDER LETTER SHOULD BE SENT",""))</calculatedColumnFormula>
    </tableColumn>
    <tableColumn id="12" xr3:uid="{DD17684D-B307-40F0-AF8D-EC3E9CDC8353}" name="EXPECTED DATE OF INSPECTION" dataDxfId="25"/>
    <tableColumn id="13" xr3:uid="{532DA6E8-8AC6-42AD-9991-03385A587759}" name="OMPANY FILE" dataDxfId="24"/>
    <tableColumn id="14" xr3:uid="{DCB36F82-7E07-49D5-849B-AD93EFDB2F12}" name="Column1" dataDxfId="23" dataCellStyle="Hyperlink"/>
    <tableColumn id="15" xr3:uid="{BBBC47B4-BD81-4453-BA1B-2AE4BB08544C}" name="Column2" dataDxfId="22" dataCellStyle="Hyperlink">
      <calculatedColumnFormula>IF(M3="","",HYPERLINK(M3,B3))</calculatedColumnFormula>
    </tableColumn>
  </tableColumns>
  <tableStyleInfo name="TableStyleLight14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F1BA8D0-E0D2-44F5-B7BB-00AB8F2CBAE7}" name="Table8" displayName="Table8" ref="A2:N6" totalsRowShown="0">
  <autoFilter ref="A2:N6" xr:uid="{4F1BA8D0-E0D2-44F5-B7BB-00AB8F2CBAE7}"/>
  <tableColumns count="14">
    <tableColumn id="1" xr3:uid="{F404DE6A-394D-42E4-894C-C0F56761E653}" name="S/N" dataDxfId="13"/>
    <tableColumn id="2" xr3:uid="{917FA226-0A0A-418F-82E4-FD9F955F5317}" name="NAME OF MANUFACTURER" dataDxfId="12"/>
    <tableColumn id="3" xr3:uid="{69859C31-E863-4F42-8DC5-DDE33B4836D3}" name="LOCATION ADDRESS" dataDxfId="11"/>
    <tableColumn id="4" xr3:uid="{70D2739E-9D63-4934-B5E4-763EB2C82300}" name="CONTACT" dataDxfId="10"/>
    <tableColumn id="5" xr3:uid="{B5D876A4-686C-4BA6-BD68-AD9DCDDAC27E}" name="TYPE OF LAST INSPECTION" dataDxfId="9"/>
    <tableColumn id="6" xr3:uid="{F54D5321-6AB5-41FE-BFE5-F52A9BB0B61F}" name="DATE OF LAST INSPECTION" dataDxfId="8"/>
    <tableColumn id="7" xr3:uid="{080DE9B5-E07A-4117-B7A1-7F9036924F37}" name="FINDINGS" dataDxfId="7"/>
    <tableColumn id="8" xr3:uid="{BFE22019-3333-4F0E-B440-14FE2433F40B}" name="CAPA ISSUED DATE" dataDxfId="6"/>
    <tableColumn id="9" xr3:uid="{CAB62D76-F671-4418-ADD8-7155887709F1}" name="CAPA SUBMITTED" dataDxfId="5"/>
    <tableColumn id="10" xr3:uid="{69A0B68B-9709-4121-BFF5-968227670334}" name="CONCLUSION" dataDxfId="4"/>
    <tableColumn id="11" xr3:uid="{87AD2F87-9FD5-4C04-B2C5-AB7D8E1712CB}" name="REMARKS" dataDxfId="3">
      <calculatedColumnFormula>IF(I3="YES","CAPA VERIFICATION SHOULD BE SCHEDULED",IF(I3="NO","REMINDER LETTER SHOULD BE SENT",""))</calculatedColumnFormula>
    </tableColumn>
    <tableColumn id="12" xr3:uid="{F5F573BC-ED82-4D9A-8923-854438E5BBE0}" name="EXPECTED DATE OF INSPECTION" dataDxfId="2"/>
    <tableColumn id="13" xr3:uid="{71C023E0-FE67-4A6B-A3F2-E75292B522DA}" name="OMPANY FILE" dataDxfId="1"/>
    <tableColumn id="14" xr3:uid="{81985DD5-39B4-421D-8291-ECCE278BF2C9}" name="Column1" dataDxfId="0" dataCellStyle="Hyperlink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../../GDP%20(GOOD%20DISTRIBUTION%20PRATICE)/GSDP%20COMPANY%20FILES/ROM-CHIDEK" TargetMode="External"/><Relationship Id="rId21" Type="http://schemas.openxmlformats.org/officeDocument/2006/relationships/hyperlink" Target="../../GDP%20(GOOD%20DISTRIBUTION%20PRATICE)/GSDP%20COMPANY%20FILES/SWIPHA%20NIG.%20LTD" TargetMode="External"/><Relationship Id="rId42" Type="http://schemas.openxmlformats.org/officeDocument/2006/relationships/hyperlink" Target="../../GDP%20(GOOD%20DISTRIBUTION%20PRATICE)/GSDP%20COMPANY%20FILES/MIVERO%20PHARM" TargetMode="External"/><Relationship Id="rId47" Type="http://schemas.openxmlformats.org/officeDocument/2006/relationships/hyperlink" Target="../../GDP%20(GOOD%20DISTRIBUTION%20PRATICE)/GSDP%20COMPANY%20FILES/DRUG%20IT%20PHARMACY" TargetMode="External"/><Relationship Id="rId63" Type="http://schemas.openxmlformats.org/officeDocument/2006/relationships/hyperlink" Target="../../GDP%20(GOOD%20DISTRIBUTION%20PRATICE)/GSDP%20COMPANY%20FILES/CITY%20OF%20GLORY%20PHARM" TargetMode="External"/><Relationship Id="rId68" Type="http://schemas.openxmlformats.org/officeDocument/2006/relationships/hyperlink" Target="../../GDP%20(GOOD%20DISTRIBUTION%20PRATICE)/GSDP%20COMPANY%20FILES/WINDOM%20PHARMACY" TargetMode="External"/><Relationship Id="rId84" Type="http://schemas.openxmlformats.org/officeDocument/2006/relationships/hyperlink" Target="../../GDP%20(GOOD%20DISTRIBUTION%20PRATICE)/GSDP%20COMPANY%20FILES/BLESSED%20NEODYKE%20PHARM%20CO" TargetMode="External"/><Relationship Id="rId89" Type="http://schemas.openxmlformats.org/officeDocument/2006/relationships/hyperlink" Target="../../GDP%20(GOOD%20DISTRIBUTION%20PRATICE)/GSDP%20COMPANY%20FILES/CLARION%20HEALTHCARE" TargetMode="External"/><Relationship Id="rId112" Type="http://schemas.openxmlformats.org/officeDocument/2006/relationships/table" Target="../tables/table1.xml"/><Relationship Id="rId16" Type="http://schemas.openxmlformats.org/officeDocument/2006/relationships/hyperlink" Target="../../GDP%20(GOOD%20DISTRIBUTION%20PRATICE)/GSDP%20COMPANY%20FILES/RALPHONES%20PHARMACEUTICAL%20LTD" TargetMode="External"/><Relationship Id="rId107" Type="http://schemas.openxmlformats.org/officeDocument/2006/relationships/hyperlink" Target="../GSDP%20COMPANY%20FILES/SAM%20SUNNY%20PHARM" TargetMode="External"/><Relationship Id="rId11" Type="http://schemas.openxmlformats.org/officeDocument/2006/relationships/hyperlink" Target="../GSDP%20COMPANY%20FILES/GENEITH%20PHARM.%20LTD" TargetMode="External"/><Relationship Id="rId32" Type="http://schemas.openxmlformats.org/officeDocument/2006/relationships/hyperlink" Target="../../GDP%20(GOOD%20DISTRIBUTION%20PRATICE)/GSDP%20COMPANY%20FILES/UNITED%20ABC%20PHARM" TargetMode="External"/><Relationship Id="rId37" Type="http://schemas.openxmlformats.org/officeDocument/2006/relationships/hyperlink" Target="../../GDP%20(GOOD%20DISTRIBUTION%20PRATICE)/GSDP%20COMPANY%20FILES/AGU%20JUDEA%20PHARMACEUTICLAS" TargetMode="External"/><Relationship Id="rId53" Type="http://schemas.openxmlformats.org/officeDocument/2006/relationships/hyperlink" Target="../../GDP%20(GOOD%20DISTRIBUTION%20PRATICE)/GSDP%20COMPANY%20FILES/KRANTZ%20PHARMACY" TargetMode="External"/><Relationship Id="rId58" Type="http://schemas.openxmlformats.org/officeDocument/2006/relationships/hyperlink" Target="../../GDP%20(GOOD%20DISTRIBUTION%20PRATICE)/GSDP%20COMPANY%20FILES/MAC%20EVENTUS%20PHARM%20LTD" TargetMode="External"/><Relationship Id="rId74" Type="http://schemas.openxmlformats.org/officeDocument/2006/relationships/hyperlink" Target="../../GDP%20(GOOD%20DISTRIBUTION%20PRATICE)/GSDP%20COMPANY%20FILES/LIVE%20MORE%20PHARMACY" TargetMode="External"/><Relationship Id="rId79" Type="http://schemas.openxmlformats.org/officeDocument/2006/relationships/hyperlink" Target="../../GDP%20(GOOD%20DISTRIBUTION%20PRATICE)/GSDP%20COMPANY%20FILES/DIVINE%20LIFT%20PHARMACY" TargetMode="External"/><Relationship Id="rId102" Type="http://schemas.openxmlformats.org/officeDocument/2006/relationships/hyperlink" Target="../../GDP%20(GOOD%20DISTRIBUTION%20PRATICE)/GSDP%20COMPANY%20FILES/SKY%20PHARM" TargetMode="External"/><Relationship Id="rId5" Type="http://schemas.openxmlformats.org/officeDocument/2006/relationships/hyperlink" Target="../GSDP%20COMPANY%20FILES/FRANKCY%20NIG%20LTD" TargetMode="External"/><Relationship Id="rId90" Type="http://schemas.openxmlformats.org/officeDocument/2006/relationships/hyperlink" Target="../../GDP%20(GOOD%20DISTRIBUTION%20PRATICE)/GSDP%20COMPANY%20FILES/HUGO%20DRUGS%20LIMITED" TargetMode="External"/><Relationship Id="rId95" Type="http://schemas.openxmlformats.org/officeDocument/2006/relationships/hyperlink" Target="../../GDP%20(GOOD%20DISTRIBUTION%20PRATICE)/GSDP%20COMPANY%20FILES/ONIFAM%20LABORATORIES%20LTD" TargetMode="External"/><Relationship Id="rId22" Type="http://schemas.openxmlformats.org/officeDocument/2006/relationships/hyperlink" Target="../../GDP%20(GOOD%20DISTRIBUTION%20PRATICE)/GSDP%20COMPANY%20FILES/BJ%20CHOICE%20PHARM.%20LTD" TargetMode="External"/><Relationship Id="rId27" Type="http://schemas.openxmlformats.org/officeDocument/2006/relationships/hyperlink" Target="../../GDP%20(GOOD%20DISTRIBUTION%20PRATICE)/GSDP%20COMPANY%20FILES/JUVYWAY%20PHARMACY" TargetMode="External"/><Relationship Id="rId43" Type="http://schemas.openxmlformats.org/officeDocument/2006/relationships/hyperlink" Target="../../GDP%20(GOOD%20DISTRIBUTION%20PRATICE)/GSDP%20COMPANY%20FILES/R.L%20UPRIGHTWAY%20NIG%20LTD" TargetMode="External"/><Relationship Id="rId48" Type="http://schemas.openxmlformats.org/officeDocument/2006/relationships/hyperlink" Target="../../GDP%20(GOOD%20DISTRIBUTION%20PRATICE)/GSDP%20COMPANY%20FILES/FAMOUS%20CHEMIST%20LTD" TargetMode="External"/><Relationship Id="rId64" Type="http://schemas.openxmlformats.org/officeDocument/2006/relationships/hyperlink" Target="../../GDP%20(GOOD%20DISTRIBUTION%20PRATICE)/GSDP%20COMPANY%20FILES/CHRIS%20NELB%20PHARMACY" TargetMode="External"/><Relationship Id="rId69" Type="http://schemas.openxmlformats.org/officeDocument/2006/relationships/hyperlink" Target="../../GDP%20(GOOD%20DISTRIBUTION%20PRATICE)/GSDP%20COMPANY%20FILES/JOSEFERKMART%20PHARMACY" TargetMode="External"/><Relationship Id="rId80" Type="http://schemas.openxmlformats.org/officeDocument/2006/relationships/hyperlink" Target="../../GDP%20(GOOD%20DISTRIBUTION%20PRATICE)/GSDP%20COMPANY%20FILES/CHEV%20PHARMACEUTICALS%20LTD" TargetMode="External"/><Relationship Id="rId85" Type="http://schemas.openxmlformats.org/officeDocument/2006/relationships/hyperlink" Target="../../GDP%20(GOOD%20DISTRIBUTION%20PRATICE)/GSDP%20COMPANY%20FILES/ELBE%20PHARMA.%20NIG%20LTD" TargetMode="External"/><Relationship Id="rId12" Type="http://schemas.openxmlformats.org/officeDocument/2006/relationships/hyperlink" Target="../GSDP%20COMPANY%20FILES/ONWUADI%20AND%20SONS%20LTD" TargetMode="External"/><Relationship Id="rId17" Type="http://schemas.openxmlformats.org/officeDocument/2006/relationships/hyperlink" Target="../../GDP%20(GOOD%20DISTRIBUTION%20PRATICE)/GSDP%20COMPANY%20FILES/LUGZ%20PHARMACY" TargetMode="External"/><Relationship Id="rId33" Type="http://schemas.openxmlformats.org/officeDocument/2006/relationships/hyperlink" Target="../../GDP%20(GOOD%20DISTRIBUTION%20PRATICE)/GSDP%20COMPANY%20FILES/RIGHTMARES%20PHARM%20LTD" TargetMode="External"/><Relationship Id="rId38" Type="http://schemas.openxmlformats.org/officeDocument/2006/relationships/hyperlink" Target="../../GDP%20(GOOD%20DISTRIBUTION%20PRATICE)/GSDP%20COMPANY%20FILES/ZIFAM%20PINNACLES%20LTD" TargetMode="External"/><Relationship Id="rId59" Type="http://schemas.openxmlformats.org/officeDocument/2006/relationships/hyperlink" Target="../../GDP%20(GOOD%20DISTRIBUTION%20PRATICE)/GSDP%20COMPANY%20FILES/SAMNTO%20PHARM" TargetMode="External"/><Relationship Id="rId103" Type="http://schemas.openxmlformats.org/officeDocument/2006/relationships/hyperlink" Target="../../GDP%20(GOOD%20DISTRIBUTION%20PRATICE)/GSDP%20COMPANY%20FILES/AJAO%20SAMUEL" TargetMode="External"/><Relationship Id="rId108" Type="http://schemas.openxmlformats.org/officeDocument/2006/relationships/hyperlink" Target="../GSDP%20COMPANY%20FILES/GOD%20SAINTS%20PHARMA%20LTD" TargetMode="External"/><Relationship Id="rId54" Type="http://schemas.openxmlformats.org/officeDocument/2006/relationships/hyperlink" Target="../../GDP%20(GOOD%20DISTRIBUTION%20PRATICE)/GSDP%20COMPANY%20FILES/ALGANDA%20PHARMACEUTICALS" TargetMode="External"/><Relationship Id="rId70" Type="http://schemas.openxmlformats.org/officeDocument/2006/relationships/hyperlink" Target="../../GDP%20(GOOD%20DISTRIBUTION%20PRATICE)/GSDP%20COMPANY%20FILES/LINCO%20STAR%20PHARM" TargetMode="External"/><Relationship Id="rId75" Type="http://schemas.openxmlformats.org/officeDocument/2006/relationships/hyperlink" Target="../../GDP%20(GOOD%20DISTRIBUTION%20PRATICE)/GSDP%20COMPANY%20FILES/UZOKENN%20PHARMACY" TargetMode="External"/><Relationship Id="rId91" Type="http://schemas.openxmlformats.org/officeDocument/2006/relationships/hyperlink" Target="../../GDP%20(GOOD%20DISTRIBUTION%20PRATICE)/GSDP%20COMPANY%20FILES/MARK%20PHARMACEUTICALS" TargetMode="External"/><Relationship Id="rId96" Type="http://schemas.openxmlformats.org/officeDocument/2006/relationships/hyperlink" Target="../../GDP%20(GOOD%20DISTRIBUTION%20PRATICE)/GSDP%20COMPANY%20FILES/AGARY%20PHARMACEUTICALS%20LTD" TargetMode="External"/><Relationship Id="rId1" Type="http://schemas.openxmlformats.org/officeDocument/2006/relationships/hyperlink" Target="GSDP%20COMPANY%20FILES/A.N%20CHIDOZIE%20PHARMACEUTICAL%20LTD" TargetMode="External"/><Relationship Id="rId6" Type="http://schemas.openxmlformats.org/officeDocument/2006/relationships/hyperlink" Target="../GSDP%20COMPANY%20FILES/FRANKCY%20NIG%20LTD" TargetMode="External"/><Relationship Id="rId15" Type="http://schemas.openxmlformats.org/officeDocument/2006/relationships/hyperlink" Target="../GSDP%20COMPANY%20FILES/ANOKEN%20PHARM.%20LTD" TargetMode="External"/><Relationship Id="rId23" Type="http://schemas.openxmlformats.org/officeDocument/2006/relationships/hyperlink" Target="../../GDP%20(GOOD%20DISTRIBUTION%20PRATICE)/GSDP%20COMPANY%20FILES/PAKEN%20VENTURES%20LTD" TargetMode="External"/><Relationship Id="rId28" Type="http://schemas.openxmlformats.org/officeDocument/2006/relationships/hyperlink" Target="../../GDP%20(GOOD%20DISTRIBUTION%20PRATICE)/GSDP%20COMPANY%20FILES/EVERSHINE%20PHARMA%20NIG%20LTD" TargetMode="External"/><Relationship Id="rId36" Type="http://schemas.openxmlformats.org/officeDocument/2006/relationships/hyperlink" Target="../../GDP%20(GOOD%20DISTRIBUTION%20PRATICE)/GSDP%20COMPANY%20FILES/LIVE%20BETA%20PHARM" TargetMode="External"/><Relationship Id="rId49" Type="http://schemas.openxmlformats.org/officeDocument/2006/relationships/hyperlink" Target="../../GDP%20(GOOD%20DISTRIBUTION%20PRATICE)/GSDP%20COMPANY%20FILES/ALIMOSHO%20CHEMISTS%20LTD" TargetMode="External"/><Relationship Id="rId57" Type="http://schemas.openxmlformats.org/officeDocument/2006/relationships/hyperlink" Target="../../GDP%20(GOOD%20DISTRIBUTION%20PRATICE)/GSDP%20COMPANY%20FILES/DRUG%20STOC%20EHUB" TargetMode="External"/><Relationship Id="rId106" Type="http://schemas.openxmlformats.org/officeDocument/2006/relationships/hyperlink" Target="../../GDP%20(GOOD%20DISTRIBUTION%20PRATICE)/GSDP%20COMPANY%20FILES/VITBORAH%20PHARMA%20LTD" TargetMode="External"/><Relationship Id="rId10" Type="http://schemas.openxmlformats.org/officeDocument/2006/relationships/hyperlink" Target="../MECURE%20IND.%20LTD" TargetMode="External"/><Relationship Id="rId31" Type="http://schemas.openxmlformats.org/officeDocument/2006/relationships/hyperlink" Target="../../GDP%20(GOOD%20DISTRIBUTION%20PRATICE)/GSDP%20COMPANY%20FILES/SKY%20PHARM" TargetMode="External"/><Relationship Id="rId44" Type="http://schemas.openxmlformats.org/officeDocument/2006/relationships/hyperlink" Target="../../GDP%20(GOOD%20DISTRIBUTION%20PRATICE)/GSDP%20COMPANY%20FILES/TEACO%20PHARMACY" TargetMode="External"/><Relationship Id="rId52" Type="http://schemas.openxmlformats.org/officeDocument/2006/relationships/hyperlink" Target="../../GDP%20(GOOD%20DISTRIBUTION%20PRATICE)/GSDP%20COMPANY%20FILES/ANYI%20WEST%20PHARMACY" TargetMode="External"/><Relationship Id="rId60" Type="http://schemas.openxmlformats.org/officeDocument/2006/relationships/hyperlink" Target="../GSDP%20COMPANY%20FILES/A%20Alantra" TargetMode="External"/><Relationship Id="rId65" Type="http://schemas.openxmlformats.org/officeDocument/2006/relationships/hyperlink" Target="../../GDP%20(GOOD%20DISTRIBUTION%20PRATICE)/GSDP%20COMPANY%20FILES/SURPLUS%20PHARM" TargetMode="External"/><Relationship Id="rId73" Type="http://schemas.openxmlformats.org/officeDocument/2006/relationships/hyperlink" Target="../../GDP%20(GOOD%20DISTRIBUTION%20PRATICE)/GSDP%20COMPANY%20FILES/ALKATRICE%20PHARMACEUTICALS" TargetMode="External"/><Relationship Id="rId78" Type="http://schemas.openxmlformats.org/officeDocument/2006/relationships/hyperlink" Target="../../GDP%20(GOOD%20DISTRIBUTION%20PRATICE)/GSDP%20COMPANY%20FILES/DRUG%20FIELD" TargetMode="External"/><Relationship Id="rId81" Type="http://schemas.openxmlformats.org/officeDocument/2006/relationships/hyperlink" Target="../../GDP%20(GOOD%20DISTRIBUTION%20PRATICE)/GSDP%20COMPANY%20FILES/A.N%20CHIDOZIE%20PHARMACEUTICAL%20LTD" TargetMode="External"/><Relationship Id="rId86" Type="http://schemas.openxmlformats.org/officeDocument/2006/relationships/hyperlink" Target="../../GDP%20(GOOD%20DISTRIBUTION%20PRATICE)/GSDP%20COMPANY%20FILES/GREENLIFE%20PHARM.%20LTD" TargetMode="External"/><Relationship Id="rId94" Type="http://schemas.openxmlformats.org/officeDocument/2006/relationships/hyperlink" Target="../../GDP%20(GOOD%20DISTRIBUTION%20PRATICE)/GSDP%20COMPANY%20FILES/VINCO%20PHARM" TargetMode="External"/><Relationship Id="rId99" Type="http://schemas.openxmlformats.org/officeDocument/2006/relationships/hyperlink" Target="../../GDP%20(GOOD%20DISTRIBUTION%20PRATICE)/GSDP%20COMPANY%20FILES/COLLIBEX%20PHARM" TargetMode="External"/><Relationship Id="rId101" Type="http://schemas.openxmlformats.org/officeDocument/2006/relationships/hyperlink" Target="../../GDP%20(GOOD%20DISTRIBUTION%20PRATICE)/GSDP%20COMPANY%20FILES/VINCO%20PHARM" TargetMode="External"/><Relationship Id="rId4" Type="http://schemas.openxmlformats.org/officeDocument/2006/relationships/hyperlink" Target="../GSDP%20COMPANY%20FILES/SKY%20PHARM" TargetMode="External"/><Relationship Id="rId9" Type="http://schemas.openxmlformats.org/officeDocument/2006/relationships/hyperlink" Target="../GSDP%20COMPANY%20FILES/GOODCARE" TargetMode="External"/><Relationship Id="rId13" Type="http://schemas.openxmlformats.org/officeDocument/2006/relationships/hyperlink" Target="../GSDP%20COMPANY%20FILES/MOODY%20DRUGS%20CO.%20LTD" TargetMode="External"/><Relationship Id="rId18" Type="http://schemas.openxmlformats.org/officeDocument/2006/relationships/hyperlink" Target="../../GDP%20(GOOD%20DISTRIBUTION%20PRATICE)/GSDP%20COMPANY%20FILES/GOODCARE" TargetMode="External"/><Relationship Id="rId39" Type="http://schemas.openxmlformats.org/officeDocument/2006/relationships/hyperlink" Target="../../GDP%20(GOOD%20DISTRIBUTION%20PRATICE)/GSDP%20COMPANY%20FILES/UNITED%20AFRICA%20LABORATORY%20LTD" TargetMode="External"/><Relationship Id="rId109" Type="http://schemas.openxmlformats.org/officeDocument/2006/relationships/hyperlink" Target="../GSDP%20COMPANY%20FILES/JUSTINAK%20PHARMACY" TargetMode="External"/><Relationship Id="rId34" Type="http://schemas.openxmlformats.org/officeDocument/2006/relationships/hyperlink" Target="../../GDP%20(GOOD%20DISTRIBUTION%20PRATICE)/GSDP%20COMPANY%20FILES/SA%20PHARMACY" TargetMode="External"/><Relationship Id="rId50" Type="http://schemas.openxmlformats.org/officeDocument/2006/relationships/hyperlink" Target="../../GDP%20(GOOD%20DISTRIBUTION%20PRATICE)/GSDP%20COMPANY%20FILES/GODS%20FOUNDATION" TargetMode="External"/><Relationship Id="rId55" Type="http://schemas.openxmlformats.org/officeDocument/2006/relationships/hyperlink" Target="../../GDP%20(GOOD%20DISTRIBUTION%20PRATICE)/GSDP%20COMPANY%20FILES/CIKASON%20PHARMACY" TargetMode="External"/><Relationship Id="rId76" Type="http://schemas.openxmlformats.org/officeDocument/2006/relationships/hyperlink" Target="../../GDP%20(GOOD%20DISTRIBUTION%20PRATICE)/GSDP%20COMPANY%20FILES/EVITA%20MOORE%20NIG%20LTD" TargetMode="External"/><Relationship Id="rId97" Type="http://schemas.openxmlformats.org/officeDocument/2006/relationships/hyperlink" Target="../../GDP%20(GOOD%20DISTRIBUTION%20PRATICE)/GSDP%20COMPANY%20FILES/SHALINA%20HEALTHCARE%20LTD" TargetMode="External"/><Relationship Id="rId104" Type="http://schemas.openxmlformats.org/officeDocument/2006/relationships/hyperlink" Target="../../GDP%20(GOOD%20DISTRIBUTION%20PRATICE)/GSDP%20COMPANY%20FILES/MALVEN%20MEDICS%20LTD" TargetMode="External"/><Relationship Id="rId7" Type="http://schemas.openxmlformats.org/officeDocument/2006/relationships/hyperlink" Target="../GSDP%20COMPANY%20FILES/ROM-CHIDEK" TargetMode="External"/><Relationship Id="rId71" Type="http://schemas.openxmlformats.org/officeDocument/2006/relationships/hyperlink" Target="../../GDP%20(GOOD%20DISTRIBUTION%20PRATICE)/GSDP%20COMPANY%20FILES/E.%20EGBESON%20CHEM%20PHARM" TargetMode="External"/><Relationship Id="rId92" Type="http://schemas.openxmlformats.org/officeDocument/2006/relationships/hyperlink" Target="../../GDP%20(GOOD%20DISTRIBUTION%20PRATICE)/GSDP%20COMPANY%20FILES/DERM%20PHARMACEUTICALS" TargetMode="External"/><Relationship Id="rId2" Type="http://schemas.openxmlformats.org/officeDocument/2006/relationships/hyperlink" Target="GSDP%20COMPANY%20FILES/AGU%20JUDEA%20PHARMACEUTICLAS" TargetMode="External"/><Relationship Id="rId29" Type="http://schemas.openxmlformats.org/officeDocument/2006/relationships/hyperlink" Target="../../GDP%20(GOOD%20DISTRIBUTION%20PRATICE)/GSDP%20COMPANY%20FILES/FRANKCY%20NIG%20LTD" TargetMode="External"/><Relationship Id="rId24" Type="http://schemas.openxmlformats.org/officeDocument/2006/relationships/hyperlink" Target="../../GDP%20(GOOD%20DISTRIBUTION%20PRATICE)/GSDP%20COMPANY%20FILES/HENBOSCO%20PHARMACY%20LTD" TargetMode="External"/><Relationship Id="rId40" Type="http://schemas.openxmlformats.org/officeDocument/2006/relationships/hyperlink" Target="../../GDP%20(GOOD%20DISTRIBUTION%20PRATICE)/GSDP%20COMPANY%20FILES/SANTUS%20PHARMACY%20LTD" TargetMode="External"/><Relationship Id="rId45" Type="http://schemas.openxmlformats.org/officeDocument/2006/relationships/hyperlink" Target="../../GDP%20(GOOD%20DISTRIBUTION%20PRATICE)/GSDP%20COMPANY%20FILES/FUNKET%20NIG.%20LTD" TargetMode="External"/><Relationship Id="rId66" Type="http://schemas.openxmlformats.org/officeDocument/2006/relationships/hyperlink" Target="../../GDP%20(GOOD%20DISTRIBUTION%20PRATICE)/GSDP%20COMPANY%20FILES/DOMINO%20PHARM" TargetMode="External"/><Relationship Id="rId87" Type="http://schemas.openxmlformats.org/officeDocument/2006/relationships/hyperlink" Target="../../GDP%20(GOOD%20DISTRIBUTION%20PRATICE)/GSDP%20COMPANY%20FILES/EMBASSY%20PHARM" TargetMode="External"/><Relationship Id="rId110" Type="http://schemas.openxmlformats.org/officeDocument/2006/relationships/hyperlink" Target="../GSDP%20COMPANY%20FILES/INSPIRATION%20PHARMACY" TargetMode="External"/><Relationship Id="rId61" Type="http://schemas.openxmlformats.org/officeDocument/2006/relationships/hyperlink" Target="../../GDP%20(GOOD%20DISTRIBUTION%20PRATICE)/GSDP%20COMPANY%20FILES/CHEV%20PHARMACEUTICALS%20LTD" TargetMode="External"/><Relationship Id="rId82" Type="http://schemas.openxmlformats.org/officeDocument/2006/relationships/hyperlink" Target="../../GDP%20(GOOD%20DISTRIBUTION%20PRATICE)/GSDP%20COMPANY%20FILES/OBITEX%20DIVINE%20PHARMACEUTICALS" TargetMode="External"/><Relationship Id="rId19" Type="http://schemas.openxmlformats.org/officeDocument/2006/relationships/hyperlink" Target="../../GDP%20(GOOD%20DISTRIBUTION%20PRATICE)/GSDP%20COMPANY%20FILES/PATVICS%20LTD" TargetMode="External"/><Relationship Id="rId14" Type="http://schemas.openxmlformats.org/officeDocument/2006/relationships/hyperlink" Target="../../GDP%20(GOOD%20DISTRIBUTION%20PRATICE)/GSDP%20COMPANY%20FILES/JUMENCO%20PHARMACEUTICALS%20LTD" TargetMode="External"/><Relationship Id="rId30" Type="http://schemas.openxmlformats.org/officeDocument/2006/relationships/hyperlink" Target="../../GDP%20(GOOD%20DISTRIBUTION%20PRATICE)/GSDP%20COMPANY%20FILES/GOD%20IS%20GREAT%20PHARMACY" TargetMode="External"/><Relationship Id="rId35" Type="http://schemas.openxmlformats.org/officeDocument/2006/relationships/hyperlink" Target="../../GDP%20(GOOD%20DISTRIBUTION%20PRATICE)/GSDP%20COMPANY%20FILES/M.U.%20SAM" TargetMode="External"/><Relationship Id="rId56" Type="http://schemas.openxmlformats.org/officeDocument/2006/relationships/hyperlink" Target="../../GDP%20(GOOD%20DISTRIBUTION%20PRATICE)/GSDP%20COMPANY%20FILES/MARY%20IYKE%20PHARMACY" TargetMode="External"/><Relationship Id="rId77" Type="http://schemas.openxmlformats.org/officeDocument/2006/relationships/hyperlink" Target="../../GDP%20(GOOD%20DISTRIBUTION%20PRATICE)/GSDP%20COMPANY%20FILES/GLACK%20PHARMECEUTICALS%20LTD" TargetMode="External"/><Relationship Id="rId100" Type="http://schemas.openxmlformats.org/officeDocument/2006/relationships/hyperlink" Target="../../GDP%20(GOOD%20DISTRIBUTION%20PRATICE)/GSDP%20COMPANY%20FILES/EMMASTEV%20PHARM" TargetMode="External"/><Relationship Id="rId105" Type="http://schemas.openxmlformats.org/officeDocument/2006/relationships/hyperlink" Target="../../GDP%20(GOOD%20DISTRIBUTION%20PRATICE)/GSDP%20COMPANY%20FILES/TUM%20TAY%20COMPANY%20LTD" TargetMode="External"/><Relationship Id="rId8" Type="http://schemas.openxmlformats.org/officeDocument/2006/relationships/hyperlink" Target="../GSDP%20COMPANY%20FILES/AJAO%20SAMUEL" TargetMode="External"/><Relationship Id="rId51" Type="http://schemas.openxmlformats.org/officeDocument/2006/relationships/hyperlink" Target="../../GDP%20(GOOD%20DISTRIBUTION%20PRATICE)/GSDP%20COMPANY%20FILES/E.U%20EMMASON" TargetMode="External"/><Relationship Id="rId72" Type="http://schemas.openxmlformats.org/officeDocument/2006/relationships/hyperlink" Target="../../GDP%20(GOOD%20DISTRIBUTION%20PRATICE)/GSDP%20COMPANY%20FILES/DE%20GOOD%20GOD%20PHARM" TargetMode="External"/><Relationship Id="rId93" Type="http://schemas.openxmlformats.org/officeDocument/2006/relationships/hyperlink" Target="../../GDP%20(GOOD%20DISTRIBUTION%20PRATICE)/GSDP%20COMPANY%20FILES/SAGAR%20VITACEAUTICALS%20NIG%20LTD" TargetMode="External"/><Relationship Id="rId98" Type="http://schemas.openxmlformats.org/officeDocument/2006/relationships/hyperlink" Target="../../GDP%20(GOOD%20DISTRIBUTION%20PRATICE)/GSDP%20COMPANY%20FILES/IMMACULATE%20CARE%20PHARM" TargetMode="External"/><Relationship Id="rId3" Type="http://schemas.openxmlformats.org/officeDocument/2006/relationships/hyperlink" Target="GSDP%20COMPANY%20FILES/AGARY%20PHARMACEUTICALS%20LTD" TargetMode="External"/><Relationship Id="rId25" Type="http://schemas.openxmlformats.org/officeDocument/2006/relationships/hyperlink" Target="../../GDP%20(GOOD%20DISTRIBUTION%20PRATICE)/GSDP%20COMPANY%20FILES/LYNDUS%20PHARMACY%20LTD" TargetMode="External"/><Relationship Id="rId46" Type="http://schemas.openxmlformats.org/officeDocument/2006/relationships/hyperlink" Target="../../GDP%20(GOOD%20DISTRIBUTION%20PRATICE)/GSDP%20COMPANY%20FILES/KATCEE-MACKENZIE%20LTD" TargetMode="External"/><Relationship Id="rId67" Type="http://schemas.openxmlformats.org/officeDocument/2006/relationships/hyperlink" Target="../../GDP%20(GOOD%20DISTRIBUTION%20PRATICE)/GSDP%20COMPANY%20FILES/HOLEX%20PHARMACEUTICALS" TargetMode="External"/><Relationship Id="rId20" Type="http://schemas.openxmlformats.org/officeDocument/2006/relationships/hyperlink" Target="../../GDP%20(GOOD%20DISTRIBUTION%20PRATICE)/GSDP%20COMPANY%20FILES/KOJOS%20PHARMACY%20LTD" TargetMode="External"/><Relationship Id="rId41" Type="http://schemas.openxmlformats.org/officeDocument/2006/relationships/hyperlink" Target="../../GDP%20(GOOD%20DISTRIBUTION%20PRATICE)/GSDP%20COMPANY%20FILES/THINK%20ENTERNITY%20DRUGS%20LTD" TargetMode="External"/><Relationship Id="rId62" Type="http://schemas.openxmlformats.org/officeDocument/2006/relationships/hyperlink" Target="../../GDP%20(GOOD%20DISTRIBUTION%20PRATICE)/GSDP%20COMPANY%20FILES/REMSON" TargetMode="External"/><Relationship Id="rId83" Type="http://schemas.openxmlformats.org/officeDocument/2006/relationships/hyperlink" Target="../../GDP%20(GOOD%20DISTRIBUTION%20PRATICE)/GSDP%20COMPANY%20FILES/DRUG%20AMBASADOR%20%20PHARM" TargetMode="External"/><Relationship Id="rId88" Type="http://schemas.openxmlformats.org/officeDocument/2006/relationships/hyperlink" Target="../../GDP%20(GOOD%20DISTRIBUTION%20PRATICE)/GSDP%20COMPANY%20FILES/TEKA%20PHARM" TargetMode="External"/><Relationship Id="rId111" Type="http://schemas.openxmlformats.org/officeDocument/2006/relationships/hyperlink" Target="../GSDP%20COMPANY%20FILES/MECURE%20IND.%20LTD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../GSDP%20COMPANY%20FILES/ROM-CHIDEK" TargetMode="External"/><Relationship Id="rId2" Type="http://schemas.openxmlformats.org/officeDocument/2006/relationships/hyperlink" Target="../GSDP%20COMPANY%20FILES/FRANKCY%20NIG%20LTD" TargetMode="External"/><Relationship Id="rId1" Type="http://schemas.openxmlformats.org/officeDocument/2006/relationships/hyperlink" Target="../GSDP%20COMPANY%20FILES/SKY%20PHARM" TargetMode="External"/><Relationship Id="rId6" Type="http://schemas.openxmlformats.org/officeDocument/2006/relationships/table" Target="../tables/table2.xml"/><Relationship Id="rId5" Type="http://schemas.openxmlformats.org/officeDocument/2006/relationships/hyperlink" Target="../MECURE%20IND.%20LTD" TargetMode="External"/><Relationship Id="rId4" Type="http://schemas.openxmlformats.org/officeDocument/2006/relationships/hyperlink" Target="../GSDP%20COMPANY%20FILES/GOODCARE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../../GDP%20(GOOD%20DISTRIBUTION%20PRATICE)/GSDP%20COMPANY%20FILES/THINK%20ENTERNITY%20DRUGS%20LTD" TargetMode="External"/><Relationship Id="rId3" Type="http://schemas.openxmlformats.org/officeDocument/2006/relationships/hyperlink" Target="../../GDP%20(GOOD%20DISTRIBUTION%20PRATICE)/GSDP%20COMPANY%20FILES/LIVE%20BETA%20PHARM" TargetMode="External"/><Relationship Id="rId7" Type="http://schemas.openxmlformats.org/officeDocument/2006/relationships/hyperlink" Target="../../GDP%20(GOOD%20DISTRIBUTION%20PRATICE)/GSDP%20COMPANY%20FILES/SANTUS%20PHARMACY%20LTD" TargetMode="External"/><Relationship Id="rId2" Type="http://schemas.openxmlformats.org/officeDocument/2006/relationships/hyperlink" Target="../../GDP%20(GOOD%20DISTRIBUTION%20PRATICE)/GSDP%20COMPANY%20FILES/M.U.%20SAM" TargetMode="External"/><Relationship Id="rId1" Type="http://schemas.openxmlformats.org/officeDocument/2006/relationships/hyperlink" Target="GSDP%20COMPANY%20FILES/AGU%20JUDEA%20PHARMACEUTICLAS" TargetMode="External"/><Relationship Id="rId6" Type="http://schemas.openxmlformats.org/officeDocument/2006/relationships/hyperlink" Target="../../GDP%20(GOOD%20DISTRIBUTION%20PRATICE)/GSDP%20COMPANY%20FILES/UNITED%20AFRICA%20LABORATORY%20LTD" TargetMode="External"/><Relationship Id="rId5" Type="http://schemas.openxmlformats.org/officeDocument/2006/relationships/hyperlink" Target="../../GDP%20(GOOD%20DISTRIBUTION%20PRATICE)/GSDP%20COMPANY%20FILES/ZIFAM%20PINNACLES%20LTD" TargetMode="External"/><Relationship Id="rId10" Type="http://schemas.openxmlformats.org/officeDocument/2006/relationships/table" Target="../tables/table3.xml"/><Relationship Id="rId4" Type="http://schemas.openxmlformats.org/officeDocument/2006/relationships/hyperlink" Target="../../GDP%20(GOOD%20DISTRIBUTION%20PRATICE)/GSDP%20COMPANY%20FILES/AGU%20JUDEA%20PHARMACEUTICLAS" TargetMode="External"/><Relationship Id="rId9" Type="http://schemas.openxmlformats.org/officeDocument/2006/relationships/hyperlink" Target="../../GDP%20(GOOD%20DISTRIBUTION%20PRATICE)/GSDP%20COMPANY%20FILES/MIVERO%20PHARM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4.xml"/><Relationship Id="rId3" Type="http://schemas.openxmlformats.org/officeDocument/2006/relationships/hyperlink" Target="../../GDP%20(GOOD%20DISTRIBUTION%20PRATICE)/GSDP%20COMPANY%20FILES/FUNKET%20NIG.%20LTD" TargetMode="External"/><Relationship Id="rId7" Type="http://schemas.openxmlformats.org/officeDocument/2006/relationships/hyperlink" Target="../../GDP%20(GOOD%20DISTRIBUTION%20PRATICE)/GSDP%20COMPANY%20FILES/ALIMOSHO%20CHEMISTS%20LTD" TargetMode="External"/><Relationship Id="rId2" Type="http://schemas.openxmlformats.org/officeDocument/2006/relationships/hyperlink" Target="../../GDP%20(GOOD%20DISTRIBUTION%20PRATICE)/GSDP%20COMPANY%20FILES/TEACO%20PHARMACY" TargetMode="External"/><Relationship Id="rId1" Type="http://schemas.openxmlformats.org/officeDocument/2006/relationships/hyperlink" Target="../../GDP%20(GOOD%20DISTRIBUTION%20PRATICE)/GSDP%20COMPANY%20FILES/R.L%20UPRIGHTWAY%20NIG%20LTD" TargetMode="External"/><Relationship Id="rId6" Type="http://schemas.openxmlformats.org/officeDocument/2006/relationships/hyperlink" Target="../../GDP%20(GOOD%20DISTRIBUTION%20PRATICE)/GSDP%20COMPANY%20FILES/FAMOUS%20CHEMIST%20LTD" TargetMode="External"/><Relationship Id="rId5" Type="http://schemas.openxmlformats.org/officeDocument/2006/relationships/hyperlink" Target="../../GDP%20(GOOD%20DISTRIBUTION%20PRATICE)/GSDP%20COMPANY%20FILES/DRUG%20IT%20PHARMACY" TargetMode="External"/><Relationship Id="rId4" Type="http://schemas.openxmlformats.org/officeDocument/2006/relationships/hyperlink" Target="../../GDP%20(GOOD%20DISTRIBUTION%20PRATICE)/GSDP%20COMPANY%20FILES/KATCEE-MACKENZIE%20LTD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../../GDP%20(GOOD%20DISTRIBUTION%20PRATICE)/GSDP%20COMPANY%20FILES/MARY%20IYKE%20PHARMACY" TargetMode="External"/><Relationship Id="rId13" Type="http://schemas.openxmlformats.org/officeDocument/2006/relationships/hyperlink" Target="../../GDP%20(GOOD%20DISTRIBUTION%20PRATICE)/GSDP%20COMPANY%20FILES/CHEV%20PHARMACEUTICALS%20LTD" TargetMode="External"/><Relationship Id="rId3" Type="http://schemas.openxmlformats.org/officeDocument/2006/relationships/hyperlink" Target="../../GDP%20(GOOD%20DISTRIBUTION%20PRATICE)/GSDP%20COMPANY%20FILES/E.U%20EMMASON" TargetMode="External"/><Relationship Id="rId7" Type="http://schemas.openxmlformats.org/officeDocument/2006/relationships/hyperlink" Target="../../GDP%20(GOOD%20DISTRIBUTION%20PRATICE)/GSDP%20COMPANY%20FILES/CIKASON%20PHARMACY" TargetMode="External"/><Relationship Id="rId12" Type="http://schemas.openxmlformats.org/officeDocument/2006/relationships/hyperlink" Target="../GSDP%20COMPANY%20FILES/A%20Alantra" TargetMode="External"/><Relationship Id="rId2" Type="http://schemas.openxmlformats.org/officeDocument/2006/relationships/hyperlink" Target="../../GDP%20(GOOD%20DISTRIBUTION%20PRATICE)/GSDP%20COMPANY%20FILES/GODS%20FOUNDATION" TargetMode="External"/><Relationship Id="rId1" Type="http://schemas.openxmlformats.org/officeDocument/2006/relationships/hyperlink" Target="../GSDP%20COMPANY%20FILES/FRANKCY%20NIG%20LTD" TargetMode="External"/><Relationship Id="rId6" Type="http://schemas.openxmlformats.org/officeDocument/2006/relationships/hyperlink" Target="../../GDP%20(GOOD%20DISTRIBUTION%20PRATICE)/GSDP%20COMPANY%20FILES/ALGANDA%20PHARMACEUTICALS" TargetMode="External"/><Relationship Id="rId11" Type="http://schemas.openxmlformats.org/officeDocument/2006/relationships/hyperlink" Target="../../GDP%20(GOOD%20DISTRIBUTION%20PRATICE)/GSDP%20COMPANY%20FILES/SAMNTO%20PHARM" TargetMode="External"/><Relationship Id="rId5" Type="http://schemas.openxmlformats.org/officeDocument/2006/relationships/hyperlink" Target="../../GDP%20(GOOD%20DISTRIBUTION%20PRATICE)/GSDP%20COMPANY%20FILES/KRANTZ%20PHARMACY" TargetMode="External"/><Relationship Id="rId15" Type="http://schemas.openxmlformats.org/officeDocument/2006/relationships/table" Target="../tables/table5.xml"/><Relationship Id="rId10" Type="http://schemas.openxmlformats.org/officeDocument/2006/relationships/hyperlink" Target="../../GDP%20(GOOD%20DISTRIBUTION%20PRATICE)/GSDP%20COMPANY%20FILES/MAC%20EVENTUS%20PHARM%20LTD" TargetMode="External"/><Relationship Id="rId4" Type="http://schemas.openxmlformats.org/officeDocument/2006/relationships/hyperlink" Target="../../GDP%20(GOOD%20DISTRIBUTION%20PRATICE)/GSDP%20COMPANY%20FILES/ANYI%20WEST%20PHARMACY" TargetMode="External"/><Relationship Id="rId9" Type="http://schemas.openxmlformats.org/officeDocument/2006/relationships/hyperlink" Target="../../GDP%20(GOOD%20DISTRIBUTION%20PRATICE)/GSDP%20COMPANY%20FILES/DRUG%20STOC%20EHUB" TargetMode="External"/><Relationship Id="rId14" Type="http://schemas.openxmlformats.org/officeDocument/2006/relationships/hyperlink" Target="../../GDP%20(GOOD%20DISTRIBUTION%20PRATICE)/GSDP%20COMPANY%20FILES/CHEV%20PHARMACEUTICALS%20LTD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../../GDP%20(GOOD%20DISTRIBUTION%20PRATICE)/GSDP%20COMPANY%20FILES/JOSEFERKMART%20PHARMACY" TargetMode="External"/><Relationship Id="rId13" Type="http://schemas.openxmlformats.org/officeDocument/2006/relationships/hyperlink" Target="../../GDP%20(GOOD%20DISTRIBUTION%20PRATICE)/GSDP%20COMPANY%20FILES/LIVE%20MORE%20PHARMACY" TargetMode="External"/><Relationship Id="rId18" Type="http://schemas.openxmlformats.org/officeDocument/2006/relationships/hyperlink" Target="../../GDP%20(GOOD%20DISTRIBUTION%20PRATICE)/GSDP%20COMPANY%20FILES/DIVINE%20LIFT%20PHARMACY" TargetMode="External"/><Relationship Id="rId3" Type="http://schemas.openxmlformats.org/officeDocument/2006/relationships/hyperlink" Target="../../GDP%20(GOOD%20DISTRIBUTION%20PRATICE)/GSDP%20COMPANY%20FILES/CHRIS%20NELB%20PHARMACY" TargetMode="External"/><Relationship Id="rId21" Type="http://schemas.openxmlformats.org/officeDocument/2006/relationships/hyperlink" Target="../../GDP%20(GOOD%20DISTRIBUTION%20PRATICE)/GSDP%20COMPANY%20FILES/OBITEX%20DIVINE%20PHARMACEUTICALS" TargetMode="External"/><Relationship Id="rId7" Type="http://schemas.openxmlformats.org/officeDocument/2006/relationships/hyperlink" Target="../../GDP%20(GOOD%20DISTRIBUTION%20PRATICE)/GSDP%20COMPANY%20FILES/WINDOM%20PHARMACY" TargetMode="External"/><Relationship Id="rId12" Type="http://schemas.openxmlformats.org/officeDocument/2006/relationships/hyperlink" Target="../../GDP%20(GOOD%20DISTRIBUTION%20PRATICE)/GSDP%20COMPANY%20FILES/ALKATRICE%20PHARMACEUTICALS" TargetMode="External"/><Relationship Id="rId17" Type="http://schemas.openxmlformats.org/officeDocument/2006/relationships/hyperlink" Target="../../GDP%20(GOOD%20DISTRIBUTION%20PRATICE)/GSDP%20COMPANY%20FILES/DRUG%20FIELD" TargetMode="External"/><Relationship Id="rId2" Type="http://schemas.openxmlformats.org/officeDocument/2006/relationships/hyperlink" Target="../../GDP%20(GOOD%20DISTRIBUTION%20PRATICE)/GSDP%20COMPANY%20FILES/CITY%20OF%20GLORY%20PHARM" TargetMode="External"/><Relationship Id="rId16" Type="http://schemas.openxmlformats.org/officeDocument/2006/relationships/hyperlink" Target="../../GDP%20(GOOD%20DISTRIBUTION%20PRATICE)/GSDP%20COMPANY%20FILES/GLACK%20PHARMECEUTICALS%20LTD" TargetMode="External"/><Relationship Id="rId20" Type="http://schemas.openxmlformats.org/officeDocument/2006/relationships/hyperlink" Target="../../GDP%20(GOOD%20DISTRIBUTION%20PRATICE)/GSDP%20COMPANY%20FILES/A.N%20CHIDOZIE%20PHARMACEUTICAL%20LTD" TargetMode="External"/><Relationship Id="rId1" Type="http://schemas.openxmlformats.org/officeDocument/2006/relationships/hyperlink" Target="../../GDP%20(GOOD%20DISTRIBUTION%20PRATICE)/GSDP%20COMPANY%20FILES/REMSON" TargetMode="External"/><Relationship Id="rId6" Type="http://schemas.openxmlformats.org/officeDocument/2006/relationships/hyperlink" Target="../../GDP%20(GOOD%20DISTRIBUTION%20PRATICE)/GSDP%20COMPANY%20FILES/HOLEX%20PHARMACEUTICALS" TargetMode="External"/><Relationship Id="rId11" Type="http://schemas.openxmlformats.org/officeDocument/2006/relationships/hyperlink" Target="../../GDP%20(GOOD%20DISTRIBUTION%20PRATICE)/GSDP%20COMPANY%20FILES/DE%20GOOD%20GOD%20PHARM" TargetMode="External"/><Relationship Id="rId5" Type="http://schemas.openxmlformats.org/officeDocument/2006/relationships/hyperlink" Target="../../GDP%20(GOOD%20DISTRIBUTION%20PRATICE)/GSDP%20COMPANY%20FILES/DOMINO%20PHARM" TargetMode="External"/><Relationship Id="rId15" Type="http://schemas.openxmlformats.org/officeDocument/2006/relationships/hyperlink" Target="../../GDP%20(GOOD%20DISTRIBUTION%20PRATICE)/GSDP%20COMPANY%20FILES/EVITA%20MOORE%20NIG%20LTD" TargetMode="External"/><Relationship Id="rId23" Type="http://schemas.openxmlformats.org/officeDocument/2006/relationships/table" Target="../tables/table6.xml"/><Relationship Id="rId10" Type="http://schemas.openxmlformats.org/officeDocument/2006/relationships/hyperlink" Target="../../GDP%20(GOOD%20DISTRIBUTION%20PRATICE)/GSDP%20COMPANY%20FILES/E.%20EGBESON%20CHEM%20PHARM" TargetMode="External"/><Relationship Id="rId19" Type="http://schemas.openxmlformats.org/officeDocument/2006/relationships/hyperlink" Target="GSDP%20COMPANY%20FILES/A.N%20CHIDOZIE%20PHARMACEUTICAL%20LTD" TargetMode="External"/><Relationship Id="rId4" Type="http://schemas.openxmlformats.org/officeDocument/2006/relationships/hyperlink" Target="../../GDP%20(GOOD%20DISTRIBUTION%20PRATICE)/GSDP%20COMPANY%20FILES/SURPLUS%20PHARM" TargetMode="External"/><Relationship Id="rId9" Type="http://schemas.openxmlformats.org/officeDocument/2006/relationships/hyperlink" Target="../../GDP%20(GOOD%20DISTRIBUTION%20PRATICE)/GSDP%20COMPANY%20FILES/LINCO%20STAR%20PHARM" TargetMode="External"/><Relationship Id="rId14" Type="http://schemas.openxmlformats.org/officeDocument/2006/relationships/hyperlink" Target="../../GDP%20(GOOD%20DISTRIBUTION%20PRATICE)/GSDP%20COMPANY%20FILES/UZOKENN%20PHARMACY" TargetMode="External"/><Relationship Id="rId22" Type="http://schemas.openxmlformats.org/officeDocument/2006/relationships/hyperlink" Target="../../GDP%20(GOOD%20DISTRIBUTION%20PRATICE)/GSDP%20COMPANY%20FILES/DRUG%20AMBASADOR%20%20PHAR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../../GDP%20(GOOD%20DISTRIBUTION%20PRATICE)/GSDP%20COMPANY%20FILES/MARK%20PHARMACEUTICALS" TargetMode="External"/><Relationship Id="rId13" Type="http://schemas.openxmlformats.org/officeDocument/2006/relationships/table" Target="../tables/table7.xml"/><Relationship Id="rId3" Type="http://schemas.openxmlformats.org/officeDocument/2006/relationships/hyperlink" Target="../../GDP%20(GOOD%20DISTRIBUTION%20PRATICE)/GSDP%20COMPANY%20FILES/GREENLIFE%20PHARM.%20LTD" TargetMode="External"/><Relationship Id="rId7" Type="http://schemas.openxmlformats.org/officeDocument/2006/relationships/hyperlink" Target="../../GDP%20(GOOD%20DISTRIBUTION%20PRATICE)/GSDP%20COMPANY%20FILES/HUGO%20DRUGS%20LIMITED" TargetMode="External"/><Relationship Id="rId12" Type="http://schemas.openxmlformats.org/officeDocument/2006/relationships/hyperlink" Target="../../GDP%20(GOOD%20DISTRIBUTION%20PRATICE)/GSDP%20COMPANY%20FILES/ONIFAM%20LABORATORIES%20LTD" TargetMode="External"/><Relationship Id="rId2" Type="http://schemas.openxmlformats.org/officeDocument/2006/relationships/hyperlink" Target="../../GDP%20(GOOD%20DISTRIBUTION%20PRATICE)/GSDP%20COMPANY%20FILES/ELBE%20PHARMA.%20NIG%20LTD" TargetMode="External"/><Relationship Id="rId1" Type="http://schemas.openxmlformats.org/officeDocument/2006/relationships/hyperlink" Target="../../GDP%20(GOOD%20DISTRIBUTION%20PRATICE)/GSDP%20COMPANY%20FILES/BLESSED%20NEODYKE%20PHARM%20CO" TargetMode="External"/><Relationship Id="rId6" Type="http://schemas.openxmlformats.org/officeDocument/2006/relationships/hyperlink" Target="../../GDP%20(GOOD%20DISTRIBUTION%20PRATICE)/GSDP%20COMPANY%20FILES/CLARION%20HEALTHCARE" TargetMode="External"/><Relationship Id="rId11" Type="http://schemas.openxmlformats.org/officeDocument/2006/relationships/hyperlink" Target="../../GDP%20(GOOD%20DISTRIBUTION%20PRATICE)/GSDP%20COMPANY%20FILES/VINCO%20PHARM" TargetMode="External"/><Relationship Id="rId5" Type="http://schemas.openxmlformats.org/officeDocument/2006/relationships/hyperlink" Target="../../GDP%20(GOOD%20DISTRIBUTION%20PRATICE)/GSDP%20COMPANY%20FILES/TEKA%20PHARM" TargetMode="External"/><Relationship Id="rId10" Type="http://schemas.openxmlformats.org/officeDocument/2006/relationships/hyperlink" Target="../../GDP%20(GOOD%20DISTRIBUTION%20PRATICE)/GSDP%20COMPANY%20FILES/SAGAR%20VITACEAUTICALS%20NIG%20LTD" TargetMode="External"/><Relationship Id="rId4" Type="http://schemas.openxmlformats.org/officeDocument/2006/relationships/hyperlink" Target="../../GDP%20(GOOD%20DISTRIBUTION%20PRATICE)/GSDP%20COMPANY%20FILES/EMBASSY%20PHARM" TargetMode="External"/><Relationship Id="rId9" Type="http://schemas.openxmlformats.org/officeDocument/2006/relationships/hyperlink" Target="../../GDP%20(GOOD%20DISTRIBUTION%20PRATICE)/GSDP%20COMPANY%20FILES/DERM%20PHARMACEUTICALS" TargetMode="Externa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../../GDP%20(GOOD%20DISTRIBUTION%20PRATICE)/GSDP%20COMPANY%20FILES/SHALINA%20HEALTHCARE%20LTD" TargetMode="External"/><Relationship Id="rId2" Type="http://schemas.openxmlformats.org/officeDocument/2006/relationships/hyperlink" Target="../../GDP%20(GOOD%20DISTRIBUTION%20PRATICE)/GSDP%20COMPANY%20FILES/AGARY%20PHARMACEUTICALS%20LTD" TargetMode="External"/><Relationship Id="rId1" Type="http://schemas.openxmlformats.org/officeDocument/2006/relationships/hyperlink" Target="GSDP%20COMPANY%20FILES/AGARY%20PHARMACEUTICALS%20LTD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../../GDP%20(GOOD%20DISTRIBUTION%20PRATICE)/GSDP%20COMPANY%20FILES/MALVEN%20MEDICS%20LTD" TargetMode="External"/><Relationship Id="rId3" Type="http://schemas.openxmlformats.org/officeDocument/2006/relationships/hyperlink" Target="../../GDP%20(GOOD%20DISTRIBUTION%20PRATICE)/GSDP%20COMPANY%20FILES/COLLIBEX%20PHARM" TargetMode="External"/><Relationship Id="rId7" Type="http://schemas.openxmlformats.org/officeDocument/2006/relationships/hyperlink" Target="../../GDP%20(GOOD%20DISTRIBUTION%20PRATICE)/GSDP%20COMPANY%20FILES/AJAO%20SAMUEL" TargetMode="External"/><Relationship Id="rId2" Type="http://schemas.openxmlformats.org/officeDocument/2006/relationships/hyperlink" Target="../../GDP%20(GOOD%20DISTRIBUTION%20PRATICE)/GSDP%20COMPANY%20FILES/IMMACULATE%20CARE%20PHARM" TargetMode="External"/><Relationship Id="rId1" Type="http://schemas.openxmlformats.org/officeDocument/2006/relationships/hyperlink" Target="../GSDP%20COMPANY%20FILES/AJAO%20SAMUEL" TargetMode="External"/><Relationship Id="rId6" Type="http://schemas.openxmlformats.org/officeDocument/2006/relationships/hyperlink" Target="../../GDP%20(GOOD%20DISTRIBUTION%20PRATICE)/GSDP%20COMPANY%20FILES/SKY%20PHARM" TargetMode="External"/><Relationship Id="rId5" Type="http://schemas.openxmlformats.org/officeDocument/2006/relationships/hyperlink" Target="../../GDP%20(GOOD%20DISTRIBUTION%20PRATICE)/GSDP%20COMPANY%20FILES/VINCO%20PHARM" TargetMode="External"/><Relationship Id="rId10" Type="http://schemas.openxmlformats.org/officeDocument/2006/relationships/hyperlink" Target="../../GDP%20(GOOD%20DISTRIBUTION%20PRATICE)/GSDP%20COMPANY%20FILES/VITBORAH%20PHARMA%20LTD" TargetMode="External"/><Relationship Id="rId4" Type="http://schemas.openxmlformats.org/officeDocument/2006/relationships/hyperlink" Target="../../GDP%20(GOOD%20DISTRIBUTION%20PRATICE)/GSDP%20COMPANY%20FILES/EMMASTEV%20PHARM" TargetMode="External"/><Relationship Id="rId9" Type="http://schemas.openxmlformats.org/officeDocument/2006/relationships/hyperlink" Target="../../GDP%20(GOOD%20DISTRIBUTION%20PRATICE)/GSDP%20COMPANY%20FILES/TUM%20TAY%20COMPANY%20LTD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../GSDP%20COMPANY%20FILES/JUSTINAK%20PHARMACY" TargetMode="External"/><Relationship Id="rId2" Type="http://schemas.openxmlformats.org/officeDocument/2006/relationships/hyperlink" Target="../GSDP%20COMPANY%20FILES/GOD%20SAINTS%20PHARMA%20LTD" TargetMode="External"/><Relationship Id="rId1" Type="http://schemas.openxmlformats.org/officeDocument/2006/relationships/hyperlink" Target="../GSDP%20COMPANY%20FILES/SAM%20SUNNY%20PHARM" TargetMode="External"/><Relationship Id="rId5" Type="http://schemas.openxmlformats.org/officeDocument/2006/relationships/table" Target="../tables/table8.xml"/><Relationship Id="rId4" Type="http://schemas.openxmlformats.org/officeDocument/2006/relationships/hyperlink" Target="../GSDP%20COMPANY%20FILES/INSPIRATION%20PHARMAC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5D4EE-106F-4BE6-8E45-F49439DE42CE}">
  <dimension ref="A1:O299"/>
  <sheetViews>
    <sheetView topLeftCell="B12" zoomScale="85" zoomScaleNormal="85" workbookViewId="0">
      <selection activeCell="G3" sqref="G3"/>
    </sheetView>
  </sheetViews>
  <sheetFormatPr defaultColWidth="8.85546875" defaultRowHeight="14.45"/>
  <cols>
    <col min="1" max="1" width="7" style="2" hidden="1" customWidth="1"/>
    <col min="2" max="2" width="36.140625" style="16" customWidth="1"/>
    <col min="3" max="3" width="25.140625" style="2" customWidth="1"/>
    <col min="4" max="4" width="15" style="2" customWidth="1"/>
    <col min="5" max="5" width="18.42578125" style="2" customWidth="1"/>
    <col min="6" max="6" width="20.7109375" style="22" customWidth="1"/>
    <col min="7" max="7" width="20.28515625" style="2" customWidth="1"/>
    <col min="8" max="8" width="19.28515625" style="22" customWidth="1"/>
    <col min="9" max="9" width="19.28515625" style="2" customWidth="1"/>
    <col min="10" max="10" width="17.28515625" style="2" customWidth="1"/>
    <col min="11" max="11" width="21.28515625" style="1" customWidth="1"/>
    <col min="12" max="12" width="17.5703125" style="2" customWidth="1"/>
    <col min="13" max="13" width="26.85546875" style="2" hidden="1" customWidth="1"/>
    <col min="14" max="14" width="26.85546875" style="1" customWidth="1"/>
    <col min="15" max="15" width="43.7109375" style="2" hidden="1" customWidth="1"/>
    <col min="16" max="16384" width="8.85546875" style="2"/>
  </cols>
  <sheetData>
    <row r="1" spans="1:15" ht="17.45">
      <c r="A1" s="90" t="s">
        <v>0</v>
      </c>
      <c r="B1" s="90"/>
      <c r="C1" s="90"/>
      <c r="D1" s="90"/>
      <c r="E1" s="90"/>
      <c r="F1" s="90"/>
      <c r="G1" s="90"/>
      <c r="H1" s="90"/>
      <c r="I1" s="90"/>
      <c r="J1" s="90"/>
    </row>
    <row r="2" spans="1:15" s="1" customFormat="1" ht="43.5">
      <c r="A2" s="80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25" t="s">
        <v>6</v>
      </c>
      <c r="G2" s="24" t="s">
        <v>7</v>
      </c>
      <c r="H2" s="25" t="s">
        <v>8</v>
      </c>
      <c r="I2" s="24" t="s">
        <v>9</v>
      </c>
      <c r="J2" s="24" t="s">
        <v>10</v>
      </c>
      <c r="K2" s="26" t="s">
        <v>11</v>
      </c>
      <c r="L2" s="26" t="s">
        <v>12</v>
      </c>
      <c r="M2" s="27" t="s">
        <v>13</v>
      </c>
      <c r="N2" s="27" t="s">
        <v>14</v>
      </c>
      <c r="O2" s="27" t="s">
        <v>15</v>
      </c>
    </row>
    <row r="3" spans="1:15" s="1" customFormat="1" ht="31.5" customHeight="1">
      <c r="A3" s="46">
        <v>1</v>
      </c>
      <c r="B3" s="70" t="s">
        <v>16</v>
      </c>
      <c r="C3" s="70" t="s">
        <v>17</v>
      </c>
      <c r="D3" s="75" t="s">
        <v>18</v>
      </c>
      <c r="E3" s="47" t="s">
        <v>19</v>
      </c>
      <c r="F3" s="71">
        <v>44970</v>
      </c>
      <c r="G3" s="70" t="s">
        <v>20</v>
      </c>
      <c r="H3" s="72" t="s">
        <v>21</v>
      </c>
      <c r="I3" s="70" t="s">
        <v>22</v>
      </c>
      <c r="J3" s="47" t="s">
        <v>23</v>
      </c>
      <c r="K3" s="1" t="s">
        <v>24</v>
      </c>
      <c r="L3" s="81">
        <v>45689</v>
      </c>
      <c r="M3" s="1" t="s">
        <v>25</v>
      </c>
      <c r="N3" s="73" t="s">
        <v>26</v>
      </c>
      <c r="O3" s="73" t="s">
        <v>16</v>
      </c>
    </row>
    <row r="4" spans="1:15" s="1" customFormat="1" ht="30.75" customHeight="1">
      <c r="A4" s="46">
        <v>2</v>
      </c>
      <c r="B4" s="70" t="s">
        <v>27</v>
      </c>
      <c r="C4" s="70" t="s">
        <v>28</v>
      </c>
      <c r="D4" s="75" t="s">
        <v>29</v>
      </c>
      <c r="E4" s="47" t="s">
        <v>19</v>
      </c>
      <c r="F4" s="71">
        <v>44970</v>
      </c>
      <c r="G4" s="70" t="s">
        <v>20</v>
      </c>
      <c r="H4" s="72" t="s">
        <v>21</v>
      </c>
      <c r="I4" s="70" t="s">
        <v>22</v>
      </c>
      <c r="J4" s="47" t="s">
        <v>23</v>
      </c>
      <c r="K4" s="1" t="str">
        <f t="shared" ref="K4:K43" si="0">IF(I4="YES","CAPA VERIFICATION SHOULD BE SCHEDULED",IF(I4="NO","REMINDER LETTER SHOULD BE SENT",""))</f>
        <v>CAPA VERIFICATION SHOULD BE SCHEDULED</v>
      </c>
      <c r="L4" s="81">
        <v>45689</v>
      </c>
      <c r="M4" s="1" t="s">
        <v>30</v>
      </c>
      <c r="N4" s="73" t="s">
        <v>31</v>
      </c>
      <c r="O4" s="82" t="str">
        <f>IF(M4="","",HYPERLINK(M4,B4))</f>
        <v>GENEITH PHARMACEUTICALS</v>
      </c>
    </row>
    <row r="5" spans="1:15" s="1" customFormat="1" ht="115.5">
      <c r="A5" s="46">
        <v>3</v>
      </c>
      <c r="B5" s="70" t="s">
        <v>32</v>
      </c>
      <c r="C5" s="70" t="s">
        <v>33</v>
      </c>
      <c r="D5" s="75" t="s">
        <v>34</v>
      </c>
      <c r="E5" s="47" t="s">
        <v>19</v>
      </c>
      <c r="F5" s="71">
        <v>44970</v>
      </c>
      <c r="G5" s="70" t="s">
        <v>35</v>
      </c>
      <c r="H5" s="72" t="s">
        <v>36</v>
      </c>
      <c r="I5" s="70" t="s">
        <v>22</v>
      </c>
      <c r="J5" s="47" t="s">
        <v>23</v>
      </c>
      <c r="K5" s="1" t="str">
        <f t="shared" si="0"/>
        <v>CAPA VERIFICATION SHOULD BE SCHEDULED</v>
      </c>
      <c r="L5" s="81">
        <v>45323</v>
      </c>
      <c r="M5" s="1" t="s">
        <v>37</v>
      </c>
      <c r="N5" s="73" t="s">
        <v>38</v>
      </c>
      <c r="O5" s="82" t="str">
        <f>IF(M5="","",HYPERLINK(M5,B5))</f>
        <v>ONWUADI &amp; SONS LTD</v>
      </c>
    </row>
    <row r="6" spans="1:15" s="1" customFormat="1" ht="31.5" customHeight="1">
      <c r="A6" s="46">
        <v>4</v>
      </c>
      <c r="B6" s="70" t="s">
        <v>39</v>
      </c>
      <c r="C6" s="70" t="s">
        <v>40</v>
      </c>
      <c r="D6" s="75" t="s">
        <v>41</v>
      </c>
      <c r="E6" s="47" t="s">
        <v>19</v>
      </c>
      <c r="F6" s="71">
        <v>44970</v>
      </c>
      <c r="G6" s="70" t="s">
        <v>35</v>
      </c>
      <c r="H6" s="72" t="s">
        <v>36</v>
      </c>
      <c r="I6" s="70" t="s">
        <v>42</v>
      </c>
      <c r="J6" s="47" t="s">
        <v>43</v>
      </c>
      <c r="K6" s="1" t="str">
        <f>IF(I6="YES","CAPA VERIFICATION SHOULD BE SCHEDULED",IF(I6="NO","REMINDER LETTER SHOULD BE SENT",""))</f>
        <v>REMINDER LETTER SHOULD BE SENT</v>
      </c>
      <c r="L6" s="81">
        <v>45323</v>
      </c>
      <c r="M6" s="1" t="s">
        <v>44</v>
      </c>
      <c r="N6" s="73" t="s">
        <v>45</v>
      </c>
      <c r="O6" s="82" t="str">
        <f>IF(M6="","",HYPERLINK(M6,B6))</f>
        <v>MODDY DRUG CO. LTD</v>
      </c>
    </row>
    <row r="7" spans="1:15" s="1" customFormat="1" ht="29.25" customHeight="1">
      <c r="A7" s="46">
        <v>5</v>
      </c>
      <c r="B7" s="47" t="s">
        <v>46</v>
      </c>
      <c r="C7" s="74" t="s">
        <v>47</v>
      </c>
      <c r="D7" s="75" t="s">
        <v>48</v>
      </c>
      <c r="E7" s="47" t="s">
        <v>19</v>
      </c>
      <c r="F7" s="76" t="s">
        <v>49</v>
      </c>
      <c r="G7" s="47" t="s">
        <v>35</v>
      </c>
      <c r="H7" s="76" t="s">
        <v>21</v>
      </c>
      <c r="I7" s="70" t="s">
        <v>42</v>
      </c>
      <c r="J7" s="47" t="s">
        <v>43</v>
      </c>
      <c r="K7" s="1" t="str">
        <f t="shared" si="0"/>
        <v>REMINDER LETTER SHOULD BE SENT</v>
      </c>
      <c r="L7" s="81">
        <v>45323</v>
      </c>
      <c r="M7" s="1" t="s">
        <v>50</v>
      </c>
      <c r="N7" s="73" t="s">
        <v>51</v>
      </c>
      <c r="O7" s="82" t="str">
        <f>IF(M7="","",HYPERLINK(M7,B7))</f>
        <v xml:space="preserve">JUMENCO PHARMACEUTICAL </v>
      </c>
    </row>
    <row r="8" spans="1:15" s="1" customFormat="1" ht="33" customHeight="1">
      <c r="A8" s="46">
        <v>6</v>
      </c>
      <c r="B8" s="47" t="s">
        <v>52</v>
      </c>
      <c r="C8" s="47" t="s">
        <v>53</v>
      </c>
      <c r="D8" s="75" t="s">
        <v>54</v>
      </c>
      <c r="E8" s="47" t="s">
        <v>19</v>
      </c>
      <c r="F8" s="76" t="s">
        <v>49</v>
      </c>
      <c r="G8" s="47" t="s">
        <v>35</v>
      </c>
      <c r="H8" s="76" t="s">
        <v>36</v>
      </c>
      <c r="I8" s="70" t="s">
        <v>42</v>
      </c>
      <c r="J8" s="47" t="s">
        <v>43</v>
      </c>
      <c r="K8" s="1" t="str">
        <f t="shared" si="0"/>
        <v>REMINDER LETTER SHOULD BE SENT</v>
      </c>
      <c r="L8" s="81">
        <v>45323</v>
      </c>
      <c r="M8" s="1" t="s">
        <v>55</v>
      </c>
      <c r="N8" s="73" t="s">
        <v>56</v>
      </c>
      <c r="O8" s="82" t="str">
        <f>IF(M8="","",HYPERLINK(M8,B8))</f>
        <v>ANOKEM PHARMACEUTICALS</v>
      </c>
    </row>
    <row r="9" spans="1:15" s="1" customFormat="1" ht="34.5" customHeight="1">
      <c r="A9" s="46">
        <v>7</v>
      </c>
      <c r="B9" s="47" t="s">
        <v>57</v>
      </c>
      <c r="C9" s="47" t="s">
        <v>58</v>
      </c>
      <c r="D9" s="75" t="s">
        <v>59</v>
      </c>
      <c r="E9" s="47" t="s">
        <v>19</v>
      </c>
      <c r="F9" s="76" t="s">
        <v>49</v>
      </c>
      <c r="G9" s="70" t="s">
        <v>20</v>
      </c>
      <c r="H9" s="72" t="s">
        <v>21</v>
      </c>
      <c r="I9" s="70" t="s">
        <v>22</v>
      </c>
      <c r="J9" s="47" t="s">
        <v>23</v>
      </c>
      <c r="K9" s="1" t="str">
        <f t="shared" si="0"/>
        <v>CAPA VERIFICATION SHOULD BE SCHEDULED</v>
      </c>
      <c r="L9" s="81">
        <v>45689</v>
      </c>
      <c r="M9" s="1" t="s">
        <v>60</v>
      </c>
      <c r="N9" s="73" t="s">
        <v>61</v>
      </c>
      <c r="O9" s="82" t="str">
        <f>IF(M9="","",HYPERLINK(M9,B9))</f>
        <v>RALPHONES PHARMACEUTICAL</v>
      </c>
    </row>
    <row r="10" spans="1:15" s="1" customFormat="1" ht="31.5" customHeight="1">
      <c r="A10" s="46">
        <v>8</v>
      </c>
      <c r="B10" s="47" t="s">
        <v>62</v>
      </c>
      <c r="C10" s="47" t="s">
        <v>63</v>
      </c>
      <c r="D10" s="47" t="s">
        <v>64</v>
      </c>
      <c r="E10" s="47" t="s">
        <v>19</v>
      </c>
      <c r="F10" s="76" t="s">
        <v>49</v>
      </c>
      <c r="G10" s="70" t="s">
        <v>35</v>
      </c>
      <c r="H10" s="72" t="s">
        <v>36</v>
      </c>
      <c r="I10" s="70" t="s">
        <v>42</v>
      </c>
      <c r="J10" s="47" t="s">
        <v>43</v>
      </c>
      <c r="K10" s="1" t="str">
        <f t="shared" si="0"/>
        <v>REMINDER LETTER SHOULD BE SENT</v>
      </c>
      <c r="L10" s="81">
        <v>45323</v>
      </c>
      <c r="M10" s="1" t="s">
        <v>65</v>
      </c>
      <c r="N10" s="73" t="s">
        <v>66</v>
      </c>
      <c r="O10" s="82" t="str">
        <f>IF(M10="","",HYPERLINK(M10,B10))</f>
        <v>LUGZ PHARMACEUTICAL</v>
      </c>
    </row>
    <row r="11" spans="1:15" s="1" customFormat="1" ht="30.75" customHeight="1">
      <c r="A11" s="46">
        <v>9</v>
      </c>
      <c r="B11" s="47" t="s">
        <v>67</v>
      </c>
      <c r="C11" s="47" t="s">
        <v>68</v>
      </c>
      <c r="D11" s="75" t="s">
        <v>69</v>
      </c>
      <c r="E11" s="47" t="s">
        <v>19</v>
      </c>
      <c r="F11" s="76" t="s">
        <v>49</v>
      </c>
      <c r="G11" s="47" t="s">
        <v>70</v>
      </c>
      <c r="H11" s="76" t="s">
        <v>71</v>
      </c>
      <c r="I11" s="70" t="s">
        <v>72</v>
      </c>
      <c r="J11" s="47" t="s">
        <v>43</v>
      </c>
      <c r="K11" s="1" t="str">
        <f t="shared" si="0"/>
        <v/>
      </c>
      <c r="L11" s="81">
        <v>44774</v>
      </c>
      <c r="O11" s="82" t="str">
        <f>IF(M11="","",HYPERLINK(M11,B11))</f>
        <v/>
      </c>
    </row>
    <row r="12" spans="1:15" s="1" customFormat="1" ht="31.5" customHeight="1">
      <c r="A12" s="46">
        <v>10</v>
      </c>
      <c r="B12" s="47" t="s">
        <v>73</v>
      </c>
      <c r="C12" s="47" t="s">
        <v>74</v>
      </c>
      <c r="D12" s="75" t="s">
        <v>75</v>
      </c>
      <c r="E12" s="47" t="s">
        <v>19</v>
      </c>
      <c r="F12" s="76" t="s">
        <v>76</v>
      </c>
      <c r="G12" s="47" t="s">
        <v>35</v>
      </c>
      <c r="H12" s="76" t="s">
        <v>36</v>
      </c>
      <c r="I12" s="70" t="s">
        <v>22</v>
      </c>
      <c r="J12" s="47" t="s">
        <v>23</v>
      </c>
      <c r="K12" s="1" t="str">
        <f t="shared" si="0"/>
        <v>CAPA VERIFICATION SHOULD BE SCHEDULED</v>
      </c>
      <c r="L12" s="81">
        <v>45323</v>
      </c>
      <c r="M12" s="73" t="s">
        <v>77</v>
      </c>
      <c r="N12" s="73" t="s">
        <v>78</v>
      </c>
      <c r="O12" s="82" t="str">
        <f>IF(M12="","",HYPERLINK(M12,B12))</f>
        <v>GOODCARE PHARMACEUTICAL</v>
      </c>
    </row>
    <row r="13" spans="1:15" s="1" customFormat="1" ht="27" customHeight="1">
      <c r="A13" s="46">
        <v>11</v>
      </c>
      <c r="B13" s="47" t="s">
        <v>79</v>
      </c>
      <c r="C13" s="47" t="s">
        <v>80</v>
      </c>
      <c r="D13" s="75" t="s">
        <v>81</v>
      </c>
      <c r="E13" s="47" t="s">
        <v>19</v>
      </c>
      <c r="F13" s="76" t="s">
        <v>76</v>
      </c>
      <c r="G13" s="47" t="s">
        <v>70</v>
      </c>
      <c r="H13" s="76" t="s">
        <v>36</v>
      </c>
      <c r="I13" s="70" t="s">
        <v>42</v>
      </c>
      <c r="J13" s="47" t="s">
        <v>43</v>
      </c>
      <c r="K13" s="1" t="str">
        <f t="shared" si="0"/>
        <v>REMINDER LETTER SHOULD BE SENT</v>
      </c>
      <c r="L13" s="81">
        <v>44774</v>
      </c>
      <c r="M13" s="1" t="s">
        <v>82</v>
      </c>
      <c r="N13" s="73" t="s">
        <v>83</v>
      </c>
      <c r="O13" s="82" t="str">
        <f>IF(M13="","",HYPERLINK(M13,B13))</f>
        <v>PATVICS PHARMACEUTICAL</v>
      </c>
    </row>
    <row r="14" spans="1:15" s="1" customFormat="1" ht="33" customHeight="1">
      <c r="A14" s="46">
        <v>12</v>
      </c>
      <c r="B14" s="47" t="s">
        <v>84</v>
      </c>
      <c r="C14" s="47" t="s">
        <v>85</v>
      </c>
      <c r="D14" s="75" t="s">
        <v>86</v>
      </c>
      <c r="E14" s="47" t="s">
        <v>19</v>
      </c>
      <c r="F14" s="76" t="s">
        <v>76</v>
      </c>
      <c r="G14" s="70" t="s">
        <v>20</v>
      </c>
      <c r="H14" s="72" t="s">
        <v>21</v>
      </c>
      <c r="I14" s="70" t="s">
        <v>42</v>
      </c>
      <c r="J14" s="47" t="s">
        <v>43</v>
      </c>
      <c r="K14" s="1" t="str">
        <f t="shared" si="0"/>
        <v>REMINDER LETTER SHOULD BE SENT</v>
      </c>
      <c r="L14" s="81">
        <v>45689</v>
      </c>
      <c r="M14" s="1" t="s">
        <v>87</v>
      </c>
      <c r="N14" s="73" t="s">
        <v>88</v>
      </c>
      <c r="O14" s="82" t="str">
        <f>IF(M14="","",HYPERLINK(M14,B14))</f>
        <v>KOJOS PHARMACY</v>
      </c>
    </row>
    <row r="15" spans="1:15" s="1" customFormat="1" ht="34.5" customHeight="1">
      <c r="A15" s="46">
        <v>13</v>
      </c>
      <c r="B15" s="47" t="s">
        <v>89</v>
      </c>
      <c r="C15" s="47" t="s">
        <v>90</v>
      </c>
      <c r="D15" s="75" t="s">
        <v>91</v>
      </c>
      <c r="E15" s="47" t="s">
        <v>19</v>
      </c>
      <c r="F15" s="76" t="s">
        <v>76</v>
      </c>
      <c r="G15" s="70" t="s">
        <v>35</v>
      </c>
      <c r="H15" s="72" t="s">
        <v>36</v>
      </c>
      <c r="I15" s="70" t="s">
        <v>22</v>
      </c>
      <c r="J15" s="47" t="s">
        <v>23</v>
      </c>
      <c r="K15" s="1" t="str">
        <f t="shared" si="0"/>
        <v>CAPA VERIFICATION SHOULD BE SCHEDULED</v>
      </c>
      <c r="L15" s="81">
        <v>45323</v>
      </c>
      <c r="O15" s="82" t="str">
        <f>IF(M15="","",HYPERLINK(M15,B15))</f>
        <v/>
      </c>
    </row>
    <row r="16" spans="1:15" s="1" customFormat="1" ht="33" customHeight="1">
      <c r="A16" s="46">
        <v>14</v>
      </c>
      <c r="B16" s="47" t="s">
        <v>92</v>
      </c>
      <c r="C16" s="47" t="s">
        <v>93</v>
      </c>
      <c r="D16" s="75" t="s">
        <v>94</v>
      </c>
      <c r="E16" s="47" t="s">
        <v>19</v>
      </c>
      <c r="F16" s="76" t="s">
        <v>95</v>
      </c>
      <c r="G16" s="47" t="s">
        <v>20</v>
      </c>
      <c r="H16" s="76" t="s">
        <v>36</v>
      </c>
      <c r="I16" s="70" t="s">
        <v>22</v>
      </c>
      <c r="J16" s="47" t="s">
        <v>23</v>
      </c>
      <c r="K16" s="1" t="str">
        <f t="shared" si="0"/>
        <v>CAPA VERIFICATION SHOULD BE SCHEDULED</v>
      </c>
      <c r="L16" s="81">
        <v>45689</v>
      </c>
      <c r="M16" s="1" t="s">
        <v>96</v>
      </c>
      <c r="N16" s="73" t="s">
        <v>97</v>
      </c>
      <c r="O16" s="82" t="str">
        <f>IF(M16="","",HYPERLINK(M16,B16))</f>
        <v>SWIPHA NIGERIA</v>
      </c>
    </row>
    <row r="17" spans="1:15" s="1" customFormat="1" ht="34.5" customHeight="1">
      <c r="A17" s="46">
        <v>15</v>
      </c>
      <c r="B17" s="47" t="s">
        <v>98</v>
      </c>
      <c r="C17" s="47" t="s">
        <v>99</v>
      </c>
      <c r="D17" s="75" t="s">
        <v>100</v>
      </c>
      <c r="E17" s="47" t="s">
        <v>19</v>
      </c>
      <c r="F17" s="76" t="s">
        <v>95</v>
      </c>
      <c r="G17" s="70" t="s">
        <v>35</v>
      </c>
      <c r="H17" s="83">
        <v>45631</v>
      </c>
      <c r="I17" s="70" t="s">
        <v>42</v>
      </c>
      <c r="J17" s="47" t="s">
        <v>101</v>
      </c>
      <c r="K17" s="1" t="str">
        <f t="shared" si="0"/>
        <v>REMINDER LETTER SHOULD BE SENT</v>
      </c>
      <c r="L17" s="81">
        <v>45323</v>
      </c>
      <c r="M17" s="1" t="s">
        <v>102</v>
      </c>
      <c r="N17" s="73" t="s">
        <v>103</v>
      </c>
      <c r="O17" s="82" t="str">
        <f>IF(M17="","",HYPERLINK(M17,B17))</f>
        <v>BJ CHOICE PHARM</v>
      </c>
    </row>
    <row r="18" spans="1:15" s="1" customFormat="1" ht="33" customHeight="1">
      <c r="A18" s="46">
        <v>16</v>
      </c>
      <c r="B18" s="47" t="s">
        <v>104</v>
      </c>
      <c r="C18" s="47" t="s">
        <v>105</v>
      </c>
      <c r="D18" s="75" t="s">
        <v>106</v>
      </c>
      <c r="E18" s="47" t="s">
        <v>19</v>
      </c>
      <c r="F18" s="76" t="s">
        <v>95</v>
      </c>
      <c r="G18" s="47" t="s">
        <v>70</v>
      </c>
      <c r="H18" s="76" t="s">
        <v>36</v>
      </c>
      <c r="I18" s="70" t="s">
        <v>42</v>
      </c>
      <c r="J18" s="47" t="s">
        <v>101</v>
      </c>
      <c r="K18" s="1" t="str">
        <f t="shared" si="0"/>
        <v>REMINDER LETTER SHOULD BE SENT</v>
      </c>
      <c r="L18" s="81">
        <v>44774</v>
      </c>
      <c r="M18" s="1" t="s">
        <v>107</v>
      </c>
      <c r="N18" s="73" t="s">
        <v>108</v>
      </c>
      <c r="O18" s="82" t="str">
        <f>IF(M18="","",HYPERLINK(M18,B18))</f>
        <v>PAKEN VENTURES</v>
      </c>
    </row>
    <row r="19" spans="1:15" s="1" customFormat="1" ht="35.25" customHeight="1">
      <c r="A19" s="46">
        <v>17</v>
      </c>
      <c r="B19" s="47" t="s">
        <v>109</v>
      </c>
      <c r="C19" s="47" t="s">
        <v>110</v>
      </c>
      <c r="D19" s="75" t="s">
        <v>111</v>
      </c>
      <c r="E19" s="47" t="s">
        <v>19</v>
      </c>
      <c r="F19" s="76" t="s">
        <v>112</v>
      </c>
      <c r="G19" s="47" t="s">
        <v>70</v>
      </c>
      <c r="H19" s="76" t="s">
        <v>71</v>
      </c>
      <c r="I19" s="70" t="s">
        <v>42</v>
      </c>
      <c r="J19" s="47" t="s">
        <v>101</v>
      </c>
      <c r="K19" s="1" t="str">
        <f t="shared" si="0"/>
        <v>REMINDER LETTER SHOULD BE SENT</v>
      </c>
      <c r="L19" s="81">
        <v>44774</v>
      </c>
      <c r="M19" s="1" t="s">
        <v>113</v>
      </c>
      <c r="N19" s="73" t="s">
        <v>114</v>
      </c>
      <c r="O19" s="82" t="str">
        <f>IF(M19="","",HYPERLINK(M19,B19))</f>
        <v xml:space="preserve">HENBOSCO PHARMACY </v>
      </c>
    </row>
    <row r="20" spans="1:15" s="1" customFormat="1" ht="39" customHeight="1">
      <c r="A20" s="46">
        <v>18</v>
      </c>
      <c r="B20" s="47" t="s">
        <v>115</v>
      </c>
      <c r="C20" s="47" t="s">
        <v>116</v>
      </c>
      <c r="D20" s="47" t="s">
        <v>117</v>
      </c>
      <c r="E20" s="47" t="s">
        <v>19</v>
      </c>
      <c r="F20" s="76" t="s">
        <v>118</v>
      </c>
      <c r="G20" s="47" t="s">
        <v>70</v>
      </c>
      <c r="H20" s="76" t="s">
        <v>36</v>
      </c>
      <c r="I20" s="70" t="s">
        <v>42</v>
      </c>
      <c r="J20" s="47" t="s">
        <v>101</v>
      </c>
      <c r="K20" s="1" t="str">
        <f t="shared" si="0"/>
        <v>REMINDER LETTER SHOULD BE SENT</v>
      </c>
      <c r="L20" s="81">
        <v>44774</v>
      </c>
      <c r="M20" s="1" t="s">
        <v>119</v>
      </c>
      <c r="N20" s="73" t="s">
        <v>120</v>
      </c>
      <c r="O20" s="82" t="str">
        <f>IF(M20="","",HYPERLINK(M20,B20))</f>
        <v>LYNDUS PHARMACY LTD</v>
      </c>
    </row>
    <row r="21" spans="1:15" s="1" customFormat="1" ht="39" customHeight="1">
      <c r="A21" s="46">
        <v>19</v>
      </c>
      <c r="B21" s="47" t="s">
        <v>121</v>
      </c>
      <c r="C21" s="47" t="s">
        <v>122</v>
      </c>
      <c r="D21" s="75" t="s">
        <v>123</v>
      </c>
      <c r="E21" s="47" t="s">
        <v>19</v>
      </c>
      <c r="F21" s="76" t="s">
        <v>118</v>
      </c>
      <c r="G21" s="47" t="s">
        <v>70</v>
      </c>
      <c r="H21" s="76" t="s">
        <v>36</v>
      </c>
      <c r="I21" s="70" t="s">
        <v>42</v>
      </c>
      <c r="J21" s="47" t="s">
        <v>101</v>
      </c>
      <c r="K21" s="1" t="str">
        <f t="shared" si="0"/>
        <v>REMINDER LETTER SHOULD BE SENT</v>
      </c>
      <c r="L21" s="81">
        <v>44774</v>
      </c>
      <c r="M21" s="73" t="s">
        <v>124</v>
      </c>
      <c r="N21" s="73" t="s">
        <v>124</v>
      </c>
      <c r="O21" s="82" t="str">
        <f>IF(M21="","",HYPERLINK(M21,B21))</f>
        <v>ROM CHIDECK PHARM. LTD</v>
      </c>
    </row>
    <row r="22" spans="1:15" s="1" customFormat="1" ht="28.5" customHeight="1">
      <c r="A22" s="46">
        <v>20</v>
      </c>
      <c r="B22" s="47" t="s">
        <v>125</v>
      </c>
      <c r="C22" s="47" t="s">
        <v>126</v>
      </c>
      <c r="D22" s="75" t="s">
        <v>127</v>
      </c>
      <c r="E22" s="47" t="s">
        <v>19</v>
      </c>
      <c r="F22" s="76" t="s">
        <v>128</v>
      </c>
      <c r="G22" s="47" t="s">
        <v>70</v>
      </c>
      <c r="H22" s="76" t="s">
        <v>36</v>
      </c>
      <c r="I22" s="70" t="s">
        <v>22</v>
      </c>
      <c r="J22" s="47" t="s">
        <v>23</v>
      </c>
      <c r="K22" s="1" t="str">
        <f t="shared" si="0"/>
        <v>CAPA VERIFICATION SHOULD BE SCHEDULED</v>
      </c>
      <c r="L22" s="81">
        <v>45536</v>
      </c>
      <c r="M22" s="1" t="s">
        <v>129</v>
      </c>
      <c r="N22" s="73" t="s">
        <v>130</v>
      </c>
      <c r="O22" s="82" t="str">
        <f>IF(M22="","",HYPERLINK(M22,B22))</f>
        <v xml:space="preserve">JUVYWAY PHARMCY CO.LTD </v>
      </c>
    </row>
    <row r="23" spans="1:15" s="1" customFormat="1" ht="29.25" customHeight="1">
      <c r="A23" s="46">
        <v>21</v>
      </c>
      <c r="B23" s="47" t="s">
        <v>131</v>
      </c>
      <c r="C23" s="47" t="s">
        <v>132</v>
      </c>
      <c r="D23" s="75" t="s">
        <v>133</v>
      </c>
      <c r="E23" s="47" t="s">
        <v>19</v>
      </c>
      <c r="F23" s="76" t="s">
        <v>128</v>
      </c>
      <c r="G23" s="47" t="s">
        <v>35</v>
      </c>
      <c r="H23" s="76" t="s">
        <v>36</v>
      </c>
      <c r="I23" s="70" t="s">
        <v>22</v>
      </c>
      <c r="J23" s="47" t="s">
        <v>23</v>
      </c>
      <c r="K23" s="1" t="str">
        <f t="shared" si="0"/>
        <v>CAPA VERIFICATION SHOULD BE SCHEDULED</v>
      </c>
      <c r="L23" s="81">
        <v>45323</v>
      </c>
      <c r="M23" s="1" t="s">
        <v>134</v>
      </c>
      <c r="N23" s="73" t="s">
        <v>135</v>
      </c>
      <c r="O23" s="82" t="str">
        <f>IF(M23="","",HYPERLINK(M23,B23))</f>
        <v xml:space="preserve">EVERSHINE PHARMACEUTICAL NIG LTD </v>
      </c>
    </row>
    <row r="24" spans="1:15" s="1" customFormat="1" ht="36" customHeight="1">
      <c r="A24" s="46">
        <v>22</v>
      </c>
      <c r="B24" s="47" t="s">
        <v>136</v>
      </c>
      <c r="C24" s="47" t="s">
        <v>137</v>
      </c>
      <c r="D24" s="75" t="s">
        <v>138</v>
      </c>
      <c r="E24" s="47" t="s">
        <v>19</v>
      </c>
      <c r="F24" s="76" t="s">
        <v>128</v>
      </c>
      <c r="G24" s="47" t="s">
        <v>70</v>
      </c>
      <c r="H24" s="76" t="s">
        <v>36</v>
      </c>
      <c r="I24" s="70" t="s">
        <v>22</v>
      </c>
      <c r="J24" s="47" t="s">
        <v>23</v>
      </c>
      <c r="K24" s="1" t="str">
        <f t="shared" si="0"/>
        <v>CAPA VERIFICATION SHOULD BE SCHEDULED</v>
      </c>
      <c r="L24" s="81">
        <v>45413</v>
      </c>
      <c r="M24" s="73" t="s">
        <v>139</v>
      </c>
      <c r="N24" s="73" t="s">
        <v>140</v>
      </c>
      <c r="O24" s="82" t="str">
        <f>IF(M24="","",HYPERLINK(M24,B24))</f>
        <v xml:space="preserve">
FRANKEY NIG.LTD </v>
      </c>
    </row>
    <row r="25" spans="1:15" s="1" customFormat="1" ht="29.25" customHeight="1">
      <c r="A25" s="46">
        <v>23</v>
      </c>
      <c r="B25" s="47" t="s">
        <v>141</v>
      </c>
      <c r="C25" s="47" t="s">
        <v>142</v>
      </c>
      <c r="D25" s="75" t="s">
        <v>143</v>
      </c>
      <c r="E25" s="47" t="s">
        <v>19</v>
      </c>
      <c r="F25" s="76" t="s">
        <v>144</v>
      </c>
      <c r="G25" s="47" t="s">
        <v>70</v>
      </c>
      <c r="H25" s="76" t="s">
        <v>36</v>
      </c>
      <c r="I25" s="70" t="s">
        <v>42</v>
      </c>
      <c r="J25" s="47" t="s">
        <v>43</v>
      </c>
      <c r="K25" s="1" t="str">
        <f t="shared" si="0"/>
        <v>REMINDER LETTER SHOULD BE SENT</v>
      </c>
      <c r="L25" s="81">
        <v>44774</v>
      </c>
      <c r="M25" s="1" t="s">
        <v>145</v>
      </c>
      <c r="N25" s="73" t="s">
        <v>146</v>
      </c>
      <c r="O25" s="82" t="str">
        <f>IF(M25="","",HYPERLINK(M25,B25))</f>
        <v>GOD IS GREAT PHARMACY</v>
      </c>
    </row>
    <row r="26" spans="1:15" s="1" customFormat="1" ht="34.5" customHeight="1">
      <c r="A26" s="46">
        <v>24</v>
      </c>
      <c r="B26" s="47" t="s">
        <v>147</v>
      </c>
      <c r="C26" s="47" t="s">
        <v>148</v>
      </c>
      <c r="D26" s="75" t="s">
        <v>149</v>
      </c>
      <c r="E26" s="47" t="s">
        <v>19</v>
      </c>
      <c r="F26" s="76" t="s">
        <v>144</v>
      </c>
      <c r="G26" s="47" t="s">
        <v>35</v>
      </c>
      <c r="H26" s="76" t="s">
        <v>36</v>
      </c>
      <c r="I26" s="70" t="s">
        <v>42</v>
      </c>
      <c r="J26" s="47" t="s">
        <v>43</v>
      </c>
      <c r="K26" s="1" t="str">
        <f t="shared" si="0"/>
        <v>REMINDER LETTER SHOULD BE SENT</v>
      </c>
      <c r="L26" s="81">
        <v>45323</v>
      </c>
      <c r="M26" s="73" t="s">
        <v>150</v>
      </c>
      <c r="N26" s="73" t="s">
        <v>151</v>
      </c>
      <c r="O26" s="82" t="str">
        <f>IF(M26="","",HYPERLINK(M26,B26))</f>
        <v>SOMEC UNITED PHARMACY</v>
      </c>
    </row>
    <row r="27" spans="1:15" s="1" customFormat="1" ht="35.25" customHeight="1">
      <c r="A27" s="46">
        <v>25</v>
      </c>
      <c r="B27" s="47" t="s">
        <v>152</v>
      </c>
      <c r="C27" s="47" t="s">
        <v>153</v>
      </c>
      <c r="D27" s="75" t="s">
        <v>154</v>
      </c>
      <c r="E27" s="47" t="s">
        <v>19</v>
      </c>
      <c r="F27" s="76" t="s">
        <v>144</v>
      </c>
      <c r="G27" s="47" t="s">
        <v>35</v>
      </c>
      <c r="H27" s="76" t="s">
        <v>36</v>
      </c>
      <c r="I27" s="70" t="s">
        <v>42</v>
      </c>
      <c r="J27" s="47" t="s">
        <v>43</v>
      </c>
      <c r="K27" s="1" t="str">
        <f t="shared" si="0"/>
        <v>REMINDER LETTER SHOULD BE SENT</v>
      </c>
      <c r="L27" s="81">
        <v>45323</v>
      </c>
      <c r="M27" s="1" t="s">
        <v>155</v>
      </c>
      <c r="N27" s="73" t="s">
        <v>156</v>
      </c>
      <c r="O27" s="82" t="str">
        <f>IF(M27="","",HYPERLINK(M27,B27))</f>
        <v>UNITED ABC PHARMACEUTICAL</v>
      </c>
    </row>
    <row r="28" spans="1:15" s="1" customFormat="1" ht="33.75" customHeight="1">
      <c r="A28" s="46">
        <v>26</v>
      </c>
      <c r="B28" s="47" t="s">
        <v>157</v>
      </c>
      <c r="C28" s="47" t="s">
        <v>158</v>
      </c>
      <c r="D28" s="75" t="s">
        <v>159</v>
      </c>
      <c r="E28" s="47" t="s">
        <v>19</v>
      </c>
      <c r="F28" s="76" t="s">
        <v>160</v>
      </c>
      <c r="G28" s="47" t="s">
        <v>35</v>
      </c>
      <c r="H28" s="76" t="s">
        <v>36</v>
      </c>
      <c r="I28" s="70" t="s">
        <v>42</v>
      </c>
      <c r="J28" s="47" t="s">
        <v>43</v>
      </c>
      <c r="K28" s="1" t="str">
        <f t="shared" si="0"/>
        <v>REMINDER LETTER SHOULD BE SENT</v>
      </c>
      <c r="L28" s="81">
        <v>45323</v>
      </c>
      <c r="M28" s="1" t="s">
        <v>161</v>
      </c>
      <c r="N28" s="73" t="s">
        <v>162</v>
      </c>
      <c r="O28" s="82" t="str">
        <f>IF(M28="","",HYPERLINK(M28,B28))</f>
        <v xml:space="preserve">SA PHARMACY </v>
      </c>
    </row>
    <row r="29" spans="1:15" s="1" customFormat="1" ht="34.5" customHeight="1">
      <c r="A29" s="46">
        <v>27</v>
      </c>
      <c r="B29" s="47" t="s">
        <v>163</v>
      </c>
      <c r="C29" s="47" t="s">
        <v>164</v>
      </c>
      <c r="D29" s="75" t="s">
        <v>165</v>
      </c>
      <c r="E29" s="47" t="s">
        <v>19</v>
      </c>
      <c r="F29" s="77" t="s">
        <v>160</v>
      </c>
      <c r="G29" s="47" t="s">
        <v>166</v>
      </c>
      <c r="H29" s="76" t="s">
        <v>36</v>
      </c>
      <c r="I29" s="70" t="s">
        <v>42</v>
      </c>
      <c r="J29" s="47" t="s">
        <v>43</v>
      </c>
      <c r="K29" s="1" t="str">
        <f t="shared" si="0"/>
        <v>REMINDER LETTER SHOULD BE SENT</v>
      </c>
      <c r="L29" s="81">
        <v>45323</v>
      </c>
      <c r="M29" s="1" t="s">
        <v>167</v>
      </c>
      <c r="N29" s="73" t="s">
        <v>168</v>
      </c>
      <c r="O29" s="82" t="str">
        <f>IF(M29="","",HYPERLINK(M29,B29))</f>
        <v>RIGHTMATE PHARMACY</v>
      </c>
    </row>
    <row r="30" spans="1:15" s="1" customFormat="1" ht="40.5" customHeight="1">
      <c r="A30" s="46">
        <v>28</v>
      </c>
      <c r="B30" s="47" t="s">
        <v>169</v>
      </c>
      <c r="C30" s="47" t="s">
        <v>170</v>
      </c>
      <c r="D30" s="84" t="s">
        <v>171</v>
      </c>
      <c r="E30" s="47" t="s">
        <v>19</v>
      </c>
      <c r="F30" s="76" t="s">
        <v>172</v>
      </c>
      <c r="G30" s="47" t="s">
        <v>173</v>
      </c>
      <c r="H30" s="76" t="s">
        <v>71</v>
      </c>
      <c r="I30" s="70" t="s">
        <v>42</v>
      </c>
      <c r="J30" s="47" t="s">
        <v>43</v>
      </c>
      <c r="K30" s="1" t="str">
        <f t="shared" si="0"/>
        <v>REMINDER LETTER SHOULD BE SENT</v>
      </c>
      <c r="L30" s="81">
        <v>45170</v>
      </c>
      <c r="M30" s="1" t="s">
        <v>174</v>
      </c>
      <c r="N30" s="73" t="s">
        <v>175</v>
      </c>
      <c r="O30" s="82" t="str">
        <f>IF(M30="","",HYPERLINK(M30,B30))</f>
        <v>M. U. SAM VENTURES LTD.</v>
      </c>
    </row>
    <row r="31" spans="1:15" s="1" customFormat="1" ht="35.25" customHeight="1">
      <c r="A31" s="46">
        <v>29</v>
      </c>
      <c r="B31" s="47" t="s">
        <v>176</v>
      </c>
      <c r="C31" s="47" t="s">
        <v>177</v>
      </c>
      <c r="D31" s="84" t="s">
        <v>178</v>
      </c>
      <c r="E31" s="47" t="s">
        <v>19</v>
      </c>
      <c r="F31" s="76" t="s">
        <v>172</v>
      </c>
      <c r="G31" s="47" t="s">
        <v>173</v>
      </c>
      <c r="H31" s="76" t="s">
        <v>179</v>
      </c>
      <c r="I31" s="70" t="s">
        <v>42</v>
      </c>
      <c r="J31" s="47" t="s">
        <v>43</v>
      </c>
      <c r="K31" s="1" t="str">
        <f t="shared" si="0"/>
        <v>REMINDER LETTER SHOULD BE SENT</v>
      </c>
      <c r="L31" s="81">
        <v>45170</v>
      </c>
      <c r="M31" s="1" t="s">
        <v>180</v>
      </c>
      <c r="N31" s="73" t="s">
        <v>181</v>
      </c>
      <c r="O31" s="82" t="str">
        <f>IF(M31="","",HYPERLINK(M31,B31))</f>
        <v>LIVE BETA PHARMACEUTICALS LTD.</v>
      </c>
    </row>
    <row r="32" spans="1:15" s="1" customFormat="1" ht="31.5" customHeight="1">
      <c r="A32" s="46">
        <v>30</v>
      </c>
      <c r="B32" s="47" t="s">
        <v>182</v>
      </c>
      <c r="C32" s="47" t="s">
        <v>183</v>
      </c>
      <c r="D32" s="84" t="s">
        <v>184</v>
      </c>
      <c r="E32" s="47" t="s">
        <v>19</v>
      </c>
      <c r="F32" s="76" t="s">
        <v>172</v>
      </c>
      <c r="G32" s="47" t="s">
        <v>35</v>
      </c>
      <c r="H32" s="76" t="s">
        <v>179</v>
      </c>
      <c r="I32" s="70" t="s">
        <v>42</v>
      </c>
      <c r="J32" s="47" t="s">
        <v>43</v>
      </c>
      <c r="K32" s="1" t="str">
        <f t="shared" si="0"/>
        <v>REMINDER LETTER SHOULD BE SENT</v>
      </c>
      <c r="L32" s="81">
        <v>45352</v>
      </c>
      <c r="M32" s="82" t="s">
        <v>185</v>
      </c>
      <c r="N32" s="73" t="s">
        <v>186</v>
      </c>
      <c r="O32" s="82" t="str">
        <f>IF(M32="","",HYPERLINK(M32,B32))</f>
        <v>AGU JUDEA PHARM. NIG. LTD.</v>
      </c>
    </row>
    <row r="33" spans="1:15" s="1" customFormat="1" ht="35.25" customHeight="1">
      <c r="A33" s="46">
        <v>31</v>
      </c>
      <c r="B33" s="47" t="s">
        <v>187</v>
      </c>
      <c r="C33" s="47" t="s">
        <v>188</v>
      </c>
      <c r="D33" s="84" t="s">
        <v>189</v>
      </c>
      <c r="E33" s="47" t="s">
        <v>19</v>
      </c>
      <c r="F33" s="76" t="s">
        <v>190</v>
      </c>
      <c r="G33" s="47" t="s">
        <v>20</v>
      </c>
      <c r="H33" s="76" t="s">
        <v>179</v>
      </c>
      <c r="I33" s="70" t="s">
        <v>42</v>
      </c>
      <c r="J33" s="47" t="s">
        <v>43</v>
      </c>
      <c r="K33" s="1" t="str">
        <f t="shared" si="0"/>
        <v>REMINDER LETTER SHOULD BE SENT</v>
      </c>
      <c r="L33" s="81">
        <v>45717</v>
      </c>
      <c r="M33" s="1" t="s">
        <v>191</v>
      </c>
      <c r="N33" s="73" t="s">
        <v>192</v>
      </c>
      <c r="O33" s="82" t="str">
        <f>IF(M33="","",HYPERLINK(M33,B33))</f>
        <v>ZIFAM PINNACLE NIG. LTD.</v>
      </c>
    </row>
    <row r="34" spans="1:15" s="1" customFormat="1" ht="30.75" customHeight="1">
      <c r="A34" s="46">
        <v>32</v>
      </c>
      <c r="B34" s="47" t="s">
        <v>193</v>
      </c>
      <c r="C34" s="47" t="s">
        <v>194</v>
      </c>
      <c r="D34" s="84" t="s">
        <v>195</v>
      </c>
      <c r="E34" s="47" t="s">
        <v>19</v>
      </c>
      <c r="F34" s="76" t="s">
        <v>196</v>
      </c>
      <c r="G34" s="47" t="s">
        <v>35</v>
      </c>
      <c r="H34" s="76" t="s">
        <v>197</v>
      </c>
      <c r="I34" s="70" t="s">
        <v>42</v>
      </c>
      <c r="J34" s="47" t="s">
        <v>43</v>
      </c>
      <c r="K34" s="1" t="str">
        <f t="shared" si="0"/>
        <v>REMINDER LETTER SHOULD BE SENT</v>
      </c>
      <c r="L34" s="81">
        <v>45352</v>
      </c>
      <c r="M34" s="1" t="s">
        <v>198</v>
      </c>
      <c r="N34" s="73" t="s">
        <v>199</v>
      </c>
      <c r="O34" s="82" t="str">
        <f>IF(M34="","",HYPERLINK(M34,B34))</f>
        <v>UNITED AFRICA LABORATORY LIMITED</v>
      </c>
    </row>
    <row r="35" spans="1:15" s="1" customFormat="1" ht="36" customHeight="1">
      <c r="A35" s="46">
        <v>33</v>
      </c>
      <c r="B35" s="47" t="s">
        <v>200</v>
      </c>
      <c r="C35" s="47" t="s">
        <v>201</v>
      </c>
      <c r="D35" s="84" t="s">
        <v>202</v>
      </c>
      <c r="E35" s="47" t="s">
        <v>19</v>
      </c>
      <c r="F35" s="76" t="s">
        <v>196</v>
      </c>
      <c r="G35" s="47" t="s">
        <v>35</v>
      </c>
      <c r="H35" s="76" t="s">
        <v>203</v>
      </c>
      <c r="I35" s="70" t="s">
        <v>22</v>
      </c>
      <c r="J35" s="47" t="s">
        <v>23</v>
      </c>
      <c r="K35" s="1" t="str">
        <f t="shared" si="0"/>
        <v>CAPA VERIFICATION SHOULD BE SCHEDULED</v>
      </c>
      <c r="L35" s="1" t="s">
        <v>204</v>
      </c>
      <c r="M35" s="1" t="s">
        <v>205</v>
      </c>
      <c r="N35" s="73" t="s">
        <v>206</v>
      </c>
      <c r="O35" s="82" t="str">
        <f>IF(M35="","",HYPERLINK(M35,B35))</f>
        <v>SANTUS PHARMACY &amp; STORES LTD.</v>
      </c>
    </row>
    <row r="36" spans="1:15" s="1" customFormat="1" ht="36.75" customHeight="1">
      <c r="A36" s="46">
        <v>34</v>
      </c>
      <c r="B36" s="47" t="s">
        <v>207</v>
      </c>
      <c r="C36" s="47" t="s">
        <v>208</v>
      </c>
      <c r="D36" s="84" t="s">
        <v>209</v>
      </c>
      <c r="E36" s="47" t="s">
        <v>19</v>
      </c>
      <c r="F36" s="76" t="s">
        <v>196</v>
      </c>
      <c r="G36" s="47" t="s">
        <v>173</v>
      </c>
      <c r="H36" s="76" t="s">
        <v>71</v>
      </c>
      <c r="I36" s="70" t="s">
        <v>42</v>
      </c>
      <c r="J36" s="47" t="s">
        <v>43</v>
      </c>
      <c r="K36" s="1" t="str">
        <f t="shared" si="0"/>
        <v>REMINDER LETTER SHOULD BE SENT</v>
      </c>
      <c r="L36" s="81">
        <v>45170</v>
      </c>
      <c r="M36" s="1" t="s">
        <v>210</v>
      </c>
      <c r="N36" s="73" t="s">
        <v>211</v>
      </c>
      <c r="O36" s="82" t="str">
        <f>IF(M36="","",HYPERLINK(M36,B36))</f>
        <v>THINK ETERNITY DRUGS LTD.</v>
      </c>
    </row>
    <row r="37" spans="1:15" s="1" customFormat="1" ht="33.75" customHeight="1">
      <c r="A37" s="46">
        <v>35</v>
      </c>
      <c r="B37" s="47" t="s">
        <v>212</v>
      </c>
      <c r="C37" s="47" t="s">
        <v>213</v>
      </c>
      <c r="D37" s="84" t="s">
        <v>214</v>
      </c>
      <c r="E37" s="47" t="s">
        <v>19</v>
      </c>
      <c r="F37" s="76" t="s">
        <v>190</v>
      </c>
      <c r="G37" s="47" t="s">
        <v>173</v>
      </c>
      <c r="H37" s="76" t="s">
        <v>215</v>
      </c>
      <c r="I37" s="70" t="s">
        <v>42</v>
      </c>
      <c r="J37" s="47" t="s">
        <v>43</v>
      </c>
      <c r="K37" s="1" t="str">
        <f t="shared" si="0"/>
        <v>REMINDER LETTER SHOULD BE SENT</v>
      </c>
      <c r="L37" s="81">
        <v>45170</v>
      </c>
      <c r="M37" s="1" t="s">
        <v>216</v>
      </c>
      <c r="N37" s="73" t="s">
        <v>217</v>
      </c>
      <c r="O37" s="82" t="str">
        <f>IF(M37="","",HYPERLINK(M37,B37))</f>
        <v>MIVERO PHARM. LTD.</v>
      </c>
    </row>
    <row r="38" spans="1:15" s="1" customFormat="1" ht="39" customHeight="1">
      <c r="A38" s="46">
        <v>36</v>
      </c>
      <c r="B38" s="47" t="s">
        <v>218</v>
      </c>
      <c r="C38" s="47" t="s">
        <v>219</v>
      </c>
      <c r="D38" s="84" t="s">
        <v>220</v>
      </c>
      <c r="E38" s="47" t="s">
        <v>19</v>
      </c>
      <c r="F38" s="77">
        <v>45050</v>
      </c>
      <c r="G38" s="47" t="s">
        <v>70</v>
      </c>
      <c r="H38" s="76" t="s">
        <v>71</v>
      </c>
      <c r="I38" s="70" t="s">
        <v>42</v>
      </c>
      <c r="J38" s="47" t="s">
        <v>43</v>
      </c>
      <c r="K38" s="1" t="str">
        <f t="shared" si="0"/>
        <v>REMINDER LETTER SHOULD BE SENT</v>
      </c>
      <c r="L38" s="81">
        <v>45200</v>
      </c>
      <c r="M38" s="1" t="s">
        <v>221</v>
      </c>
      <c r="N38" s="73" t="s">
        <v>222</v>
      </c>
      <c r="O38" s="82" t="str">
        <f>IF(M38="","",HYPERLINK(M38,B38))</f>
        <v>R.L. UPRIGHT WAY NIG. LTD.</v>
      </c>
    </row>
    <row r="39" spans="1:15" s="1" customFormat="1" ht="40.5" customHeight="1">
      <c r="A39" s="46">
        <v>37</v>
      </c>
      <c r="B39" s="47" t="s">
        <v>223</v>
      </c>
      <c r="C39" s="47" t="s">
        <v>224</v>
      </c>
      <c r="D39" s="84" t="s">
        <v>225</v>
      </c>
      <c r="E39" s="47" t="s">
        <v>19</v>
      </c>
      <c r="F39" s="77">
        <v>45020</v>
      </c>
      <c r="G39" s="47" t="s">
        <v>35</v>
      </c>
      <c r="H39" s="76" t="s">
        <v>179</v>
      </c>
      <c r="I39" s="70" t="s">
        <v>22</v>
      </c>
      <c r="J39" s="47" t="s">
        <v>23</v>
      </c>
      <c r="K39" s="1" t="str">
        <f t="shared" si="0"/>
        <v>CAPA VERIFICATION SHOULD BE SCHEDULED</v>
      </c>
      <c r="L39" s="81">
        <v>45078</v>
      </c>
      <c r="M39" s="1" t="s">
        <v>226</v>
      </c>
      <c r="N39" s="73" t="s">
        <v>227</v>
      </c>
      <c r="O39" s="82" t="str">
        <f>IF(M39="","",HYPERLINK(M39,B39))</f>
        <v>TEACO PHARM. CO. NIG. LTD.</v>
      </c>
    </row>
    <row r="40" spans="1:15" s="1" customFormat="1" ht="39" customHeight="1">
      <c r="A40" s="46">
        <v>38</v>
      </c>
      <c r="B40" s="47" t="s">
        <v>228</v>
      </c>
      <c r="C40" s="47" t="s">
        <v>229</v>
      </c>
      <c r="D40" s="84" t="s">
        <v>230</v>
      </c>
      <c r="E40" s="47" t="s">
        <v>19</v>
      </c>
      <c r="F40" s="77">
        <v>45020</v>
      </c>
      <c r="G40" s="47" t="s">
        <v>35</v>
      </c>
      <c r="H40" s="76" t="s">
        <v>179</v>
      </c>
      <c r="I40" s="70" t="s">
        <v>42</v>
      </c>
      <c r="J40" s="47" t="s">
        <v>43</v>
      </c>
      <c r="K40" s="1" t="str">
        <f t="shared" si="0"/>
        <v>REMINDER LETTER SHOULD BE SENT</v>
      </c>
      <c r="L40" s="81">
        <v>45383</v>
      </c>
      <c r="M40" s="1" t="s">
        <v>231</v>
      </c>
      <c r="N40" s="73" t="s">
        <v>232</v>
      </c>
      <c r="O40" s="82" t="str">
        <f>IF(M40="","",HYPERLINK(M40,B40))</f>
        <v>FUNKET NIG. LTD.</v>
      </c>
    </row>
    <row r="41" spans="1:15" s="1" customFormat="1" ht="40.5" customHeight="1">
      <c r="A41" s="46">
        <v>39</v>
      </c>
      <c r="B41" s="47" t="s">
        <v>233</v>
      </c>
      <c r="C41" s="47" t="s">
        <v>234</v>
      </c>
      <c r="D41" s="84" t="s">
        <v>235</v>
      </c>
      <c r="E41" s="47" t="s">
        <v>19</v>
      </c>
      <c r="F41" s="77">
        <v>45050</v>
      </c>
      <c r="G41" s="47" t="s">
        <v>35</v>
      </c>
      <c r="H41" s="76" t="s">
        <v>71</v>
      </c>
      <c r="I41" s="70" t="s">
        <v>42</v>
      </c>
      <c r="J41" s="47" t="s">
        <v>43</v>
      </c>
      <c r="K41" s="1" t="str">
        <f t="shared" si="0"/>
        <v>REMINDER LETTER SHOULD BE SENT</v>
      </c>
      <c r="L41" s="81">
        <v>45383</v>
      </c>
      <c r="M41" s="1" t="s">
        <v>236</v>
      </c>
      <c r="N41" s="73" t="s">
        <v>237</v>
      </c>
      <c r="O41" s="82" t="str">
        <f>IF(M41="","",HYPERLINK(M41,B41))</f>
        <v>KATCEE-MACKENZIE &amp;ASSOCIATES</v>
      </c>
    </row>
    <row r="42" spans="1:15" s="1" customFormat="1" ht="30.75" customHeight="1">
      <c r="A42" s="46">
        <v>40</v>
      </c>
      <c r="B42" s="47" t="s">
        <v>238</v>
      </c>
      <c r="C42" s="47" t="s">
        <v>239</v>
      </c>
      <c r="D42" s="75" t="s">
        <v>240</v>
      </c>
      <c r="E42" s="47" t="s">
        <v>19</v>
      </c>
      <c r="F42" s="76" t="s">
        <v>241</v>
      </c>
      <c r="G42" s="47" t="s">
        <v>20</v>
      </c>
      <c r="H42" s="76" t="s">
        <v>242</v>
      </c>
      <c r="I42" s="70" t="s">
        <v>42</v>
      </c>
      <c r="J42" s="47" t="s">
        <v>43</v>
      </c>
      <c r="K42" s="1" t="str">
        <f t="shared" si="0"/>
        <v>REMINDER LETTER SHOULD BE SENT</v>
      </c>
      <c r="L42" s="81">
        <v>45748</v>
      </c>
      <c r="M42" s="1" t="s">
        <v>243</v>
      </c>
      <c r="N42" s="73" t="s">
        <v>244</v>
      </c>
      <c r="O42" s="82" t="str">
        <f>IF(M42="","",HYPERLINK(M42,B42))</f>
        <v>DRUG-IT SOLUTIONS LIMITED</v>
      </c>
    </row>
    <row r="43" spans="1:15" s="1" customFormat="1" ht="30.75" customHeight="1">
      <c r="A43" s="46">
        <v>41</v>
      </c>
      <c r="B43" s="47" t="s">
        <v>245</v>
      </c>
      <c r="C43" s="47" t="s">
        <v>246</v>
      </c>
      <c r="D43" s="75" t="s">
        <v>247</v>
      </c>
      <c r="E43" s="47" t="s">
        <v>19</v>
      </c>
      <c r="F43" s="76" t="s">
        <v>248</v>
      </c>
      <c r="G43" s="47" t="s">
        <v>249</v>
      </c>
      <c r="H43" s="76" t="s">
        <v>215</v>
      </c>
      <c r="I43" s="70" t="s">
        <v>22</v>
      </c>
      <c r="J43" s="47" t="s">
        <v>23</v>
      </c>
      <c r="K43" s="1" t="str">
        <f t="shared" si="0"/>
        <v>CAPA VERIFICATION SHOULD BE SCHEDULED</v>
      </c>
      <c r="L43" s="81">
        <v>45200</v>
      </c>
      <c r="M43" s="1" t="s">
        <v>250</v>
      </c>
      <c r="N43" s="73" t="s">
        <v>251</v>
      </c>
      <c r="O43" s="82" t="str">
        <f>IF(M43="","",HYPERLINK(M43,B43))</f>
        <v>FAMOUS NIG. LTD.</v>
      </c>
    </row>
    <row r="44" spans="1:15" s="1" customFormat="1" ht="39.75" customHeight="1">
      <c r="A44" s="46">
        <v>42</v>
      </c>
      <c r="B44" s="47" t="s">
        <v>252</v>
      </c>
      <c r="C44" s="47" t="s">
        <v>253</v>
      </c>
      <c r="D44" s="78" t="s">
        <v>254</v>
      </c>
      <c r="E44" s="47" t="s">
        <v>19</v>
      </c>
      <c r="F44" s="77">
        <v>45035</v>
      </c>
      <c r="G44" s="47" t="s">
        <v>72</v>
      </c>
      <c r="H44" s="76" t="s">
        <v>72</v>
      </c>
      <c r="I44" s="70" t="s">
        <v>72</v>
      </c>
      <c r="J44" s="47" t="s">
        <v>72</v>
      </c>
      <c r="K44" s="1" t="s">
        <v>255</v>
      </c>
      <c r="M44" s="1" t="s">
        <v>256</v>
      </c>
      <c r="N44" s="73" t="s">
        <v>257</v>
      </c>
      <c r="O44" s="82" t="str">
        <f>IF(M44="","",HYPERLINK(M44,B44))</f>
        <v>ALIMOSHO CHEMIST LTD.</v>
      </c>
    </row>
    <row r="45" spans="1:15" s="1" customFormat="1" ht="101.25">
      <c r="A45" s="46">
        <v>43</v>
      </c>
      <c r="B45" s="47" t="s">
        <v>258</v>
      </c>
      <c r="C45" s="47" t="s">
        <v>259</v>
      </c>
      <c r="D45" s="75" t="s">
        <v>260</v>
      </c>
      <c r="E45" s="47" t="s">
        <v>19</v>
      </c>
      <c r="F45" s="77">
        <v>45204</v>
      </c>
      <c r="G45" s="47" t="s">
        <v>35</v>
      </c>
      <c r="H45" s="77">
        <v>45204</v>
      </c>
      <c r="I45" s="70" t="s">
        <v>42</v>
      </c>
      <c r="J45" s="47" t="s">
        <v>43</v>
      </c>
      <c r="K45" s="1" t="str">
        <f t="shared" ref="K45:K51" si="1">IF(I45="YES","CAPA VERIFICATION SHOULD BE SCHEDULED",IF(I45="NO","REMINDER LETTER SHOULD BE SENT",""))</f>
        <v>REMINDER LETTER SHOULD BE SENT</v>
      </c>
      <c r="L45" s="81">
        <v>45352</v>
      </c>
      <c r="M45" s="1" t="s">
        <v>261</v>
      </c>
      <c r="N45" s="73" t="s">
        <v>262</v>
      </c>
      <c r="O45" s="82" t="str">
        <f>IF(M45="","",HYPERLINK(M45,B45))</f>
        <v>GOD 'S FOUNDATION PHARMA LTD.</v>
      </c>
    </row>
    <row r="46" spans="1:15" s="1" customFormat="1" ht="101.25">
      <c r="A46" s="46">
        <v>44</v>
      </c>
      <c r="B46" s="47" t="s">
        <v>263</v>
      </c>
      <c r="C46" s="47" t="s">
        <v>264</v>
      </c>
      <c r="D46" s="75" t="s">
        <v>265</v>
      </c>
      <c r="E46" s="47" t="s">
        <v>19</v>
      </c>
      <c r="F46" s="77">
        <v>45204</v>
      </c>
      <c r="G46" s="47" t="s">
        <v>35</v>
      </c>
      <c r="H46" s="77">
        <v>45174</v>
      </c>
      <c r="I46" s="70" t="s">
        <v>42</v>
      </c>
      <c r="J46" s="47" t="s">
        <v>43</v>
      </c>
      <c r="K46" s="1" t="str">
        <f t="shared" si="1"/>
        <v>REMINDER LETTER SHOULD BE SENT</v>
      </c>
      <c r="L46" s="81">
        <v>45352</v>
      </c>
      <c r="M46" s="1" t="s">
        <v>266</v>
      </c>
      <c r="N46" s="73" t="s">
        <v>267</v>
      </c>
      <c r="O46" s="82" t="str">
        <f>IF(M46="","",HYPERLINK(M46,B46))</f>
        <v>E.U. EMMASON PHARM. CO.LTD.</v>
      </c>
    </row>
    <row r="47" spans="1:15" s="1" customFormat="1" ht="101.25">
      <c r="A47" s="46">
        <v>45</v>
      </c>
      <c r="B47" s="47" t="s">
        <v>268</v>
      </c>
      <c r="C47" s="47" t="s">
        <v>269</v>
      </c>
      <c r="D47" s="75" t="s">
        <v>270</v>
      </c>
      <c r="E47" s="47" t="s">
        <v>19</v>
      </c>
      <c r="F47" s="77">
        <v>44990</v>
      </c>
      <c r="G47" s="47" t="s">
        <v>249</v>
      </c>
      <c r="H47" s="77">
        <v>45174</v>
      </c>
      <c r="I47" s="70" t="s">
        <v>42</v>
      </c>
      <c r="J47" s="47" t="s">
        <v>43</v>
      </c>
      <c r="K47" s="1" t="str">
        <f t="shared" si="1"/>
        <v>REMINDER LETTER SHOULD BE SENT</v>
      </c>
      <c r="L47" s="81">
        <v>45231</v>
      </c>
      <c r="M47" s="1" t="s">
        <v>271</v>
      </c>
      <c r="N47" s="73" t="s">
        <v>272</v>
      </c>
      <c r="O47" s="82" t="str">
        <f>IF(M47="","",HYPERLINK(M47,B47))</f>
        <v>ANYIWEST PHARMACY LTD.</v>
      </c>
    </row>
    <row r="48" spans="1:15" s="1" customFormat="1" ht="101.25">
      <c r="A48" s="46">
        <v>46</v>
      </c>
      <c r="B48" s="47" t="s">
        <v>273</v>
      </c>
      <c r="C48" s="47" t="s">
        <v>274</v>
      </c>
      <c r="D48" s="75" t="s">
        <v>275</v>
      </c>
      <c r="E48" s="47" t="s">
        <v>19</v>
      </c>
      <c r="F48" s="77">
        <v>44990</v>
      </c>
      <c r="G48" s="47" t="s">
        <v>35</v>
      </c>
      <c r="H48" s="76"/>
      <c r="I48" s="70" t="s">
        <v>42</v>
      </c>
      <c r="J48" s="47" t="s">
        <v>43</v>
      </c>
      <c r="K48" s="1" t="str">
        <f t="shared" si="1"/>
        <v>REMINDER LETTER SHOULD BE SENT</v>
      </c>
      <c r="L48" s="81">
        <v>45352</v>
      </c>
      <c r="M48" s="1" t="s">
        <v>276</v>
      </c>
      <c r="N48" s="73" t="s">
        <v>277</v>
      </c>
      <c r="O48" s="82" t="str">
        <f>IF(M48="","",HYPERLINK(M48,B48))</f>
        <v>KRANTZ PHARMACEUTICAL &amp; CHEMICALS LTD.</v>
      </c>
    </row>
    <row r="49" spans="1:15" s="1" customFormat="1" ht="115.5">
      <c r="A49" s="46">
        <v>47</v>
      </c>
      <c r="B49" s="47" t="s">
        <v>278</v>
      </c>
      <c r="C49" s="47" t="s">
        <v>279</v>
      </c>
      <c r="D49" s="75" t="s">
        <v>280</v>
      </c>
      <c r="E49" s="47" t="s">
        <v>19</v>
      </c>
      <c r="F49" s="77">
        <v>45174</v>
      </c>
      <c r="G49" s="47" t="s">
        <v>20</v>
      </c>
      <c r="H49" s="77">
        <v>45144</v>
      </c>
      <c r="I49" s="70" t="s">
        <v>22</v>
      </c>
      <c r="J49" s="47" t="s">
        <v>23</v>
      </c>
      <c r="K49" s="1" t="str">
        <f t="shared" si="1"/>
        <v>CAPA VERIFICATION SHOULD BE SCHEDULED</v>
      </c>
      <c r="L49" s="81">
        <v>45717</v>
      </c>
      <c r="M49" s="1" t="s">
        <v>281</v>
      </c>
      <c r="N49" s="73" t="s">
        <v>282</v>
      </c>
      <c r="O49" s="82" t="str">
        <f>IF(M49="","",HYPERLINK(M49,B49))</f>
        <v xml:space="preserve">ALGANDA PHARMACY </v>
      </c>
    </row>
    <row r="50" spans="1:15" s="1" customFormat="1" ht="101.25">
      <c r="A50" s="46">
        <v>48</v>
      </c>
      <c r="B50" s="47" t="s">
        <v>283</v>
      </c>
      <c r="C50" s="47" t="s">
        <v>284</v>
      </c>
      <c r="D50" s="75" t="s">
        <v>285</v>
      </c>
      <c r="E50" s="47" t="s">
        <v>19</v>
      </c>
      <c r="F50" s="77">
        <v>45174</v>
      </c>
      <c r="G50" s="47" t="s">
        <v>20</v>
      </c>
      <c r="H50" s="77">
        <v>45154</v>
      </c>
      <c r="I50" s="70" t="s">
        <v>42</v>
      </c>
      <c r="J50" s="47" t="s">
        <v>43</v>
      </c>
      <c r="K50" s="1" t="str">
        <f t="shared" si="1"/>
        <v>REMINDER LETTER SHOULD BE SENT</v>
      </c>
      <c r="L50" s="81">
        <v>45717</v>
      </c>
      <c r="M50" s="1" t="s">
        <v>286</v>
      </c>
      <c r="N50" s="73" t="s">
        <v>287</v>
      </c>
      <c r="O50" s="82" t="str">
        <f>IF(M50="","",HYPERLINK(M50,B50))</f>
        <v>CIKASON PHARMACY</v>
      </c>
    </row>
    <row r="51" spans="1:15" s="1" customFormat="1" ht="101.25">
      <c r="A51" s="46">
        <v>49</v>
      </c>
      <c r="B51" s="47" t="s">
        <v>288</v>
      </c>
      <c r="C51" s="47" t="s">
        <v>289</v>
      </c>
      <c r="D51" s="75" t="s">
        <v>290</v>
      </c>
      <c r="E51" s="47" t="s">
        <v>19</v>
      </c>
      <c r="F51" s="77">
        <v>44990</v>
      </c>
      <c r="G51" s="47" t="s">
        <v>249</v>
      </c>
      <c r="H51" s="77">
        <v>45174</v>
      </c>
      <c r="I51" s="70" t="s">
        <v>42</v>
      </c>
      <c r="J51" s="47" t="s">
        <v>43</v>
      </c>
      <c r="K51" s="1" t="str">
        <f t="shared" si="1"/>
        <v>REMINDER LETTER SHOULD BE SENT</v>
      </c>
      <c r="L51" s="81">
        <v>45231</v>
      </c>
      <c r="M51" s="1" t="s">
        <v>291</v>
      </c>
      <c r="N51" s="73" t="s">
        <v>292</v>
      </c>
      <c r="O51" s="82" t="str">
        <f>IF(M51="","",HYPERLINK(M51,B51))</f>
        <v>MARY-IYKE PHARMACY &amp; STORES</v>
      </c>
    </row>
    <row r="52" spans="1:15" s="1" customFormat="1" ht="32.25" customHeight="1">
      <c r="A52" s="46">
        <v>50</v>
      </c>
      <c r="B52" s="47" t="s">
        <v>293</v>
      </c>
      <c r="C52" s="47" t="s">
        <v>294</v>
      </c>
      <c r="D52" s="75" t="s">
        <v>295</v>
      </c>
      <c r="E52" s="47" t="s">
        <v>19</v>
      </c>
      <c r="F52" s="77">
        <v>44990</v>
      </c>
      <c r="G52" s="47" t="s">
        <v>20</v>
      </c>
      <c r="H52" s="76" t="s">
        <v>72</v>
      </c>
      <c r="I52" s="70" t="s">
        <v>72</v>
      </c>
      <c r="J52" s="47" t="s">
        <v>296</v>
      </c>
      <c r="K52" s="1" t="s">
        <v>297</v>
      </c>
      <c r="L52" s="81">
        <v>45717</v>
      </c>
      <c r="M52" s="1" t="s">
        <v>298</v>
      </c>
      <c r="N52" s="73" t="s">
        <v>299</v>
      </c>
      <c r="O52" s="82" t="str">
        <f>IF(M52="","",HYPERLINK(M52,B52))</f>
        <v>DRUG STOC E HUB LIMITED</v>
      </c>
    </row>
    <row r="53" spans="1:15" s="1" customFormat="1" ht="32.25" customHeight="1">
      <c r="A53" s="46">
        <v>51</v>
      </c>
      <c r="B53" s="47" t="s">
        <v>300</v>
      </c>
      <c r="C53" s="47" t="s">
        <v>301</v>
      </c>
      <c r="D53" s="75" t="s">
        <v>302</v>
      </c>
      <c r="E53" s="47" t="s">
        <v>19</v>
      </c>
      <c r="F53" s="77">
        <v>45048</v>
      </c>
      <c r="G53" s="47" t="s">
        <v>35</v>
      </c>
      <c r="H53" s="77">
        <v>45144</v>
      </c>
      <c r="I53" s="70" t="s">
        <v>42</v>
      </c>
      <c r="J53" s="47" t="s">
        <v>43</v>
      </c>
      <c r="K53" s="1" t="str">
        <f t="shared" ref="K53:K73" si="2">IF(I53="YES","CAPA VERIFICATION SHOULD BE SCHEDULED",IF(I53="NO","REMINDER LETTER SHOULD BE SENT",""))</f>
        <v>REMINDER LETTER SHOULD BE SENT</v>
      </c>
      <c r="L53" s="81">
        <v>45352</v>
      </c>
      <c r="M53" s="1" t="s">
        <v>303</v>
      </c>
      <c r="N53" s="73" t="s">
        <v>304</v>
      </c>
      <c r="O53" s="82" t="str">
        <f>IF(M53="","",HYPERLINK(M53,B53))</f>
        <v>MAC EVENTUS PHARM. CO. LTD.</v>
      </c>
    </row>
    <row r="54" spans="1:15" s="1" customFormat="1" ht="36" customHeight="1">
      <c r="A54" s="46">
        <v>52</v>
      </c>
      <c r="B54" s="47" t="s">
        <v>305</v>
      </c>
      <c r="C54" s="47" t="s">
        <v>306</v>
      </c>
      <c r="D54" s="75" t="s">
        <v>307</v>
      </c>
      <c r="E54" s="47" t="s">
        <v>19</v>
      </c>
      <c r="F54" s="77">
        <v>45048</v>
      </c>
      <c r="G54" s="47" t="s">
        <v>249</v>
      </c>
      <c r="H54" s="77">
        <v>45100</v>
      </c>
      <c r="I54" s="70" t="s">
        <v>42</v>
      </c>
      <c r="J54" s="47" t="s">
        <v>43</v>
      </c>
      <c r="K54" s="1" t="str">
        <f t="shared" si="2"/>
        <v>REMINDER LETTER SHOULD BE SENT</v>
      </c>
      <c r="L54" s="81">
        <v>45231</v>
      </c>
      <c r="M54" s="1" t="s">
        <v>308</v>
      </c>
      <c r="N54" s="73" t="s">
        <v>309</v>
      </c>
      <c r="O54" s="82" t="str">
        <f>IF(M54="","",HYPERLINK(M54,B54))</f>
        <v>SAMNTO PHARM. LTD.</v>
      </c>
    </row>
    <row r="55" spans="1:15" s="1" customFormat="1" ht="31.5" customHeight="1">
      <c r="A55" s="46">
        <v>53</v>
      </c>
      <c r="B55" s="47" t="s">
        <v>310</v>
      </c>
      <c r="C55" s="47" t="s">
        <v>311</v>
      </c>
      <c r="D55" s="75" t="s">
        <v>312</v>
      </c>
      <c r="E55" s="47" t="s">
        <v>19</v>
      </c>
      <c r="F55" s="77">
        <v>45048</v>
      </c>
      <c r="G55" s="47" t="s">
        <v>249</v>
      </c>
      <c r="H55" s="77">
        <v>45075</v>
      </c>
      <c r="I55" s="70" t="s">
        <v>22</v>
      </c>
      <c r="J55" s="47" t="s">
        <v>23</v>
      </c>
      <c r="K55" s="1" t="str">
        <f t="shared" si="2"/>
        <v>CAPA VERIFICATION SHOULD BE SCHEDULED</v>
      </c>
      <c r="L55" s="81">
        <v>45231</v>
      </c>
      <c r="M55" s="73" t="s">
        <v>139</v>
      </c>
      <c r="N55" s="73" t="s">
        <v>313</v>
      </c>
      <c r="O55" s="82" t="str">
        <f>IF(M55="","",HYPERLINK(M55,B55))</f>
        <v>ALANTRA PHARMACY</v>
      </c>
    </row>
    <row r="56" spans="1:15" s="1" customFormat="1" ht="33" customHeight="1">
      <c r="A56" s="46">
        <v>54</v>
      </c>
      <c r="B56" s="47" t="s">
        <v>314</v>
      </c>
      <c r="C56" s="47" t="s">
        <v>315</v>
      </c>
      <c r="D56" s="75" t="s">
        <v>316</v>
      </c>
      <c r="E56" s="47" t="s">
        <v>19</v>
      </c>
      <c r="F56" s="76" t="s">
        <v>317</v>
      </c>
      <c r="G56" s="47" t="s">
        <v>35</v>
      </c>
      <c r="H56" s="77">
        <v>45314</v>
      </c>
      <c r="I56" s="70" t="s">
        <v>22</v>
      </c>
      <c r="J56" s="47" t="s">
        <v>23</v>
      </c>
      <c r="K56" s="1" t="str">
        <f t="shared" si="2"/>
        <v>CAPA VERIFICATION SHOULD BE SCHEDULED</v>
      </c>
      <c r="L56" s="81">
        <v>45352</v>
      </c>
      <c r="M56" s="1" t="s">
        <v>318</v>
      </c>
      <c r="N56" s="73" t="s">
        <v>319</v>
      </c>
      <c r="O56" s="82" t="str">
        <f>IF(M56="","",HYPERLINK(M56,B56))</f>
        <v>CHEV PHARMACEUTICALS</v>
      </c>
    </row>
    <row r="57" spans="1:15" s="1" customFormat="1" ht="32.25" customHeight="1">
      <c r="A57" s="46">
        <v>55</v>
      </c>
      <c r="B57" s="47" t="s">
        <v>320</v>
      </c>
      <c r="C57" s="47" t="s">
        <v>321</v>
      </c>
      <c r="D57" s="75" t="s">
        <v>322</v>
      </c>
      <c r="E57" s="47" t="s">
        <v>19</v>
      </c>
      <c r="F57" s="77">
        <v>44963</v>
      </c>
      <c r="G57" s="47" t="s">
        <v>249</v>
      </c>
      <c r="H57" s="77" t="s">
        <v>323</v>
      </c>
      <c r="I57" s="70" t="s">
        <v>42</v>
      </c>
      <c r="J57" s="47" t="s">
        <v>43</v>
      </c>
      <c r="K57" s="1" t="str">
        <f t="shared" si="2"/>
        <v>REMINDER LETTER SHOULD BE SENT</v>
      </c>
      <c r="L57" s="81">
        <v>45261</v>
      </c>
      <c r="M57" s="1" t="s">
        <v>324</v>
      </c>
      <c r="N57" s="73" t="s">
        <v>325</v>
      </c>
      <c r="O57" s="82" t="str">
        <f>IF(M57="","",HYPERLINK(M57,B57))</f>
        <v>REMSON INVESTMENT LTD</v>
      </c>
    </row>
    <row r="58" spans="1:15" s="1" customFormat="1" ht="30" customHeight="1">
      <c r="A58" s="46">
        <v>56</v>
      </c>
      <c r="B58" s="47" t="s">
        <v>326</v>
      </c>
      <c r="C58" s="47" t="s">
        <v>327</v>
      </c>
      <c r="D58" s="75" t="s">
        <v>328</v>
      </c>
      <c r="E58" s="47" t="s">
        <v>19</v>
      </c>
      <c r="F58" s="77">
        <v>45052</v>
      </c>
      <c r="G58" s="47" t="s">
        <v>249</v>
      </c>
      <c r="H58" s="77" t="s">
        <v>329</v>
      </c>
      <c r="I58" s="70" t="s">
        <v>42</v>
      </c>
      <c r="J58" s="47" t="s">
        <v>43</v>
      </c>
      <c r="K58" s="1" t="str">
        <f t="shared" si="2"/>
        <v>REMINDER LETTER SHOULD BE SENT</v>
      </c>
      <c r="L58" s="81">
        <v>45261</v>
      </c>
      <c r="M58" s="1" t="s">
        <v>330</v>
      </c>
      <c r="N58" s="73" t="s">
        <v>331</v>
      </c>
      <c r="O58" s="82" t="str">
        <f>IF(M58="","",HYPERLINK(M58,B58))</f>
        <v>CITY OF GLORY PHARMACEUTICALS</v>
      </c>
    </row>
    <row r="59" spans="1:15" s="1" customFormat="1" ht="34.5" customHeight="1">
      <c r="A59" s="46">
        <v>57</v>
      </c>
      <c r="B59" s="47" t="s">
        <v>332</v>
      </c>
      <c r="C59" s="47" t="s">
        <v>333</v>
      </c>
      <c r="D59" s="75" t="s">
        <v>334</v>
      </c>
      <c r="E59" s="47" t="s">
        <v>19</v>
      </c>
      <c r="F59" s="77">
        <v>45144</v>
      </c>
      <c r="G59" s="47" t="s">
        <v>35</v>
      </c>
      <c r="H59" s="76"/>
      <c r="I59" s="70" t="s">
        <v>22</v>
      </c>
      <c r="J59" s="47" t="s">
        <v>23</v>
      </c>
      <c r="K59" s="1" t="str">
        <f t="shared" si="2"/>
        <v>CAPA VERIFICATION SHOULD BE SCHEDULED</v>
      </c>
      <c r="L59" s="81">
        <v>45444</v>
      </c>
      <c r="M59" s="1" t="s">
        <v>335</v>
      </c>
      <c r="N59" s="73" t="s">
        <v>336</v>
      </c>
      <c r="O59" s="82" t="str">
        <f>IF(M59="","",HYPERLINK(M59,B59))</f>
        <v>CHRIS NELB PHARM. LTD.</v>
      </c>
    </row>
    <row r="60" spans="1:15" s="1" customFormat="1" ht="40.5" customHeight="1">
      <c r="A60" s="46">
        <v>58</v>
      </c>
      <c r="B60" s="47" t="s">
        <v>337</v>
      </c>
      <c r="C60" s="47" t="s">
        <v>338</v>
      </c>
      <c r="D60" s="75" t="s">
        <v>339</v>
      </c>
      <c r="E60" s="47" t="s">
        <v>19</v>
      </c>
      <c r="F60" s="77">
        <v>44932</v>
      </c>
      <c r="G60" s="47" t="s">
        <v>35</v>
      </c>
      <c r="H60" s="76" t="s">
        <v>340</v>
      </c>
      <c r="I60" s="70" t="s">
        <v>42</v>
      </c>
      <c r="J60" s="47" t="s">
        <v>43</v>
      </c>
      <c r="K60" s="1" t="str">
        <f t="shared" si="2"/>
        <v>REMINDER LETTER SHOULD BE SENT</v>
      </c>
      <c r="L60" s="81">
        <v>45444</v>
      </c>
      <c r="M60" s="1" t="s">
        <v>341</v>
      </c>
      <c r="N60" s="73" t="s">
        <v>342</v>
      </c>
      <c r="O60" s="82" t="str">
        <f>IF(M60="","",HYPERLINK(M60,B60))</f>
        <v>SURPLUS PHARMACY LTD.</v>
      </c>
    </row>
    <row r="61" spans="1:15" s="1" customFormat="1" ht="33.75" customHeight="1">
      <c r="A61" s="46">
        <v>59</v>
      </c>
      <c r="B61" s="47" t="s">
        <v>343</v>
      </c>
      <c r="C61" s="47" t="s">
        <v>344</v>
      </c>
      <c r="D61" s="75" t="s">
        <v>345</v>
      </c>
      <c r="E61" s="47" t="s">
        <v>19</v>
      </c>
      <c r="F61" s="77">
        <v>45052</v>
      </c>
      <c r="G61" s="47" t="s">
        <v>35</v>
      </c>
      <c r="H61" s="76"/>
      <c r="I61" s="70"/>
      <c r="J61" s="47" t="s">
        <v>43</v>
      </c>
      <c r="K61" s="1" t="str">
        <f t="shared" si="2"/>
        <v/>
      </c>
      <c r="L61" s="81">
        <v>45444</v>
      </c>
      <c r="M61" s="1" t="s">
        <v>346</v>
      </c>
      <c r="O61" s="82" t="str">
        <f>IF(M61="","",HYPERLINK(M61,B61))</f>
        <v>JOHN VIKEE PHARM.</v>
      </c>
    </row>
    <row r="62" spans="1:15" s="1" customFormat="1" ht="36" customHeight="1">
      <c r="A62" s="46">
        <v>60</v>
      </c>
      <c r="B62" s="47" t="s">
        <v>347</v>
      </c>
      <c r="C62" s="47" t="s">
        <v>348</v>
      </c>
      <c r="D62" s="75" t="s">
        <v>349</v>
      </c>
      <c r="E62" s="47" t="s">
        <v>19</v>
      </c>
      <c r="F62" s="77">
        <v>45052</v>
      </c>
      <c r="G62" s="47" t="s">
        <v>35</v>
      </c>
      <c r="H62" s="76" t="s">
        <v>340</v>
      </c>
      <c r="I62" s="70" t="s">
        <v>42</v>
      </c>
      <c r="J62" s="47" t="s">
        <v>43</v>
      </c>
      <c r="K62" s="1" t="str">
        <f t="shared" si="2"/>
        <v>REMINDER LETTER SHOULD BE SENT</v>
      </c>
      <c r="L62" s="81">
        <v>45444</v>
      </c>
      <c r="M62" s="1" t="s">
        <v>350</v>
      </c>
      <c r="N62" s="73" t="s">
        <v>351</v>
      </c>
      <c r="O62" s="82" t="str">
        <f>IF(M62="","",HYPERLINK(M62,B62))</f>
        <v>DOMINO PHARMACY LTD.</v>
      </c>
    </row>
    <row r="63" spans="1:15" s="1" customFormat="1" ht="31.5" customHeight="1">
      <c r="A63" s="46">
        <v>61</v>
      </c>
      <c r="B63" s="47" t="s">
        <v>352</v>
      </c>
      <c r="C63" s="47" t="s">
        <v>353</v>
      </c>
      <c r="D63" s="75" t="s">
        <v>354</v>
      </c>
      <c r="E63" s="47" t="s">
        <v>19</v>
      </c>
      <c r="F63" s="77">
        <v>45144</v>
      </c>
      <c r="G63" s="47" t="s">
        <v>355</v>
      </c>
      <c r="H63" s="76" t="s">
        <v>340</v>
      </c>
      <c r="I63" s="70" t="s">
        <v>42</v>
      </c>
      <c r="J63" s="47" t="s">
        <v>43</v>
      </c>
      <c r="K63" s="1" t="str">
        <f t="shared" si="2"/>
        <v>REMINDER LETTER SHOULD BE SENT</v>
      </c>
      <c r="L63" s="81">
        <v>45444</v>
      </c>
      <c r="M63" s="1" t="s">
        <v>356</v>
      </c>
      <c r="N63" s="73" t="s">
        <v>357</v>
      </c>
      <c r="O63" s="82" t="str">
        <f>IF(M63="","",HYPERLINK(M63,B63))</f>
        <v>HOLEX PHARMACEUTCAL LTD.</v>
      </c>
    </row>
    <row r="64" spans="1:15" s="1" customFormat="1" ht="33.75" customHeight="1">
      <c r="A64" s="46">
        <v>62</v>
      </c>
      <c r="B64" s="47" t="s">
        <v>358</v>
      </c>
      <c r="C64" s="47" t="s">
        <v>359</v>
      </c>
      <c r="D64" s="75" t="s">
        <v>360</v>
      </c>
      <c r="E64" s="47" t="s">
        <v>19</v>
      </c>
      <c r="F64" s="77">
        <v>45052</v>
      </c>
      <c r="G64" s="47" t="s">
        <v>35</v>
      </c>
      <c r="H64" s="76" t="s">
        <v>340</v>
      </c>
      <c r="I64" s="70" t="s">
        <v>42</v>
      </c>
      <c r="J64" s="47" t="s">
        <v>43</v>
      </c>
      <c r="K64" s="1" t="str">
        <f t="shared" si="2"/>
        <v>REMINDER LETTER SHOULD BE SENT</v>
      </c>
      <c r="L64" s="81">
        <v>45444</v>
      </c>
      <c r="M64" s="1" t="s">
        <v>361</v>
      </c>
      <c r="N64" s="73" t="s">
        <v>362</v>
      </c>
      <c r="O64" s="82" t="str">
        <f>IF(M64="","",HYPERLINK(M64,B64))</f>
        <v>WINDON PHARMACY</v>
      </c>
    </row>
    <row r="65" spans="1:15" s="1" customFormat="1" ht="31.5" customHeight="1">
      <c r="A65" s="46">
        <v>63</v>
      </c>
      <c r="B65" s="47" t="s">
        <v>363</v>
      </c>
      <c r="C65" s="47" t="s">
        <v>364</v>
      </c>
      <c r="D65" s="75" t="s">
        <v>365</v>
      </c>
      <c r="E65" s="47" t="s">
        <v>19</v>
      </c>
      <c r="F65" s="77">
        <v>44963</v>
      </c>
      <c r="G65" s="47" t="s">
        <v>249</v>
      </c>
      <c r="H65" s="77" t="s">
        <v>329</v>
      </c>
      <c r="I65" s="70" t="s">
        <v>42</v>
      </c>
      <c r="J65" s="47" t="s">
        <v>43</v>
      </c>
      <c r="K65" s="1" t="str">
        <f t="shared" si="2"/>
        <v>REMINDER LETTER SHOULD BE SENT</v>
      </c>
      <c r="L65" s="81">
        <v>45261</v>
      </c>
      <c r="M65" s="1" t="s">
        <v>366</v>
      </c>
      <c r="N65" s="73" t="s">
        <v>367</v>
      </c>
      <c r="O65" s="82" t="str">
        <f>IF(M65="","",HYPERLINK(M65,B65))</f>
        <v xml:space="preserve">JOSFEKMART PHARMACY </v>
      </c>
    </row>
    <row r="66" spans="1:15" s="1" customFormat="1" ht="31.5" customHeight="1">
      <c r="A66" s="46">
        <v>64</v>
      </c>
      <c r="B66" s="47" t="s">
        <v>368</v>
      </c>
      <c r="C66" s="47" t="s">
        <v>369</v>
      </c>
      <c r="D66" s="75" t="s">
        <v>370</v>
      </c>
      <c r="E66" s="47" t="s">
        <v>19</v>
      </c>
      <c r="F66" s="77">
        <v>45175</v>
      </c>
      <c r="G66" s="47" t="s">
        <v>371</v>
      </c>
      <c r="H66" s="76" t="s">
        <v>340</v>
      </c>
      <c r="I66" s="70" t="s">
        <v>22</v>
      </c>
      <c r="J66" s="47" t="s">
        <v>43</v>
      </c>
      <c r="K66" s="1" t="str">
        <f t="shared" si="2"/>
        <v>CAPA VERIFICATION SHOULD BE SCHEDULED</v>
      </c>
      <c r="L66" s="81">
        <v>45444</v>
      </c>
      <c r="M66" s="1" t="s">
        <v>372</v>
      </c>
      <c r="N66" s="73" t="s">
        <v>373</v>
      </c>
      <c r="O66" s="82" t="str">
        <f>IF(M66="","",HYPERLINK(M66,B66))</f>
        <v>LINCO STAR PHARMACEUTICALS</v>
      </c>
    </row>
    <row r="67" spans="1:15" s="1" customFormat="1" ht="31.5" customHeight="1">
      <c r="A67" s="46">
        <v>65</v>
      </c>
      <c r="B67" s="47" t="s">
        <v>374</v>
      </c>
      <c r="C67" s="47" t="s">
        <v>375</v>
      </c>
      <c r="D67" s="75" t="s">
        <v>376</v>
      </c>
      <c r="E67" s="47" t="s">
        <v>19</v>
      </c>
      <c r="F67" s="77">
        <v>45052</v>
      </c>
      <c r="G67" s="47" t="s">
        <v>249</v>
      </c>
      <c r="H67" s="77" t="s">
        <v>329</v>
      </c>
      <c r="I67" s="70" t="s">
        <v>42</v>
      </c>
      <c r="J67" s="47" t="s">
        <v>43</v>
      </c>
      <c r="K67" s="1" t="str">
        <f t="shared" si="2"/>
        <v>REMINDER LETTER SHOULD BE SENT</v>
      </c>
      <c r="L67" s="81">
        <v>45261</v>
      </c>
      <c r="M67" s="1" t="s">
        <v>377</v>
      </c>
      <c r="N67" s="73" t="s">
        <v>378</v>
      </c>
      <c r="O67" s="82" t="str">
        <f>IF(M67="","",HYPERLINK(M67,B67))</f>
        <v>E. EGBESON CHEM. PHARM.</v>
      </c>
    </row>
    <row r="68" spans="1:15" s="1" customFormat="1" ht="33.75" customHeight="1">
      <c r="A68" s="46">
        <v>66</v>
      </c>
      <c r="B68" s="47" t="s">
        <v>379</v>
      </c>
      <c r="C68" s="47" t="s">
        <v>380</v>
      </c>
      <c r="D68" s="75" t="s">
        <v>381</v>
      </c>
      <c r="E68" s="47" t="s">
        <v>19</v>
      </c>
      <c r="F68" s="77">
        <v>45052</v>
      </c>
      <c r="G68" s="47" t="s">
        <v>249</v>
      </c>
      <c r="H68" s="77" t="s">
        <v>329</v>
      </c>
      <c r="I68" s="70" t="s">
        <v>42</v>
      </c>
      <c r="J68" s="47" t="s">
        <v>43</v>
      </c>
      <c r="K68" s="1" t="str">
        <f t="shared" si="2"/>
        <v>REMINDER LETTER SHOULD BE SENT</v>
      </c>
      <c r="L68" s="81">
        <v>45261</v>
      </c>
      <c r="M68" s="1" t="s">
        <v>382</v>
      </c>
      <c r="N68" s="73" t="s">
        <v>383</v>
      </c>
      <c r="O68" s="82" t="str">
        <f>IF(M68="","",HYPERLINK(M68,B68))</f>
        <v>DE GOOD GOD PHARMACY</v>
      </c>
    </row>
    <row r="69" spans="1:15" s="1" customFormat="1" ht="33.75" customHeight="1">
      <c r="A69" s="46">
        <v>67</v>
      </c>
      <c r="B69" s="47" t="s">
        <v>384</v>
      </c>
      <c r="C69" s="47" t="s">
        <v>385</v>
      </c>
      <c r="D69" s="75" t="s">
        <v>386</v>
      </c>
      <c r="E69" s="47" t="s">
        <v>19</v>
      </c>
      <c r="F69" s="77">
        <v>45113</v>
      </c>
      <c r="G69" s="47" t="s">
        <v>249</v>
      </c>
      <c r="H69" s="77" t="s">
        <v>329</v>
      </c>
      <c r="I69" s="70" t="s">
        <v>42</v>
      </c>
      <c r="J69" s="47" t="s">
        <v>43</v>
      </c>
      <c r="K69" s="1" t="str">
        <f t="shared" si="2"/>
        <v>REMINDER LETTER SHOULD BE SENT</v>
      </c>
      <c r="L69" s="81">
        <v>45261</v>
      </c>
      <c r="M69" s="1" t="s">
        <v>387</v>
      </c>
      <c r="N69" s="73" t="s">
        <v>388</v>
      </c>
      <c r="O69" s="82" t="str">
        <f>IF(M69="","",HYPERLINK(M69,B69))</f>
        <v>ALKATRICE PHARMACEUTICALS</v>
      </c>
    </row>
    <row r="70" spans="1:15" s="1" customFormat="1" ht="30" customHeight="1">
      <c r="A70" s="46">
        <v>68</v>
      </c>
      <c r="B70" s="47" t="s">
        <v>389</v>
      </c>
      <c r="C70" s="47" t="s">
        <v>390</v>
      </c>
      <c r="D70" s="75" t="s">
        <v>391</v>
      </c>
      <c r="E70" s="47" t="s">
        <v>19</v>
      </c>
      <c r="F70" s="77">
        <v>45113</v>
      </c>
      <c r="G70" s="47" t="s">
        <v>249</v>
      </c>
      <c r="H70" s="77" t="s">
        <v>329</v>
      </c>
      <c r="I70" s="70" t="s">
        <v>42</v>
      </c>
      <c r="J70" s="47" t="s">
        <v>43</v>
      </c>
      <c r="K70" s="1" t="str">
        <f t="shared" si="2"/>
        <v>REMINDER LETTER SHOULD BE SENT</v>
      </c>
      <c r="L70" s="81">
        <v>45261</v>
      </c>
      <c r="M70" s="1" t="s">
        <v>392</v>
      </c>
      <c r="N70" s="73" t="s">
        <v>393</v>
      </c>
      <c r="O70" s="82" t="str">
        <f>IF(M70="","",HYPERLINK(M70,B70))</f>
        <v>LIVE MORE PHARMACY</v>
      </c>
    </row>
    <row r="71" spans="1:15" s="1" customFormat="1" ht="35.25" customHeight="1">
      <c r="A71" s="46">
        <v>69</v>
      </c>
      <c r="B71" s="47" t="s">
        <v>394</v>
      </c>
      <c r="C71" s="47" t="s">
        <v>395</v>
      </c>
      <c r="D71" s="75" t="s">
        <v>396</v>
      </c>
      <c r="E71" s="47" t="s">
        <v>19</v>
      </c>
      <c r="F71" s="77">
        <v>45175</v>
      </c>
      <c r="G71" s="47" t="s">
        <v>249</v>
      </c>
      <c r="H71" s="77" t="s">
        <v>397</v>
      </c>
      <c r="I71" s="70" t="s">
        <v>42</v>
      </c>
      <c r="J71" s="47" t="s">
        <v>43</v>
      </c>
      <c r="K71" s="1" t="str">
        <f t="shared" si="2"/>
        <v>REMINDER LETTER SHOULD BE SENT</v>
      </c>
      <c r="L71" s="81">
        <v>45261</v>
      </c>
      <c r="M71" s="1" t="s">
        <v>398</v>
      </c>
      <c r="N71" s="73" t="s">
        <v>399</v>
      </c>
      <c r="O71" s="82" t="str">
        <f>IF(M71="","",HYPERLINK(M71,B71))</f>
        <v>UZOKENN PHARMACY</v>
      </c>
    </row>
    <row r="72" spans="1:15" s="1" customFormat="1" ht="36" customHeight="1">
      <c r="A72" s="46">
        <v>70</v>
      </c>
      <c r="B72" s="47" t="s">
        <v>400</v>
      </c>
      <c r="C72" s="47" t="s">
        <v>401</v>
      </c>
      <c r="D72" s="75" t="s">
        <v>402</v>
      </c>
      <c r="E72" s="47" t="s">
        <v>19</v>
      </c>
      <c r="F72" s="76" t="s">
        <v>403</v>
      </c>
      <c r="G72" s="47" t="s">
        <v>249</v>
      </c>
      <c r="H72" s="77" t="s">
        <v>397</v>
      </c>
      <c r="I72" s="70" t="s">
        <v>42</v>
      </c>
      <c r="J72" s="47" t="s">
        <v>43</v>
      </c>
      <c r="K72" s="1" t="str">
        <f t="shared" si="2"/>
        <v>REMINDER LETTER SHOULD BE SENT</v>
      </c>
      <c r="L72" s="81">
        <v>45261</v>
      </c>
      <c r="M72" s="1" t="s">
        <v>404</v>
      </c>
      <c r="N72" s="73" t="s">
        <v>405</v>
      </c>
      <c r="O72" s="82" t="str">
        <f>IF(M72="","",HYPERLINK(M72,B72))</f>
        <v>EVITA MOORE NIG. LTD.</v>
      </c>
    </row>
    <row r="73" spans="1:15" s="1" customFormat="1" ht="34.5" customHeight="1">
      <c r="A73" s="46">
        <v>71</v>
      </c>
      <c r="B73" s="47" t="s">
        <v>406</v>
      </c>
      <c r="C73" s="47" t="s">
        <v>407</v>
      </c>
      <c r="D73" s="75" t="s">
        <v>408</v>
      </c>
      <c r="E73" s="47" t="s">
        <v>19</v>
      </c>
      <c r="F73" s="77">
        <v>45083</v>
      </c>
      <c r="G73" s="47" t="s">
        <v>20</v>
      </c>
      <c r="H73" s="76" t="s">
        <v>409</v>
      </c>
      <c r="I73" s="70" t="s">
        <v>42</v>
      </c>
      <c r="J73" s="47" t="s">
        <v>43</v>
      </c>
      <c r="K73" s="1" t="str">
        <f t="shared" si="2"/>
        <v>REMINDER LETTER SHOULD BE SENT</v>
      </c>
      <c r="L73" s="81">
        <v>45261</v>
      </c>
      <c r="M73" s="1" t="s">
        <v>410</v>
      </c>
      <c r="N73" s="73" t="s">
        <v>411</v>
      </c>
      <c r="O73" s="82" t="str">
        <f>IF(M73="","",HYPERLINK(M73,B73))</f>
        <v>GLACK PHARMACEUTICALS LTD.</v>
      </c>
    </row>
    <row r="74" spans="1:15" s="1" customFormat="1" ht="30.75" customHeight="1">
      <c r="A74" s="46">
        <v>72</v>
      </c>
      <c r="B74" s="47" t="s">
        <v>412</v>
      </c>
      <c r="C74" s="47" t="s">
        <v>413</v>
      </c>
      <c r="D74" s="75" t="s">
        <v>414</v>
      </c>
      <c r="E74" s="47" t="s">
        <v>19</v>
      </c>
      <c r="F74" s="76" t="s">
        <v>415</v>
      </c>
      <c r="G74" s="47" t="s">
        <v>416</v>
      </c>
      <c r="H74" s="76" t="s">
        <v>72</v>
      </c>
      <c r="I74" s="70" t="s">
        <v>72</v>
      </c>
      <c r="J74" s="47" t="s">
        <v>23</v>
      </c>
      <c r="K74" s="1" t="s">
        <v>417</v>
      </c>
      <c r="L74" s="81">
        <v>45444</v>
      </c>
      <c r="M74" s="1" t="s">
        <v>418</v>
      </c>
      <c r="N74" s="73" t="s">
        <v>419</v>
      </c>
      <c r="O74" s="82" t="str">
        <f>IF(M74="","",HYPERLINK(M74,B74))</f>
        <v>DRUG FIELD PHARMACEUTICALS</v>
      </c>
    </row>
    <row r="75" spans="1:15" s="1" customFormat="1" ht="36" customHeight="1">
      <c r="A75" s="46">
        <v>73</v>
      </c>
      <c r="B75" s="47" t="s">
        <v>420</v>
      </c>
      <c r="C75" s="47" t="s">
        <v>421</v>
      </c>
      <c r="D75" s="75" t="s">
        <v>422</v>
      </c>
      <c r="E75" s="47" t="s">
        <v>19</v>
      </c>
      <c r="F75" s="76" t="s">
        <v>415</v>
      </c>
      <c r="G75" s="47" t="s">
        <v>166</v>
      </c>
      <c r="H75" s="77">
        <v>45160</v>
      </c>
      <c r="I75" s="70" t="s">
        <v>42</v>
      </c>
      <c r="J75" s="47" t="s">
        <v>43</v>
      </c>
      <c r="K75" s="1" t="str">
        <f t="shared" ref="K75:K89" si="3">IF(I75="YES","CAPA VERIFICATION SHOULD BE SCHEDULED",IF(I75="NO","REMINDER LETTER SHOULD BE SENT",""))</f>
        <v>REMINDER LETTER SHOULD BE SENT</v>
      </c>
      <c r="L75" s="81">
        <v>45444</v>
      </c>
      <c r="M75" s="1" t="s">
        <v>423</v>
      </c>
      <c r="N75" s="73" t="s">
        <v>424</v>
      </c>
      <c r="O75" s="82" t="str">
        <f>IF(M75="","",HYPERLINK(M75,B75))</f>
        <v>DIVINE LIFT PHARMACEUTICALS</v>
      </c>
    </row>
    <row r="76" spans="1:15" s="1" customFormat="1" ht="28.5" customHeight="1">
      <c r="A76" s="46">
        <v>74</v>
      </c>
      <c r="B76" s="47" t="s">
        <v>314</v>
      </c>
      <c r="C76" s="47" t="s">
        <v>315</v>
      </c>
      <c r="D76" s="75" t="s">
        <v>316</v>
      </c>
      <c r="E76" s="47" t="s">
        <v>19</v>
      </c>
      <c r="F76" s="76" t="s">
        <v>317</v>
      </c>
      <c r="G76" s="47" t="s">
        <v>35</v>
      </c>
      <c r="H76" s="76"/>
      <c r="I76" s="70" t="s">
        <v>22</v>
      </c>
      <c r="J76" s="47" t="s">
        <v>43</v>
      </c>
      <c r="K76" s="1" t="str">
        <f t="shared" si="3"/>
        <v>CAPA VERIFICATION SHOULD BE SCHEDULED</v>
      </c>
      <c r="L76" s="81">
        <v>45444</v>
      </c>
      <c r="M76" s="1" t="s">
        <v>318</v>
      </c>
      <c r="N76" s="73" t="s">
        <v>319</v>
      </c>
      <c r="O76" s="82" t="str">
        <f>IF(M76="","",HYPERLINK(M76,B76))</f>
        <v>CHEV PHARMACEUTICALS</v>
      </c>
    </row>
    <row r="77" spans="1:15" s="1" customFormat="1" ht="34.5" customHeight="1">
      <c r="A77" s="46">
        <v>75</v>
      </c>
      <c r="B77" s="47" t="s">
        <v>425</v>
      </c>
      <c r="C77" s="47" t="s">
        <v>426</v>
      </c>
      <c r="D77" s="75" t="s">
        <v>427</v>
      </c>
      <c r="E77" s="47" t="s">
        <v>19</v>
      </c>
      <c r="F77" s="77">
        <v>44932</v>
      </c>
      <c r="G77" s="47" t="s">
        <v>35</v>
      </c>
      <c r="H77" s="77" t="s">
        <v>329</v>
      </c>
      <c r="I77" s="70" t="s">
        <v>42</v>
      </c>
      <c r="J77" s="47" t="s">
        <v>43</v>
      </c>
      <c r="K77" s="1" t="str">
        <f t="shared" si="3"/>
        <v>REMINDER LETTER SHOULD BE SENT</v>
      </c>
      <c r="L77" s="81">
        <v>45444</v>
      </c>
      <c r="M77" s="82" t="s">
        <v>428</v>
      </c>
      <c r="N77" s="73" t="s">
        <v>429</v>
      </c>
      <c r="O77" s="82" t="str">
        <f>IF(M77="","",HYPERLINK(M77,B77))</f>
        <v>A.N. CHIDOZIE PHARMACEUTICALS</v>
      </c>
    </row>
    <row r="78" spans="1:15" s="1" customFormat="1" ht="42.75" customHeight="1">
      <c r="A78" s="46">
        <v>76</v>
      </c>
      <c r="B78" s="47" t="s">
        <v>430</v>
      </c>
      <c r="C78" s="47" t="s">
        <v>431</v>
      </c>
      <c r="D78" s="75" t="s">
        <v>432</v>
      </c>
      <c r="E78" s="47" t="s">
        <v>19</v>
      </c>
      <c r="F78" s="77">
        <v>44932</v>
      </c>
      <c r="G78" s="47" t="s">
        <v>416</v>
      </c>
      <c r="H78" s="77" t="s">
        <v>329</v>
      </c>
      <c r="I78" s="70" t="s">
        <v>42</v>
      </c>
      <c r="J78" s="47" t="s">
        <v>43</v>
      </c>
      <c r="K78" s="1" t="str">
        <f t="shared" si="3"/>
        <v>REMINDER LETTER SHOULD BE SENT</v>
      </c>
      <c r="L78" s="81">
        <v>45444</v>
      </c>
      <c r="M78" s="1" t="s">
        <v>433</v>
      </c>
      <c r="N78" s="73" t="s">
        <v>434</v>
      </c>
      <c r="O78" s="82" t="str">
        <f>IF(M78="","",HYPERLINK(M78,B78))</f>
        <v xml:space="preserve">OBITEX DIVINE PHARMACEUTICALS
</v>
      </c>
    </row>
    <row r="79" spans="1:15" s="1" customFormat="1" ht="115.5">
      <c r="A79" s="46">
        <v>77</v>
      </c>
      <c r="B79" s="47" t="s">
        <v>435</v>
      </c>
      <c r="C79" s="47" t="s">
        <v>436</v>
      </c>
      <c r="D79" s="75" t="s">
        <v>437</v>
      </c>
      <c r="E79" s="47" t="s">
        <v>19</v>
      </c>
      <c r="F79" s="77">
        <v>45144</v>
      </c>
      <c r="G79" s="47" t="s">
        <v>416</v>
      </c>
      <c r="H79" s="76" t="s">
        <v>340</v>
      </c>
      <c r="I79" s="70" t="s">
        <v>42</v>
      </c>
      <c r="J79" s="47" t="s">
        <v>43</v>
      </c>
      <c r="K79" s="1" t="str">
        <f t="shared" si="3"/>
        <v>REMINDER LETTER SHOULD BE SENT</v>
      </c>
      <c r="L79" s="81">
        <v>45444</v>
      </c>
      <c r="M79" s="1" t="s">
        <v>438</v>
      </c>
      <c r="N79" s="73" t="s">
        <v>439</v>
      </c>
      <c r="O79" s="82" t="str">
        <f>IF(M79="","",HYPERLINK(M79,B79))</f>
        <v xml:space="preserve">DRUG AMBASSADOR PHARM LTD.
</v>
      </c>
    </row>
    <row r="80" spans="1:15" s="1" customFormat="1" ht="30.75" customHeight="1">
      <c r="A80" s="46">
        <v>78</v>
      </c>
      <c r="B80" s="47" t="s">
        <v>440</v>
      </c>
      <c r="C80" s="47" t="s">
        <v>441</v>
      </c>
      <c r="D80" s="75" t="s">
        <v>442</v>
      </c>
      <c r="E80" s="47" t="s">
        <v>19</v>
      </c>
      <c r="F80" s="77">
        <v>45114</v>
      </c>
      <c r="G80" s="47" t="s">
        <v>35</v>
      </c>
      <c r="H80" s="76" t="s">
        <v>443</v>
      </c>
      <c r="I80" s="70" t="s">
        <v>42</v>
      </c>
      <c r="J80" s="47" t="s">
        <v>43</v>
      </c>
      <c r="K80" s="1" t="str">
        <f t="shared" si="3"/>
        <v>REMINDER LETTER SHOULD BE SENT</v>
      </c>
      <c r="L80" s="81">
        <v>45474</v>
      </c>
      <c r="M80" s="1" t="s">
        <v>444</v>
      </c>
      <c r="N80" s="73" t="s">
        <v>445</v>
      </c>
      <c r="O80" s="82" t="str">
        <f>IF(M80="","",HYPERLINK(M80,B80))</f>
        <v>BLESSED NOEDYKE PHARM. CO</v>
      </c>
    </row>
    <row r="81" spans="1:15" s="1" customFormat="1" ht="46.5" customHeight="1">
      <c r="A81" s="46">
        <v>79</v>
      </c>
      <c r="B81" s="47" t="s">
        <v>446</v>
      </c>
      <c r="C81" s="47" t="s">
        <v>447</v>
      </c>
      <c r="D81" s="75" t="s">
        <v>448</v>
      </c>
      <c r="E81" s="47" t="s">
        <v>19</v>
      </c>
      <c r="F81" s="76" t="s">
        <v>449</v>
      </c>
      <c r="G81" s="47" t="s">
        <v>35</v>
      </c>
      <c r="H81" s="77">
        <v>44934</v>
      </c>
      <c r="I81" s="70" t="s">
        <v>22</v>
      </c>
      <c r="J81" s="47" t="s">
        <v>23</v>
      </c>
      <c r="K81" s="1" t="str">
        <f t="shared" si="3"/>
        <v>CAPA VERIFICATION SHOULD BE SCHEDULED</v>
      </c>
      <c r="L81" s="1" t="s">
        <v>204</v>
      </c>
      <c r="M81" s="1" t="s">
        <v>450</v>
      </c>
      <c r="N81" s="73" t="s">
        <v>451</v>
      </c>
      <c r="O81" s="82" t="str">
        <f>IF(M81="","",HYPERLINK(M81,B81))</f>
        <v>ELBE PHARMA.NIG.LTD</v>
      </c>
    </row>
    <row r="82" spans="1:15" s="1" customFormat="1" ht="71.25" customHeight="1">
      <c r="A82" s="46">
        <v>80</v>
      </c>
      <c r="B82" s="47" t="s">
        <v>452</v>
      </c>
      <c r="C82" s="47" t="s">
        <v>453</v>
      </c>
      <c r="D82" s="75" t="s">
        <v>454</v>
      </c>
      <c r="E82" s="47" t="s">
        <v>19</v>
      </c>
      <c r="F82" s="76" t="s">
        <v>455</v>
      </c>
      <c r="G82" s="47" t="s">
        <v>456</v>
      </c>
      <c r="H82" s="76" t="s">
        <v>457</v>
      </c>
      <c r="I82" s="70" t="s">
        <v>22</v>
      </c>
      <c r="J82" s="47" t="s">
        <v>23</v>
      </c>
      <c r="K82" s="1" t="str">
        <f t="shared" si="3"/>
        <v>CAPA VERIFICATION SHOULD BE SCHEDULED</v>
      </c>
      <c r="L82" s="1" t="s">
        <v>204</v>
      </c>
      <c r="M82" s="1" t="s">
        <v>458</v>
      </c>
      <c r="N82" s="73" t="s">
        <v>459</v>
      </c>
      <c r="O82" s="82" t="str">
        <f>IF(M82="","",HYPERLINK(M82,B82))</f>
        <v>GREENLIFE PHARMA</v>
      </c>
    </row>
    <row r="83" spans="1:15" s="1" customFormat="1" ht="66" customHeight="1">
      <c r="A83" s="46">
        <v>81</v>
      </c>
      <c r="B83" s="47" t="s">
        <v>460</v>
      </c>
      <c r="C83" s="47" t="s">
        <v>461</v>
      </c>
      <c r="D83" s="75" t="s">
        <v>462</v>
      </c>
      <c r="E83" s="47" t="s">
        <v>19</v>
      </c>
      <c r="F83" s="76" t="s">
        <v>463</v>
      </c>
      <c r="G83" s="47" t="s">
        <v>416</v>
      </c>
      <c r="H83" s="77">
        <v>44934</v>
      </c>
      <c r="I83" s="70" t="s">
        <v>42</v>
      </c>
      <c r="J83" s="47" t="s">
        <v>23</v>
      </c>
      <c r="K83" s="1" t="str">
        <f t="shared" si="3"/>
        <v>REMINDER LETTER SHOULD BE SENT</v>
      </c>
      <c r="L83" s="81">
        <v>45292</v>
      </c>
      <c r="M83" s="1" t="s">
        <v>464</v>
      </c>
      <c r="N83" s="73" t="s">
        <v>465</v>
      </c>
      <c r="O83" s="82" t="str">
        <f>IF(M83="","",HYPERLINK(M83,B83))</f>
        <v>EMBASSY PHARM</v>
      </c>
    </row>
    <row r="84" spans="1:15" s="1" customFormat="1" ht="56.25" customHeight="1">
      <c r="A84" s="46">
        <v>82</v>
      </c>
      <c r="B84" s="47" t="s">
        <v>466</v>
      </c>
      <c r="C84" s="47" t="s">
        <v>467</v>
      </c>
      <c r="D84" s="75" t="s">
        <v>468</v>
      </c>
      <c r="E84" s="47" t="s">
        <v>19</v>
      </c>
      <c r="F84" s="76" t="s">
        <v>463</v>
      </c>
      <c r="G84" s="47" t="s">
        <v>355</v>
      </c>
      <c r="H84" s="77">
        <v>44934</v>
      </c>
      <c r="I84" s="70" t="s">
        <v>22</v>
      </c>
      <c r="J84" s="47" t="s">
        <v>23</v>
      </c>
      <c r="K84" s="1" t="str">
        <f t="shared" si="3"/>
        <v>CAPA VERIFICATION SHOULD BE SCHEDULED</v>
      </c>
      <c r="L84" s="1" t="s">
        <v>204</v>
      </c>
      <c r="M84" s="1" t="s">
        <v>469</v>
      </c>
      <c r="N84" s="73" t="s">
        <v>470</v>
      </c>
      <c r="O84" s="82" t="str">
        <f>IF(M84="","",HYPERLINK(M84,B84))</f>
        <v>TEKA PHARMACEUTICALS</v>
      </c>
    </row>
    <row r="85" spans="1:15" s="1" customFormat="1" ht="53.25" customHeight="1">
      <c r="A85" s="46">
        <v>83</v>
      </c>
      <c r="B85" s="47" t="s">
        <v>471</v>
      </c>
      <c r="C85" s="47" t="s">
        <v>472</v>
      </c>
      <c r="D85" s="75" t="s">
        <v>473</v>
      </c>
      <c r="E85" s="47" t="s">
        <v>19</v>
      </c>
      <c r="F85" s="76" t="s">
        <v>474</v>
      </c>
      <c r="G85" s="47" t="s">
        <v>475</v>
      </c>
      <c r="H85" s="76" t="s">
        <v>476</v>
      </c>
      <c r="I85" s="70" t="s">
        <v>22</v>
      </c>
      <c r="J85" s="47" t="s">
        <v>23</v>
      </c>
      <c r="K85" s="1" t="str">
        <f t="shared" si="3"/>
        <v>CAPA VERIFICATION SHOULD BE SCHEDULED</v>
      </c>
      <c r="L85" s="81">
        <v>45292</v>
      </c>
      <c r="M85" s="1" t="s">
        <v>477</v>
      </c>
      <c r="N85" s="73" t="s">
        <v>478</v>
      </c>
      <c r="O85" s="82" t="str">
        <f>IF(M85="","",HYPERLINK(M85,B85))</f>
        <v>CLARION HEALTHCARE</v>
      </c>
    </row>
    <row r="86" spans="1:15" s="1" customFormat="1" ht="46.5" customHeight="1">
      <c r="A86" s="46">
        <v>84</v>
      </c>
      <c r="B86" s="47" t="s">
        <v>479</v>
      </c>
      <c r="C86" s="47" t="s">
        <v>480</v>
      </c>
      <c r="D86" s="75" t="s">
        <v>481</v>
      </c>
      <c r="E86" s="47" t="s">
        <v>19</v>
      </c>
      <c r="F86" s="76" t="s">
        <v>449</v>
      </c>
      <c r="G86" s="47" t="s">
        <v>35</v>
      </c>
      <c r="H86" s="76" t="s">
        <v>482</v>
      </c>
      <c r="I86" s="70" t="s">
        <v>22</v>
      </c>
      <c r="J86" s="47" t="s">
        <v>23</v>
      </c>
      <c r="K86" s="1" t="str">
        <f t="shared" si="3"/>
        <v>CAPA VERIFICATION SHOULD BE SCHEDULED</v>
      </c>
      <c r="L86" s="81">
        <v>45474</v>
      </c>
      <c r="M86" s="1" t="s">
        <v>483</v>
      </c>
      <c r="N86" s="73" t="s">
        <v>484</v>
      </c>
      <c r="O86" s="82" t="str">
        <f>IF(M86="","",HYPERLINK(M86,B86))</f>
        <v>HUGO DRUGS LIMITED</v>
      </c>
    </row>
    <row r="87" spans="1:15" s="1" customFormat="1" ht="63.75" customHeight="1">
      <c r="A87" s="46">
        <v>85</v>
      </c>
      <c r="B87" s="47" t="s">
        <v>485</v>
      </c>
      <c r="C87" s="47" t="s">
        <v>486</v>
      </c>
      <c r="D87" s="75" t="s">
        <v>487</v>
      </c>
      <c r="E87" s="47" t="s">
        <v>19</v>
      </c>
      <c r="F87" s="76" t="s">
        <v>488</v>
      </c>
      <c r="G87" s="47" t="s">
        <v>355</v>
      </c>
      <c r="H87" s="77">
        <v>44934</v>
      </c>
      <c r="I87" s="70" t="s">
        <v>22</v>
      </c>
      <c r="J87" s="47" t="s">
        <v>43</v>
      </c>
      <c r="K87" s="1" t="str">
        <f t="shared" si="3"/>
        <v>CAPA VERIFICATION SHOULD BE SCHEDULED</v>
      </c>
      <c r="L87" s="81">
        <v>45474</v>
      </c>
      <c r="M87" s="1" t="s">
        <v>489</v>
      </c>
      <c r="N87" s="73" t="s">
        <v>490</v>
      </c>
      <c r="O87" s="82" t="str">
        <f>IF(M87="","",HYPERLINK(M87,B87))</f>
        <v>MARK PHARMACEUTICALS</v>
      </c>
    </row>
    <row r="88" spans="1:15" s="1" customFormat="1" ht="63.75" customHeight="1">
      <c r="A88" s="46">
        <v>86</v>
      </c>
      <c r="B88" s="47" t="s">
        <v>491</v>
      </c>
      <c r="C88" s="47" t="s">
        <v>492</v>
      </c>
      <c r="D88" s="75" t="s">
        <v>493</v>
      </c>
      <c r="E88" s="47" t="s">
        <v>19</v>
      </c>
      <c r="F88" s="76" t="s">
        <v>488</v>
      </c>
      <c r="G88" s="47" t="s">
        <v>20</v>
      </c>
      <c r="H88" s="76" t="s">
        <v>72</v>
      </c>
      <c r="I88" s="70" t="s">
        <v>72</v>
      </c>
      <c r="J88" s="47" t="s">
        <v>494</v>
      </c>
      <c r="K88" s="1" t="str">
        <f t="shared" si="3"/>
        <v/>
      </c>
      <c r="L88" s="81">
        <v>45839</v>
      </c>
      <c r="M88" s="1" t="s">
        <v>495</v>
      </c>
      <c r="N88" s="73" t="s">
        <v>496</v>
      </c>
      <c r="O88" s="82" t="str">
        <f>IF(M88="","",HYPERLINK(M88,B88))</f>
        <v>DERM PHARMACEUTICALS</v>
      </c>
    </row>
    <row r="89" spans="1:15" s="1" customFormat="1" ht="45" customHeight="1">
      <c r="A89" s="46">
        <v>87</v>
      </c>
      <c r="B89" s="47" t="s">
        <v>497</v>
      </c>
      <c r="C89" s="47" t="s">
        <v>498</v>
      </c>
      <c r="D89" s="75" t="s">
        <v>499</v>
      </c>
      <c r="E89" s="47" t="s">
        <v>19</v>
      </c>
      <c r="F89" s="76" t="s">
        <v>463</v>
      </c>
      <c r="G89" s="47" t="s">
        <v>500</v>
      </c>
      <c r="H89" s="77">
        <v>44934</v>
      </c>
      <c r="I89" s="70" t="s">
        <v>22</v>
      </c>
      <c r="J89" s="47" t="s">
        <v>23</v>
      </c>
      <c r="K89" s="1" t="str">
        <f t="shared" si="3"/>
        <v>CAPA VERIFICATION SHOULD BE SCHEDULED</v>
      </c>
      <c r="L89" s="1" t="s">
        <v>204</v>
      </c>
      <c r="M89" s="1" t="s">
        <v>501</v>
      </c>
      <c r="N89" s="73" t="s">
        <v>502</v>
      </c>
      <c r="O89" s="82" t="str">
        <f>IF(M89="","",HYPERLINK(M89,B89))</f>
        <v>SAGAR VITACEUTICALS</v>
      </c>
    </row>
    <row r="90" spans="1:15" s="1" customFormat="1" ht="64.5" customHeight="1">
      <c r="A90" s="46">
        <v>88</v>
      </c>
      <c r="B90" s="47" t="s">
        <v>503</v>
      </c>
      <c r="C90" s="47" t="s">
        <v>504</v>
      </c>
      <c r="D90" s="75" t="s">
        <v>505</v>
      </c>
      <c r="E90" s="47" t="s">
        <v>19</v>
      </c>
      <c r="F90" s="76" t="s">
        <v>449</v>
      </c>
      <c r="G90" s="47" t="s">
        <v>20</v>
      </c>
      <c r="H90" s="77">
        <v>44934</v>
      </c>
      <c r="I90" s="70" t="s">
        <v>22</v>
      </c>
      <c r="J90" s="47" t="s">
        <v>23</v>
      </c>
      <c r="K90" s="1" t="s">
        <v>24</v>
      </c>
      <c r="L90" s="1" t="s">
        <v>204</v>
      </c>
      <c r="M90" s="1" t="s">
        <v>506</v>
      </c>
      <c r="N90" s="73" t="s">
        <v>507</v>
      </c>
      <c r="O90" s="82" t="str">
        <f>IF(M90="","",HYPERLINK(M90,B90))</f>
        <v>VINCO PHARMACEUTICAL</v>
      </c>
    </row>
    <row r="91" spans="1:15" s="1" customFormat="1" ht="51.75" customHeight="1">
      <c r="A91" s="46">
        <v>89</v>
      </c>
      <c r="B91" s="47" t="s">
        <v>508</v>
      </c>
      <c r="C91" s="47" t="s">
        <v>509</v>
      </c>
      <c r="D91" s="75" t="s">
        <v>510</v>
      </c>
      <c r="E91" s="47" t="s">
        <v>19</v>
      </c>
      <c r="F91" s="76" t="s">
        <v>449</v>
      </c>
      <c r="G91" s="47" t="s">
        <v>35</v>
      </c>
      <c r="H91" s="77">
        <v>44934</v>
      </c>
      <c r="I91" s="70" t="s">
        <v>42</v>
      </c>
      <c r="J91" s="47" t="s">
        <v>43</v>
      </c>
      <c r="K91" s="1" t="str">
        <f t="shared" ref="K91:K97" si="4">IF(I91="YES","CAPA VERIFICATION SHOULD BE SCHEDULED",IF(I91="NO","REMINDER LETTER SHOULD BE SENT",""))</f>
        <v>REMINDER LETTER SHOULD BE SENT</v>
      </c>
      <c r="L91" s="81">
        <v>45474</v>
      </c>
      <c r="M91" s="1" t="s">
        <v>511</v>
      </c>
      <c r="N91" s="73" t="s">
        <v>512</v>
      </c>
      <c r="O91" s="82" t="str">
        <f>IF(M91="","",HYPERLINK(M91,B91))</f>
        <v>ONIFAM LABORATORIES LTD.</v>
      </c>
    </row>
    <row r="92" spans="1:15" s="1" customFormat="1" ht="49.5" customHeight="1">
      <c r="A92" s="46">
        <v>90</v>
      </c>
      <c r="B92" s="47" t="s">
        <v>513</v>
      </c>
      <c r="C92" s="47" t="s">
        <v>514</v>
      </c>
      <c r="D92" s="75" t="s">
        <v>515</v>
      </c>
      <c r="E92" s="47" t="s">
        <v>19</v>
      </c>
      <c r="F92" s="76" t="s">
        <v>516</v>
      </c>
      <c r="G92" s="47" t="s">
        <v>35</v>
      </c>
      <c r="H92" s="77">
        <v>44934</v>
      </c>
      <c r="I92" s="70" t="s">
        <v>42</v>
      </c>
      <c r="J92" s="47" t="s">
        <v>43</v>
      </c>
      <c r="K92" s="1" t="str">
        <f t="shared" si="4"/>
        <v>REMINDER LETTER SHOULD BE SENT</v>
      </c>
      <c r="L92" s="81">
        <v>45505</v>
      </c>
      <c r="M92" s="82" t="s">
        <v>517</v>
      </c>
      <c r="N92" s="73" t="s">
        <v>518</v>
      </c>
      <c r="O92" s="82" t="str">
        <f>IF(M92="","",HYPERLINK(M92,B92))</f>
        <v>AGARY PHARMACEUTICALS</v>
      </c>
    </row>
    <row r="93" spans="1:15" s="1" customFormat="1" ht="44.25" customHeight="1">
      <c r="A93" s="46">
        <v>91</v>
      </c>
      <c r="B93" s="47" t="s">
        <v>519</v>
      </c>
      <c r="C93" s="47" t="s">
        <v>520</v>
      </c>
      <c r="D93" s="75" t="s">
        <v>521</v>
      </c>
      <c r="E93" s="47" t="s">
        <v>19</v>
      </c>
      <c r="F93" s="76" t="s">
        <v>522</v>
      </c>
      <c r="G93" s="47" t="s">
        <v>20</v>
      </c>
      <c r="H93" s="77">
        <v>44934</v>
      </c>
      <c r="I93" s="70" t="s">
        <v>42</v>
      </c>
      <c r="J93" s="47" t="s">
        <v>523</v>
      </c>
      <c r="K93" s="1" t="str">
        <f t="shared" si="4"/>
        <v>REMINDER LETTER SHOULD BE SENT</v>
      </c>
      <c r="L93" s="81">
        <v>45870</v>
      </c>
      <c r="M93" s="1" t="s">
        <v>524</v>
      </c>
      <c r="N93" s="73" t="s">
        <v>525</v>
      </c>
      <c r="O93" s="82" t="str">
        <f>IF(M93="","",HYPERLINK(M93,B93))</f>
        <v>SHALINA HEALTHCARE</v>
      </c>
    </row>
    <row r="94" spans="1:15" s="1" customFormat="1" ht="45.75" customHeight="1">
      <c r="A94" s="46">
        <v>92</v>
      </c>
      <c r="B94" s="47" t="s">
        <v>526</v>
      </c>
      <c r="C94" s="47" t="s">
        <v>527</v>
      </c>
      <c r="D94" s="75" t="s">
        <v>528</v>
      </c>
      <c r="E94" s="47" t="s">
        <v>19</v>
      </c>
      <c r="F94" s="77">
        <v>44934</v>
      </c>
      <c r="G94" s="47" t="s">
        <v>529</v>
      </c>
      <c r="H94" s="77">
        <v>45884</v>
      </c>
      <c r="I94" s="70" t="s">
        <v>22</v>
      </c>
      <c r="J94" s="47" t="s">
        <v>23</v>
      </c>
      <c r="K94" s="1" t="str">
        <f t="shared" si="4"/>
        <v>CAPA VERIFICATION SHOULD BE SCHEDULED</v>
      </c>
      <c r="L94" s="81">
        <v>45870</v>
      </c>
      <c r="O94" s="82" t="str">
        <f>IF(M94="","",HYPERLINK(M94,B94))</f>
        <v/>
      </c>
    </row>
    <row r="95" spans="1:15" s="1" customFormat="1" ht="40.5" customHeight="1">
      <c r="A95" s="46">
        <v>93</v>
      </c>
      <c r="B95" s="47" t="s">
        <v>530</v>
      </c>
      <c r="C95" s="47" t="s">
        <v>531</v>
      </c>
      <c r="D95" s="75" t="s">
        <v>532</v>
      </c>
      <c r="E95" s="47" t="s">
        <v>19</v>
      </c>
      <c r="F95" s="77">
        <v>45270</v>
      </c>
      <c r="G95" s="47" t="s">
        <v>355</v>
      </c>
      <c r="H95" s="76" t="s">
        <v>533</v>
      </c>
      <c r="I95" s="70" t="s">
        <v>42</v>
      </c>
      <c r="J95" s="47" t="s">
        <v>43</v>
      </c>
      <c r="K95" s="1" t="str">
        <f t="shared" si="4"/>
        <v>REMINDER LETTER SHOULD BE SENT</v>
      </c>
      <c r="L95" s="81">
        <v>45536</v>
      </c>
      <c r="M95" s="1" t="s">
        <v>534</v>
      </c>
      <c r="N95" s="73" t="s">
        <v>535</v>
      </c>
      <c r="O95" s="82" t="str">
        <f>IF(M95="","",HYPERLINK(M95,B95))</f>
        <v>IMMACULATE CARE PHARMACY</v>
      </c>
    </row>
    <row r="96" spans="1:15" s="1" customFormat="1" ht="28.5" customHeight="1">
      <c r="A96" s="46">
        <v>94</v>
      </c>
      <c r="B96" s="47" t="s">
        <v>536</v>
      </c>
      <c r="C96" s="47" t="s">
        <v>537</v>
      </c>
      <c r="D96" s="75" t="s">
        <v>538</v>
      </c>
      <c r="E96" s="47" t="s">
        <v>19</v>
      </c>
      <c r="F96" s="77">
        <v>45270</v>
      </c>
      <c r="G96" s="47" t="s">
        <v>20</v>
      </c>
      <c r="H96" s="76" t="s">
        <v>533</v>
      </c>
      <c r="I96" s="70" t="s">
        <v>22</v>
      </c>
      <c r="J96" s="47" t="s">
        <v>23</v>
      </c>
      <c r="K96" s="1" t="str">
        <f t="shared" si="4"/>
        <v>CAPA VERIFICATION SHOULD BE SCHEDULED</v>
      </c>
      <c r="L96" s="81">
        <v>45901</v>
      </c>
      <c r="M96" s="1" t="s">
        <v>539</v>
      </c>
      <c r="N96" s="73" t="s">
        <v>540</v>
      </c>
      <c r="O96" s="82" t="str">
        <f>IF(M96="","",HYPERLINK(M96,B96))</f>
        <v>COLLIBEX PHARMACY</v>
      </c>
    </row>
    <row r="97" spans="1:15" s="1" customFormat="1" ht="42" customHeight="1">
      <c r="A97" s="46">
        <v>95</v>
      </c>
      <c r="B97" s="47" t="s">
        <v>541</v>
      </c>
      <c r="C97" s="47" t="s">
        <v>542</v>
      </c>
      <c r="D97" s="75" t="s">
        <v>543</v>
      </c>
      <c r="E97" s="47" t="s">
        <v>19</v>
      </c>
      <c r="F97" s="77">
        <v>45270</v>
      </c>
      <c r="G97" s="47" t="s">
        <v>35</v>
      </c>
      <c r="H97" s="76" t="s">
        <v>533</v>
      </c>
      <c r="I97" s="70" t="s">
        <v>42</v>
      </c>
      <c r="J97" s="47" t="s">
        <v>43</v>
      </c>
      <c r="K97" s="1" t="str">
        <f t="shared" si="4"/>
        <v>REMINDER LETTER SHOULD BE SENT</v>
      </c>
      <c r="L97" s="81">
        <v>45536</v>
      </c>
      <c r="M97" s="1" t="s">
        <v>544</v>
      </c>
      <c r="N97" s="73" t="s">
        <v>545</v>
      </c>
      <c r="O97" s="82" t="str">
        <f>IF(M97="","",HYPERLINK(M97,B97))</f>
        <v>EMMASTEV PHARMACY</v>
      </c>
    </row>
    <row r="98" spans="1:15" s="1" customFormat="1" ht="42" customHeight="1">
      <c r="A98" s="74">
        <v>104</v>
      </c>
      <c r="B98" s="74" t="s">
        <v>503</v>
      </c>
      <c r="C98" s="74" t="s">
        <v>504</v>
      </c>
      <c r="D98" s="85" t="s">
        <v>505</v>
      </c>
      <c r="E98" s="74" t="s">
        <v>546</v>
      </c>
      <c r="F98" s="74" t="s">
        <v>547</v>
      </c>
      <c r="G98" s="74" t="s">
        <v>20</v>
      </c>
      <c r="H98" s="79" t="s">
        <v>548</v>
      </c>
      <c r="I98" s="70" t="s">
        <v>72</v>
      </c>
      <c r="J98" s="74" t="s">
        <v>549</v>
      </c>
      <c r="K98" s="32" t="s">
        <v>297</v>
      </c>
      <c r="L98" s="86">
        <v>45901</v>
      </c>
      <c r="M98" s="32" t="s">
        <v>506</v>
      </c>
      <c r="N98" s="73" t="s">
        <v>507</v>
      </c>
      <c r="O98" s="87" t="str">
        <f>IF(M98="","",HYPERLINK(M98,B98))</f>
        <v>VINCO PHARMACEUTICAL</v>
      </c>
    </row>
    <row r="99" spans="1:15" s="1" customFormat="1" ht="45" customHeight="1">
      <c r="A99" s="46">
        <v>96</v>
      </c>
      <c r="B99" s="47" t="s">
        <v>550</v>
      </c>
      <c r="C99" s="47" t="s">
        <v>551</v>
      </c>
      <c r="D99" s="75" t="s">
        <v>552</v>
      </c>
      <c r="E99" s="47" t="s">
        <v>19</v>
      </c>
      <c r="F99" s="76" t="s">
        <v>553</v>
      </c>
      <c r="G99" s="47" t="s">
        <v>20</v>
      </c>
      <c r="H99" s="76" t="s">
        <v>554</v>
      </c>
      <c r="I99" s="70" t="s">
        <v>22</v>
      </c>
      <c r="J99" s="47" t="s">
        <v>23</v>
      </c>
      <c r="K99" s="1" t="str">
        <f>IF(I99="YES","CAPA VERIFICATION SHOULD BE SCHEDULED",IF(I99="NO","REMINDER LETTER SHOULD BE SENT",""))</f>
        <v>CAPA VERIFICATION SHOULD BE SCHEDULED</v>
      </c>
      <c r="L99" s="81">
        <v>45901</v>
      </c>
      <c r="M99" s="1" t="s">
        <v>555</v>
      </c>
      <c r="N99" s="73" t="s">
        <v>556</v>
      </c>
      <c r="O99" s="82" t="str">
        <f>IF(M99="","",HYPERLINK(M99,B99))</f>
        <v>SKY PHARMACEUTICAL</v>
      </c>
    </row>
    <row r="100" spans="1:15" s="1" customFormat="1" ht="41.25" customHeight="1">
      <c r="A100" s="46">
        <v>97</v>
      </c>
      <c r="B100" s="47" t="s">
        <v>557</v>
      </c>
      <c r="C100" s="47" t="s">
        <v>558</v>
      </c>
      <c r="D100" s="75" t="s">
        <v>559</v>
      </c>
      <c r="E100" s="47" t="s">
        <v>19</v>
      </c>
      <c r="F100" s="77">
        <v>45209</v>
      </c>
      <c r="G100" s="47" t="s">
        <v>560</v>
      </c>
      <c r="H100" s="76" t="s">
        <v>533</v>
      </c>
      <c r="I100" s="70" t="s">
        <v>42</v>
      </c>
      <c r="J100" s="47" t="s">
        <v>43</v>
      </c>
      <c r="K100" s="1" t="str">
        <f>IF(I100="YES","CAPA VERIFICATION SHOULD BE SCHEDULED",IF(I100="NO","REMINDER LETTER SHOULD BE SENT",""))</f>
        <v>REMINDER LETTER SHOULD BE SENT</v>
      </c>
      <c r="L100" s="81">
        <v>45901</v>
      </c>
      <c r="M100" s="88" t="s">
        <v>561</v>
      </c>
      <c r="N100" s="73" t="s">
        <v>562</v>
      </c>
      <c r="O100" s="82" t="str">
        <f>IF(M100="","",HYPERLINK(M100,B100))</f>
        <v>AJAO SAMUEL PHARMACY</v>
      </c>
    </row>
    <row r="101" spans="1:15" s="1" customFormat="1" ht="36" customHeight="1">
      <c r="A101" s="46">
        <v>98</v>
      </c>
      <c r="B101" s="47" t="s">
        <v>563</v>
      </c>
      <c r="C101" s="47" t="s">
        <v>564</v>
      </c>
      <c r="D101" s="75" t="s">
        <v>565</v>
      </c>
      <c r="E101" s="47" t="s">
        <v>19</v>
      </c>
      <c r="F101" s="76" t="s">
        <v>566</v>
      </c>
      <c r="G101" s="47" t="s">
        <v>35</v>
      </c>
      <c r="H101" s="76" t="s">
        <v>533</v>
      </c>
      <c r="I101" s="70" t="s">
        <v>42</v>
      </c>
      <c r="J101" s="47" t="s">
        <v>23</v>
      </c>
      <c r="K101" s="1" t="str">
        <f>IF(I101="YES","CAPA VERIFICATION SHOULD BE SCHEDULED",IF(I101="NO","REMINDER LETTER SHOULD BE SENT",""))</f>
        <v>REMINDER LETTER SHOULD BE SENT</v>
      </c>
      <c r="L101" s="81">
        <v>45536</v>
      </c>
      <c r="M101" s="1" t="s">
        <v>567</v>
      </c>
      <c r="N101" s="73" t="s">
        <v>568</v>
      </c>
      <c r="O101" s="82" t="str">
        <f>IF(M101="","",HYPERLINK(M101,B101))</f>
        <v>MALVEN MEDICS LIMITED</v>
      </c>
    </row>
    <row r="102" spans="1:15" s="1" customFormat="1" ht="42.75" customHeight="1">
      <c r="A102" s="46">
        <v>99</v>
      </c>
      <c r="B102" s="47" t="s">
        <v>569</v>
      </c>
      <c r="C102" s="47" t="s">
        <v>570</v>
      </c>
      <c r="D102" s="75" t="s">
        <v>571</v>
      </c>
      <c r="E102" s="47" t="s">
        <v>19</v>
      </c>
      <c r="F102" s="76" t="s">
        <v>553</v>
      </c>
      <c r="G102" s="47" t="s">
        <v>20</v>
      </c>
      <c r="H102" s="76" t="s">
        <v>72</v>
      </c>
      <c r="I102" s="70" t="s">
        <v>72</v>
      </c>
      <c r="J102" s="47" t="s">
        <v>572</v>
      </c>
      <c r="K102" s="1" t="s">
        <v>297</v>
      </c>
      <c r="L102" s="81">
        <v>45901</v>
      </c>
      <c r="M102" s="1" t="s">
        <v>573</v>
      </c>
      <c r="N102" s="73" t="s">
        <v>574</v>
      </c>
      <c r="O102" s="82" t="str">
        <f>IF(M102="","",HYPERLINK(M102,B102))</f>
        <v>TUM TAY COMPANY LIMITED</v>
      </c>
    </row>
    <row r="103" spans="1:15" s="1" customFormat="1" ht="46.5" customHeight="1">
      <c r="A103" s="46">
        <v>100</v>
      </c>
      <c r="B103" s="47" t="s">
        <v>575</v>
      </c>
      <c r="C103" s="47" t="s">
        <v>576</v>
      </c>
      <c r="D103" s="75" t="s">
        <v>521</v>
      </c>
      <c r="E103" s="47" t="s">
        <v>19</v>
      </c>
      <c r="F103" s="76" t="s">
        <v>577</v>
      </c>
      <c r="G103" s="47" t="s">
        <v>20</v>
      </c>
      <c r="H103" s="76" t="s">
        <v>72</v>
      </c>
      <c r="I103" s="70" t="s">
        <v>72</v>
      </c>
      <c r="J103" s="47" t="s">
        <v>572</v>
      </c>
      <c r="K103" s="1" t="s">
        <v>297</v>
      </c>
      <c r="L103" s="81">
        <v>45901</v>
      </c>
      <c r="M103" s="89" t="s">
        <v>578</v>
      </c>
      <c r="N103" s="73" t="s">
        <v>579</v>
      </c>
      <c r="O103" s="82" t="str">
        <f>IF(M103="","",HYPERLINK(M103,B103))</f>
        <v>VIBORATH PHARMACY</v>
      </c>
    </row>
    <row r="104" spans="1:15" s="1" customFormat="1" ht="46.5" customHeight="1">
      <c r="A104" s="46">
        <v>101</v>
      </c>
      <c r="B104" s="47" t="s">
        <v>580</v>
      </c>
      <c r="C104" s="47" t="s">
        <v>581</v>
      </c>
      <c r="D104" s="75" t="s">
        <v>582</v>
      </c>
      <c r="E104" s="47" t="s">
        <v>19</v>
      </c>
      <c r="F104" s="77">
        <v>44937</v>
      </c>
      <c r="G104" s="47" t="s">
        <v>529</v>
      </c>
      <c r="H104" s="77">
        <v>45210</v>
      </c>
      <c r="I104" s="70" t="s">
        <v>42</v>
      </c>
      <c r="J104" s="47" t="s">
        <v>43</v>
      </c>
      <c r="K104" s="1" t="str">
        <f>IF(I104="YES","CAPA VERIFICATION SHOULD BE SCHEDULED",IF(I104="NO","REMINDER LETTER SHOULD BE SENT",""))</f>
        <v>REMINDER LETTER SHOULD BE SENT</v>
      </c>
      <c r="L104" s="81">
        <v>45962</v>
      </c>
      <c r="M104" s="1" t="s">
        <v>583</v>
      </c>
      <c r="N104" s="73" t="s">
        <v>584</v>
      </c>
      <c r="O104" s="82" t="str">
        <f>IF(M104="","",HYPERLINK(M104,B104))</f>
        <v>SAM SUNNY PHARMA &amp; STORE LIMITED</v>
      </c>
    </row>
    <row r="105" spans="1:15" s="1" customFormat="1" ht="48" customHeight="1">
      <c r="A105" s="46">
        <v>102</v>
      </c>
      <c r="B105" s="47" t="s">
        <v>585</v>
      </c>
      <c r="C105" s="47" t="s">
        <v>586</v>
      </c>
      <c r="D105" s="75" t="s">
        <v>587</v>
      </c>
      <c r="E105" s="47" t="s">
        <v>19</v>
      </c>
      <c r="F105" s="77">
        <v>44937</v>
      </c>
      <c r="G105" s="47" t="s">
        <v>20</v>
      </c>
      <c r="H105" s="77">
        <v>45210</v>
      </c>
      <c r="I105" s="70" t="s">
        <v>22</v>
      </c>
      <c r="J105" s="47" t="s">
        <v>23</v>
      </c>
      <c r="K105" s="1" t="str">
        <f>IF(I105="YES","CAPA VERIFICATION SHOULD BE SCHEDULED",IF(I105="NO","REMINDER LETTER SHOULD BE SENT",""))</f>
        <v>CAPA VERIFICATION SHOULD BE SCHEDULED</v>
      </c>
      <c r="L105" s="81">
        <v>45962</v>
      </c>
      <c r="M105" s="1" t="s">
        <v>588</v>
      </c>
      <c r="N105" s="73" t="s">
        <v>589</v>
      </c>
      <c r="O105" s="82" t="str">
        <f>IF(M105="","",HYPERLINK(M105,B105))</f>
        <v>GOD SAINTS PHARMACEUTICALS LIMITED</v>
      </c>
    </row>
    <row r="106" spans="1:15" s="1" customFormat="1" ht="35.25" customHeight="1">
      <c r="A106" s="46">
        <v>103</v>
      </c>
      <c r="B106" s="47" t="s">
        <v>590</v>
      </c>
      <c r="C106" s="47" t="s">
        <v>591</v>
      </c>
      <c r="D106" s="75" t="s">
        <v>592</v>
      </c>
      <c r="E106" s="47" t="s">
        <v>19</v>
      </c>
      <c r="F106" s="77">
        <v>44968</v>
      </c>
      <c r="G106" s="47" t="s">
        <v>20</v>
      </c>
      <c r="H106" s="77">
        <v>44968</v>
      </c>
      <c r="I106" s="70" t="s">
        <v>42</v>
      </c>
      <c r="J106" s="47" t="s">
        <v>43</v>
      </c>
      <c r="K106" s="1" t="str">
        <f>IF(I106="YES","CAPA VERIFICATION SHOULD BE SCHEDULED",IF(I106="NO","REMINDER LETTER SHOULD BE SENT",""))</f>
        <v>REMINDER LETTER SHOULD BE SENT</v>
      </c>
      <c r="L106" s="81">
        <v>45962</v>
      </c>
      <c r="M106" s="1" t="s">
        <v>593</v>
      </c>
      <c r="N106" s="73" t="s">
        <v>594</v>
      </c>
      <c r="O106" s="82" t="str">
        <f>IF(M106="","",HYPERLINK(M106,B106))</f>
        <v>JUSTINAK PHARMACY</v>
      </c>
    </row>
    <row r="107" spans="1:15" s="1" customFormat="1" ht="33.75" customHeight="1">
      <c r="A107" s="46">
        <v>104</v>
      </c>
      <c r="B107" s="47" t="s">
        <v>595</v>
      </c>
      <c r="C107" s="47" t="s">
        <v>596</v>
      </c>
      <c r="D107" s="75" t="s">
        <v>597</v>
      </c>
      <c r="E107" s="47" t="s">
        <v>19</v>
      </c>
      <c r="F107" s="77">
        <v>44968</v>
      </c>
      <c r="G107" s="47" t="s">
        <v>20</v>
      </c>
      <c r="H107" s="77">
        <v>44968</v>
      </c>
      <c r="I107" s="70" t="s">
        <v>42</v>
      </c>
      <c r="J107" s="47" t="s">
        <v>43</v>
      </c>
      <c r="K107" s="1" t="str">
        <f>IF(I107="YES","CAPA VERIFICATION SHOULD BE SCHEDULED",IF(I107="NO","REMINDER LETTER SHOULD BE SENT",""))</f>
        <v>REMINDER LETTER SHOULD BE SENT</v>
      </c>
      <c r="L107" s="81">
        <v>45962</v>
      </c>
      <c r="M107" s="1" t="s">
        <v>598</v>
      </c>
      <c r="N107" s="73" t="s">
        <v>599</v>
      </c>
      <c r="O107" s="82" t="str">
        <f>IF(M107="","",HYPERLINK(M107,B107))</f>
        <v>INSPIRATION PHARMACY NIG.LIMITED</v>
      </c>
    </row>
    <row r="108" spans="1:15">
      <c r="A108" s="3">
        <v>115</v>
      </c>
      <c r="B108" s="15" t="s">
        <v>600</v>
      </c>
      <c r="C108" s="6"/>
      <c r="D108" s="5"/>
      <c r="E108" s="6"/>
      <c r="F108" s="21"/>
      <c r="G108" s="10"/>
      <c r="H108" s="18"/>
      <c r="I108" s="10"/>
      <c r="J108" s="6"/>
      <c r="O108" s="9" t="str">
        <f>IF(M108="","",HYPERLINK(M108,B108))</f>
        <v/>
      </c>
    </row>
    <row r="109" spans="1:15" ht="15" customHeight="1"/>
    <row r="110" spans="1:15" ht="14.25" customHeight="1"/>
    <row r="112" spans="1:15" ht="15" customHeight="1"/>
    <row r="113" ht="15" customHeight="1"/>
    <row r="122" ht="15" customHeight="1"/>
    <row r="134" ht="15" customHeight="1"/>
    <row r="143" ht="15" customHeight="1"/>
    <row r="152" ht="15" customHeight="1"/>
    <row r="155" ht="15" customHeight="1"/>
    <row r="158" ht="15" customHeight="1"/>
    <row r="161" ht="15" customHeight="1"/>
    <row r="164" ht="15" customHeight="1"/>
    <row r="167" ht="15" customHeight="1"/>
    <row r="173" ht="15" customHeight="1"/>
    <row r="197" ht="15" customHeight="1"/>
    <row r="203" ht="15" customHeight="1"/>
    <row r="206" ht="15" customHeight="1"/>
    <row r="209" ht="15" customHeight="1"/>
    <row r="215" ht="15" customHeight="1"/>
    <row r="218" ht="15" customHeight="1"/>
    <row r="221" ht="15" customHeight="1"/>
    <row r="227" ht="15" customHeight="1"/>
    <row r="230" ht="15" customHeight="1"/>
    <row r="233" ht="15" customHeight="1"/>
    <row r="236" ht="15" customHeight="1"/>
    <row r="239" ht="15" customHeight="1"/>
    <row r="242" ht="15" customHeight="1"/>
    <row r="245" ht="15" customHeight="1"/>
    <row r="248" ht="15" customHeight="1"/>
    <row r="251" ht="15" customHeight="1"/>
    <row r="254" ht="15" customHeight="1"/>
    <row r="257" ht="15" customHeight="1"/>
    <row r="260" ht="15" customHeight="1"/>
    <row r="264" ht="15" customHeight="1"/>
    <row r="268" ht="15" customHeight="1"/>
    <row r="272" ht="15" customHeight="1"/>
    <row r="276" ht="15" customHeight="1"/>
    <row r="279" ht="15" customHeight="1"/>
    <row r="283" ht="15" customHeight="1"/>
    <row r="287" ht="15" customHeight="1"/>
    <row r="290" ht="15" customHeight="1"/>
    <row r="293" ht="15" customHeight="1"/>
    <row r="296" ht="15" customHeight="1"/>
    <row r="299" ht="15" customHeight="1"/>
  </sheetData>
  <mergeCells count="1">
    <mergeCell ref="A1:J1"/>
  </mergeCells>
  <conditionalFormatting sqref="I3:I98">
    <cfRule type="containsText" dxfId="146" priority="1" operator="containsText" text="NO">
      <formula>NOT(ISERROR(SEARCH("NO",I3)))</formula>
    </cfRule>
    <cfRule type="containsText" dxfId="145" priority="2" operator="containsText" text="YES">
      <formula>NOT(ISERROR(SEARCH("YES",I3)))</formula>
    </cfRule>
  </conditionalFormatting>
  <conditionalFormatting sqref="I99:I1048576">
    <cfRule type="containsText" dxfId="144" priority="3" operator="containsText" text="NO">
      <formula>NOT(ISERROR(SEARCH("NO",I99)))</formula>
    </cfRule>
    <cfRule type="containsText" dxfId="143" priority="4" operator="containsText" text="YES">
      <formula>NOT(ISERROR(SEARCH("YES",I99)))</formula>
    </cfRule>
  </conditionalFormatting>
  <dataValidations count="1">
    <dataValidation type="list" allowBlank="1" showInputMessage="1" showErrorMessage="1" sqref="I3:I1048576 A1:J1" xr:uid="{DF80F264-F298-4EE2-A986-CDDC4E53A40B}">
      <formula1>"YES,NO,N/A"</formula1>
    </dataValidation>
  </dataValidations>
  <hyperlinks>
    <hyperlink ref="M77" r:id="rId1" xr:uid="{230DAF73-7F83-4313-83F1-AFC462A9BA1C}"/>
    <hyperlink ref="M32" r:id="rId2" xr:uid="{2BB83400-67BF-4C9F-8130-8B04C4B32243}"/>
    <hyperlink ref="M92" r:id="rId3" xr:uid="{B1E01930-D681-43C6-9265-B76850C88A16}"/>
    <hyperlink ref="M26" r:id="rId4" xr:uid="{AE8B326B-330D-4EC8-8FDC-B8C8E4C866EE}"/>
    <hyperlink ref="M24" r:id="rId5" xr:uid="{D87A3010-3953-4FDC-98BA-F3024CC25A31}"/>
    <hyperlink ref="M55" r:id="rId6" xr:uid="{F5705854-58F8-4F37-8D2A-657B534D9C0A}"/>
    <hyperlink ref="M21" r:id="rId7" xr:uid="{C29B38B2-4D7D-4BEA-9C44-DF8EA06E4859}"/>
    <hyperlink ref="M100" r:id="rId8" xr:uid="{4CBE4092-B75A-4F01-ADC8-51A03D3E23A8}"/>
    <hyperlink ref="M12" r:id="rId9" xr:uid="{9E0B635E-8CDB-43F3-A621-C5D9B3F86BFE}"/>
    <hyperlink ref="O3" r:id="rId10" xr:uid="{4D540BA8-8D4D-46DA-9E3D-820C224BDFE8}"/>
    <hyperlink ref="N4" r:id="rId11" xr:uid="{E130F576-4332-428F-9CC4-B67463DD5E90}"/>
    <hyperlink ref="N5" r:id="rId12" xr:uid="{E665D8E9-35DD-4735-BFD5-5D33ECC08B53}"/>
    <hyperlink ref="N6" r:id="rId13" xr:uid="{93B3C6E0-D153-4F52-987B-4CE81F876776}"/>
    <hyperlink ref="N7" r:id="rId14" display="../../GDP (GOOD DISTRIBUTION PRATICE)/GSDP COMPANY FILES/JUMENCO PHARMACEUTICALS LTD" xr:uid="{1FE00586-FD61-49ED-969C-55F40E5BBAE9}"/>
    <hyperlink ref="N8" r:id="rId15" xr:uid="{26475F58-A9EA-4248-86C9-000581812954}"/>
    <hyperlink ref="N9" r:id="rId16" display="https://nafdacng.sharepoint.com/sites/PMSLAGOS/Shared Documents/GDP (GOOD DISTRIBUTION PRATICE)/GSDP COMPANY FILES\RALPHONES PHARMACEUTICAL LTD" xr:uid="{BA3972CA-B2CF-4222-B78C-F8C867FC882D}"/>
    <hyperlink ref="N10" r:id="rId17" display="https://nafdacng.sharepoint.com/sites/PMSLAGOS/Shared Documents/GDP (GOOD DISTRIBUTION PRATICE)/GSDP COMPANY FILES\LUGZ PHARMACY" xr:uid="{2F9B0F7E-B9C2-4552-BE86-1D83AAADFD4E}"/>
    <hyperlink ref="N12" r:id="rId18" display="https://nafdacng.sharepoint.com/sites/PMSLAGOS/Shared Documents/GDP (GOOD DISTRIBUTION PRATICE)/GSDP COMPANY FILES\GOODCARE" xr:uid="{C0274ED3-EE6B-4A85-9FD8-F6FA21640582}"/>
    <hyperlink ref="N13" r:id="rId19" display="https://nafdacng.sharepoint.com/sites/PMSLAGOS/Shared Documents/GDP (GOOD DISTRIBUTION PRATICE)/GSDP COMPANY FILES\PATVICS LTD" xr:uid="{13C55E6E-49FD-4A90-A879-A9D6EB77ED7A}"/>
    <hyperlink ref="N14" r:id="rId20" display="https://nafdacng.sharepoint.com/sites/PMSLAGOS/Shared Documents/GDP (GOOD DISTRIBUTION PRATICE)/GSDP COMPANY FILES\KOJOS PHARMACY LTD" xr:uid="{576E6593-6D3D-41DB-BFCF-9E5BA2E26B1A}"/>
    <hyperlink ref="N16" r:id="rId21" display="https://nafdacng.sharepoint.com/sites/PMSLAGOS/Shared Documents/GDP (GOOD DISTRIBUTION PRATICE)/GSDP COMPANY FILES\SWIPHA NIG. LTD" xr:uid="{F115E1EC-A0E3-4DE0-93B5-07233E567EA3}"/>
    <hyperlink ref="N17" r:id="rId22" display="https://nafdacng.sharepoint.com/sites/PMSLAGOS/Shared Documents/GDP (GOOD DISTRIBUTION PRATICE)/GSDP COMPANY FILES\BJ CHOICE PHARM. LTD" xr:uid="{63A48E33-5B1C-4309-B41C-B900DC0420A7}"/>
    <hyperlink ref="N18" r:id="rId23" display="https://nafdacng.sharepoint.com/sites/PMSLAGOS/Shared Documents/GDP (GOOD DISTRIBUTION PRATICE)/GSDP COMPANY FILES\PAKEN VENTURES LTD" xr:uid="{8F83B0AD-FD41-4E83-BBF9-7239B9AC2AA2}"/>
    <hyperlink ref="N19" r:id="rId24" display="https://nafdacng.sharepoint.com/sites/PMSLAGOS/Shared Documents/GDP (GOOD DISTRIBUTION PRATICE)/GSDP COMPANY FILES\HENBOSCO PHARMACY LTD" xr:uid="{371D11B8-712F-4DD8-951B-EA060C38487C}"/>
    <hyperlink ref="N20" r:id="rId25" display="https://nafdacng.sharepoint.com/sites/PMSLAGOS/Shared Documents/GDP (GOOD DISTRIBUTION PRATICE)/GSDP COMPANY FILES\LYNDUS PHARMACY LTD" xr:uid="{6388981D-05A8-43E7-BA26-FF94BE66D6E0}"/>
    <hyperlink ref="N21" r:id="rId26" xr:uid="{4248FE3E-99FF-4623-BDBF-78D35DE03401}"/>
    <hyperlink ref="N22" r:id="rId27" display="https://nafdacng.sharepoint.com/sites/PMSLAGOS/Shared Documents/GDP (GOOD DISTRIBUTION PRATICE)/GSDP COMPANY FILES\JUVYWAY PHARMACY" xr:uid="{62F65187-B9F8-46AB-A943-4ABC35CBF4CD}"/>
    <hyperlink ref="N23" r:id="rId28" display="https://nafdacng.sharepoint.com/sites/PMSLAGOS/Shared Documents/GDP (GOOD DISTRIBUTION PRATICE)/GSDP COMPANY FILES\EVERSHINE PHARMA NIG LTD" xr:uid="{D18AFD5F-45A3-4CC1-A450-A9A936C65777}"/>
    <hyperlink ref="N24" r:id="rId29" display="https://nafdacng.sharepoint.com/sites/PMSLAGOS/Shared Documents/GDP (GOOD DISTRIBUTION PRATICE)/GSDP COMPANY FILES/FRANKCY NIG LTD" xr:uid="{CAEA6A34-0D3F-4160-9AAE-AD55EE48004B}"/>
    <hyperlink ref="N25" r:id="rId30" display="https://nafdacng.sharepoint.com/sites/PMSLAGOS/Shared Documents/GDP (GOOD DISTRIBUTION PRATICE)/GSDP COMPANY FILES\GOD IS GREAT PHARMACY" xr:uid="{20306F09-7239-4E72-A1FF-7E750C3375DD}"/>
    <hyperlink ref="N26" r:id="rId31" display="https://nafdacng.sharepoint.com/sites/PMSLAGOS/Shared Documents/GDP (GOOD DISTRIBUTION PRATICE)/GSDP COMPANY FILES/SKY PHARM" xr:uid="{1FCF76F3-5985-41AB-968E-106AE641FD2C}"/>
    <hyperlink ref="N27" r:id="rId32" display="https://nafdacng.sharepoint.com/sites/PMSLAGOS/Shared Documents/GDP (GOOD DISTRIBUTION PRATICE)/GSDP COMPANY FILES\UNITED ABC PHARM" xr:uid="{E0618F86-7298-4C3F-AF1B-9A85492AD4F7}"/>
    <hyperlink ref="N29" r:id="rId33" display="https://nafdacng.sharepoint.com/sites/PMSLAGOS/Shared Documents/GDP (GOOD DISTRIBUTION PRATICE)/GSDP COMPANY FILES\RIGHTMARES PHARM LTD" xr:uid="{7EE109DE-24F0-4D06-AE55-6666B1928696}"/>
    <hyperlink ref="N28" r:id="rId34" display="https://nafdacng.sharepoint.com/sites/PMSLAGOS/Shared Documents/GDP (GOOD DISTRIBUTION PRATICE)/GSDP COMPANY FILES\SA PHARMACY" xr:uid="{B7AB6015-3777-4FBB-9BBD-F9C164069431}"/>
    <hyperlink ref="N30" r:id="rId35" display="https://nafdacng.sharepoint.com/sites/PMSLAGOS/Shared Documents/GDP (GOOD DISTRIBUTION PRATICE)/GSDP COMPANY FILES\M.U. SAM" xr:uid="{B3FA06F0-2B57-4D0F-ADCB-EF4082A52F98}"/>
    <hyperlink ref="N31" r:id="rId36" display="https://nafdacng.sharepoint.com/sites/PMSLAGOS/Shared Documents/GDP (GOOD DISTRIBUTION PRATICE)/GSDP COMPANY FILES\LIVE BETA PHARM" xr:uid="{99DDC2F3-2980-4010-8515-E4ADF315AA71}"/>
    <hyperlink ref="N32" r:id="rId37" display="https://nafdacng.sharepoint.com/sites/PMSLAGOS/Shared Documents/GDP (GOOD DISTRIBUTION PRATICE)/GSDP COMPANY FILES\AGU JUDEA PHARMACEUTICLAS" xr:uid="{EA299BAB-3D3D-484C-B725-08FAE8CB7517}"/>
    <hyperlink ref="N33" r:id="rId38" display="https://nafdacng.sharepoint.com/sites/PMSLAGOS/Shared Documents/GDP (GOOD DISTRIBUTION PRATICE)/GSDP COMPANY FILES\ZIFAM PINNACLES LTD" xr:uid="{56A3715B-8894-49BB-8E33-92859714808A}"/>
    <hyperlink ref="N34" r:id="rId39" display="https://nafdacng.sharepoint.com/sites/PMSLAGOS/Shared Documents/GDP (GOOD DISTRIBUTION PRATICE)/GSDP COMPANY FILES\UNITED AFRICA LABORATORY LTD" xr:uid="{2278BF4E-1597-4E70-952B-89833FB2A68E}"/>
    <hyperlink ref="N35" r:id="rId40" display="https://nafdacng.sharepoint.com/sites/PMSLAGOS/Shared Documents/GDP (GOOD DISTRIBUTION PRATICE)/GSDP COMPANY FILES\SANTUS PHARMACY LTD" xr:uid="{511B8CA6-41DF-4CF6-970F-0C592F4BB753}"/>
    <hyperlink ref="N36" r:id="rId41" display="https://nafdacng.sharepoint.com/sites/PMSLAGOS/Shared Documents/GDP (GOOD DISTRIBUTION PRATICE)/GSDP COMPANY FILES\THINK ENTERNITY DRUGS LTD" xr:uid="{893E9C82-F6ED-4D40-9BA4-ED52C3FCA049}"/>
    <hyperlink ref="N37" r:id="rId42" display="https://nafdacng.sharepoint.com/sites/PMSLAGOS/Shared Documents/GDP (GOOD DISTRIBUTION PRATICE)/GSDP COMPANY FILES\MIVERO PHARM" xr:uid="{C169D866-20B1-4EDA-84FE-CBC8038A57CA}"/>
    <hyperlink ref="N38" r:id="rId43" display="https://nafdacng.sharepoint.com/sites/PMSLAGOS/Shared Documents/GDP (GOOD DISTRIBUTION PRATICE)/GSDP COMPANY FILES\R.L UPRIGHTWAY NIG LTD" xr:uid="{6F2FF179-B59B-46C4-A384-18BEE25ECE40}"/>
    <hyperlink ref="N39" r:id="rId44" display="https://nafdacng.sharepoint.com/sites/PMSLAGOS/Shared Documents/GDP (GOOD DISTRIBUTION PRATICE)/GSDP COMPANY FILES\TEACO PHARMACY" xr:uid="{A4781DF9-3F43-4BC2-B673-45FF0D29069D}"/>
    <hyperlink ref="N40" r:id="rId45" display="https://nafdacng.sharepoint.com/sites/PMSLAGOS/Shared Documents/GDP (GOOD DISTRIBUTION PRATICE)/GSDP COMPANY FILES\FUNKET NIG. LTD" xr:uid="{AD16D6C1-36BB-4908-A359-7C664765EF2C}"/>
    <hyperlink ref="N41" r:id="rId46" display="https://nafdacng.sharepoint.com/sites/PMSLAGOS/Shared Documents/GDP (GOOD DISTRIBUTION PRATICE)/GSDP COMPANY FILES\KATCEE-MACKENZIE LTD" xr:uid="{A44FA1EE-D5D7-4579-9CBC-D0DB984CA404}"/>
    <hyperlink ref="N42" r:id="rId47" display="https://nafdacng.sharepoint.com/sites/PMSLAGOS/Shared Documents/GDP (GOOD DISTRIBUTION PRATICE)/GSDP COMPANY FILES\DRUG IT PHARMACY" xr:uid="{B915D16D-AF15-42E1-B978-F726878B9048}"/>
    <hyperlink ref="N43" r:id="rId48" display="https://nafdacng.sharepoint.com/sites/PMSLAGOS/Shared Documents/GDP (GOOD DISTRIBUTION PRATICE)/GSDP COMPANY FILES\FAMOUS CHEMIST LTD" xr:uid="{8356891D-47E7-4B04-A16D-F357D640093E}"/>
    <hyperlink ref="N44" r:id="rId49" display="https://nafdacng.sharepoint.com/sites/PMSLAGOS/Shared Documents/GDP (GOOD DISTRIBUTION PRATICE)/GSDP COMPANY FILES\ALIMOSHO CHEMISTS LTD" xr:uid="{60B25761-413D-48BE-BDF7-25F2823077F1}"/>
    <hyperlink ref="N45" r:id="rId50" display="https://nafdacng.sharepoint.com/sites/PMSLAGOS/Shared Documents/GDP (GOOD DISTRIBUTION PRATICE)/GSDP COMPANY FILES\GODS FOUNDATION" xr:uid="{7AB10CEC-F302-46A5-905E-C03CAEA1E34A}"/>
    <hyperlink ref="N46" r:id="rId51" display="https://nafdacng.sharepoint.com/sites/PMSLAGOS/Shared Documents/GDP (GOOD DISTRIBUTION PRATICE)/GSDP COMPANY FILES\E.U EMMASON" xr:uid="{E62801B9-97A8-4A65-9F42-80C0CB18775E}"/>
    <hyperlink ref="N47" r:id="rId52" display="https://nafdacng.sharepoint.com/sites/PMSLAGOS/Shared Documents/GDP (GOOD DISTRIBUTION PRATICE)/GSDP COMPANY FILES\ANYI WEST PHARMACY" xr:uid="{4C90FC6C-AF53-45A3-AD25-363733E718E1}"/>
    <hyperlink ref="N48" r:id="rId53" display="https://nafdacng.sharepoint.com/sites/PMSLAGOS/Shared Documents/GDP (GOOD DISTRIBUTION PRATICE)/GSDP COMPANY FILES\KRANTZ PHARMACY" xr:uid="{CEF7A4A3-6DA1-4A93-A566-B7D4CED95CB9}"/>
    <hyperlink ref="N49" r:id="rId54" display="https://nafdacng.sharepoint.com/sites/PMSLAGOS/Shared Documents/GDP (GOOD DISTRIBUTION PRATICE)/GSDP COMPANY FILES\ALGANDA PHARMACEUTICALS" xr:uid="{7315EA42-7AC4-48E6-A4B8-50D6B8D9FFAD}"/>
    <hyperlink ref="N50" r:id="rId55" display="https://nafdacng.sharepoint.com/sites/PMSLAGOS/Shared Documents/GDP (GOOD DISTRIBUTION PRATICE)/GSDP COMPANY FILES\CIKASON PHARMACY" xr:uid="{67571B44-BCDD-4FF4-9EFE-A8C59ECACD90}"/>
    <hyperlink ref="N51" r:id="rId56" display="https://nafdacng.sharepoint.com/sites/PMSLAGOS/Shared Documents/GDP (GOOD DISTRIBUTION PRATICE)/GSDP COMPANY FILES\MARY IYKE PHARMACY" xr:uid="{3FBDE30A-1906-4304-8959-24A0A04494FE}"/>
    <hyperlink ref="N52" r:id="rId57" display="https://nafdacng.sharepoint.com/sites/PMSLAGOS/Shared Documents/GDP (GOOD DISTRIBUTION PRATICE)/GSDP COMPANY FILES\DRUG STOC EHUB" xr:uid="{C879AD61-A81F-4B35-A9B6-2AB1286BA7DC}"/>
    <hyperlink ref="N53" r:id="rId58" display="https://nafdacng.sharepoint.com/sites/PMSLAGOS/Shared Documents/GDP (GOOD DISTRIBUTION PRATICE)/GSDP COMPANY FILES\MAC EVENTUS PHARM LTD" xr:uid="{3876F701-854B-4D5B-BD93-632D6F87F204}"/>
    <hyperlink ref="N54" r:id="rId59" display="https://nafdacng.sharepoint.com/sites/PMSLAGOS/Shared Documents/GDP (GOOD DISTRIBUTION PRATICE)/GSDP COMPANY FILES\SAMNTO PHARM" xr:uid="{418B3327-2263-4AA7-A732-2282B9AF19D1}"/>
    <hyperlink ref="N55" r:id="rId60" xr:uid="{14893ADF-99A3-4F24-9BD9-ADAE73657544}"/>
    <hyperlink ref="N56" r:id="rId61" display="https://nafdacng.sharepoint.com/sites/PMSLAGOS/Shared Documents/GDP (GOOD DISTRIBUTION PRATICE)/GSDP COMPANY FILES\CHEV PHARMACEUTICALS LTD" xr:uid="{7A700C11-F9AF-4B79-BA04-4F05BCE92D20}"/>
    <hyperlink ref="N57" r:id="rId62" display="https://nafdacng.sharepoint.com/sites/PMSLAGOS/Shared Documents/GDP (GOOD DISTRIBUTION PRATICE)/GSDP COMPANY FILES\REMSON" xr:uid="{37BA3991-0E88-4FAD-B14D-D3E99FCB9B84}"/>
    <hyperlink ref="N58" r:id="rId63" display="https://nafdacng.sharepoint.com/sites/PMSLAGOS/Shared Documents/GDP (GOOD DISTRIBUTION PRATICE)/GSDP COMPANY FILES\CITY OF GLORY PHARM" xr:uid="{AC6DF7FD-E923-4CC2-99EE-F2860A81AF91}"/>
    <hyperlink ref="N59" r:id="rId64" display="https://nafdacng.sharepoint.com/sites/PMSLAGOS/Shared Documents/GDP (GOOD DISTRIBUTION PRATICE)/GSDP COMPANY FILES\CHRIS NELB PHARMACY" xr:uid="{53093C03-C300-4F72-B4A2-C3D0CADC7D9D}"/>
    <hyperlink ref="N60" r:id="rId65" display="https://nafdacng.sharepoint.com/sites/PMSLAGOS/Shared Documents/GDP (GOOD DISTRIBUTION PRATICE)/GSDP COMPANY FILES\SURPLUS PHARM" xr:uid="{A1923BD2-EE4E-4B46-9872-FEA280C9F276}"/>
    <hyperlink ref="N62" r:id="rId66" display="https://nafdacng.sharepoint.com/sites/PMSLAGOS/Shared Documents/GDP (GOOD DISTRIBUTION PRATICE)/GSDP COMPANY FILES\DOMINO PHARM" xr:uid="{DEFD6CC8-9CD4-49CC-9562-DE21696A6A27}"/>
    <hyperlink ref="N63" r:id="rId67" display="https://nafdacng.sharepoint.com/sites/PMSLAGOS/Shared Documents/GDP (GOOD DISTRIBUTION PRATICE)/GSDP COMPANY FILES\HOLEX PHARMACEUTICALS" xr:uid="{E25BC423-B749-480E-A462-B9BDFF98C1A6}"/>
    <hyperlink ref="N64" r:id="rId68" display="https://nafdacng.sharepoint.com/sites/PMSLAGOS/Shared Documents/GDP (GOOD DISTRIBUTION PRATICE)/GSDP COMPANY FILES\WINDOM PHARMACY" xr:uid="{8B41FA63-C9FE-45F4-A3C5-A4D18E03B5D3}"/>
    <hyperlink ref="N65" r:id="rId69" display="https://nafdacng.sharepoint.com/sites/PMSLAGOS/Shared Documents/GDP (GOOD DISTRIBUTION PRATICE)/GSDP COMPANY FILES\JOSEFERKMART PHARMACY" xr:uid="{3BC8E5EC-AAA1-40DE-9B2D-97F89AF88F06}"/>
    <hyperlink ref="N66" r:id="rId70" display="https://nafdacng.sharepoint.com/sites/PMSLAGOS/Shared Documents/GDP (GOOD DISTRIBUTION PRATICE)/GSDP COMPANY FILES\LINCO STAR PHARM" xr:uid="{68DC9F5B-7F1A-45B4-8EDA-FF8D84F1C5B7}"/>
    <hyperlink ref="N67" r:id="rId71" display="https://nafdacng.sharepoint.com/sites/PMSLAGOS/Shared Documents/GDP (GOOD DISTRIBUTION PRATICE)/GSDP COMPANY FILES\E. EGBESON CHEM PHARM" xr:uid="{66BFB781-3C77-440A-BEF0-555CF98B7EEA}"/>
    <hyperlink ref="N68" r:id="rId72" display="https://nafdacng.sharepoint.com/sites/PMSLAGOS/Shared Documents/GDP (GOOD DISTRIBUTION PRATICE)/GSDP COMPANY FILES\DE GOOD GOD PHARM" xr:uid="{AE7C5EBE-5835-47E8-B732-FE7B7819E367}"/>
    <hyperlink ref="N69" r:id="rId73" display="https://nafdacng.sharepoint.com/sites/PMSLAGOS/Shared Documents/GDP (GOOD DISTRIBUTION PRATICE)/GSDP COMPANY FILES\ALKATRICE PHARMACEUTICALS" xr:uid="{B7B9590B-99B4-49F7-A3FD-336471B2A267}"/>
    <hyperlink ref="N70" r:id="rId74" display="https://nafdacng.sharepoint.com/sites/PMSLAGOS/Shared Documents/GDP (GOOD DISTRIBUTION PRATICE)/GSDP COMPANY FILES\LIVE MORE PHARMACY" xr:uid="{5ADC46E3-6973-4386-9A70-0EA8AFCB27A5}"/>
    <hyperlink ref="N71" r:id="rId75" display="https://nafdacng.sharepoint.com/sites/PMSLAGOS/Shared Documents/GDP (GOOD DISTRIBUTION PRATICE)/GSDP COMPANY FILES\UZOKENN PHARMACY" xr:uid="{077455A8-67CA-4C05-9333-CF30BC2EC3AE}"/>
    <hyperlink ref="N72" r:id="rId76" display="https://nafdacng.sharepoint.com/sites/PMSLAGOS/Shared Documents/GDP (GOOD DISTRIBUTION PRATICE)/GSDP COMPANY FILES\EVITA MOORE NIG LTD" xr:uid="{3586F624-2266-4A09-8D2F-AC256236F45F}"/>
    <hyperlink ref="N73" r:id="rId77" display="https://nafdacng.sharepoint.com/sites/PMSLAGOS/Shared Documents/GDP (GOOD DISTRIBUTION PRATICE)/GSDP COMPANY FILES\GLACK PHARMECEUTICALS LTD" xr:uid="{9F368C79-A447-479B-81A3-24E0EEB9A42D}"/>
    <hyperlink ref="N74" r:id="rId78" display="https://nafdacng.sharepoint.com/sites/PMSLAGOS/Shared Documents/GDP (GOOD DISTRIBUTION PRATICE)/GSDP COMPANY FILES\DRUG FIELD" xr:uid="{4D2D7B89-DB4A-402D-9D43-183D8279C7E6}"/>
    <hyperlink ref="N75" r:id="rId79" display="https://nafdacng.sharepoint.com/sites/PMSLAGOS/Shared Documents/GDP (GOOD DISTRIBUTION PRATICE)/GSDP COMPANY FILES\DIVINE LIFT PHARMACY" xr:uid="{B5D90968-10BB-49FC-A2C9-677D35DCE747}"/>
    <hyperlink ref="N76" r:id="rId80" display="https://nafdacng.sharepoint.com/sites/PMSLAGOS/Shared Documents/GDP (GOOD DISTRIBUTION PRATICE)/GSDP COMPANY FILES\CHEV PHARMACEUTICALS LTD" xr:uid="{F9A316F3-F602-4FF5-8A93-F60D3409B864}"/>
    <hyperlink ref="N77" r:id="rId81" display="https://nafdacng.sharepoint.com/sites/PMSLAGOS/Shared Documents/GDP (GOOD DISTRIBUTION PRATICE)/GSDP COMPANY FILES\A.N CHIDOZIE PHARMACEUTICAL LTD" xr:uid="{440A3A65-B796-4180-89E1-8EEFB76B0A78}"/>
    <hyperlink ref="N78" r:id="rId82" display="https://nafdacng.sharepoint.com/sites/PMSLAGOS/Shared Documents/GDP (GOOD DISTRIBUTION PRATICE)/GSDP COMPANY FILES\OBITEX DIVINE PHARMACEUTICALS" xr:uid="{3E396327-6692-4A0D-8D00-881F55A0A707}"/>
    <hyperlink ref="N79" r:id="rId83" display="https://nafdacng.sharepoint.com/sites/PMSLAGOS/Shared Documents/GDP (GOOD DISTRIBUTION PRATICE)/GSDP COMPANY FILES\DRUG AMBASADOR PHARM" xr:uid="{4447D36D-26FF-4D84-B76E-D043598D16F9}"/>
    <hyperlink ref="N80" r:id="rId84" display="https://nafdacng.sharepoint.com/sites/PMSLAGOS/Shared Documents/GDP (GOOD DISTRIBUTION PRATICE)/GSDP COMPANY FILES\BLESSED NEODYKE PHARM CO" xr:uid="{B9FD56F9-2535-4FCC-921F-65E6EBCA80AD}"/>
    <hyperlink ref="N81" r:id="rId85" display="https://nafdacng.sharepoint.com/sites/PMSLAGOS/Shared Documents/GDP (GOOD DISTRIBUTION PRATICE)/GSDP COMPANY FILES\ELBE PHARMA. NIG LTD" xr:uid="{23689FC6-8B85-49BE-86A6-3B39652CF4AA}"/>
    <hyperlink ref="N82" r:id="rId86" display="https://nafdacng.sharepoint.com/sites/PMSLAGOS/Shared Documents/GDP (GOOD DISTRIBUTION PRATICE)/GSDP COMPANY FILES\GREENLIFE PHARM. LTD" xr:uid="{EECF4333-CA4C-4A97-A296-68E84F9BB918}"/>
    <hyperlink ref="N83" r:id="rId87" display="https://nafdacng.sharepoint.com/sites/PMSLAGOS/Shared Documents/GDP (GOOD DISTRIBUTION PRATICE)/GSDP COMPANY FILES\EMBASSY PHARM" xr:uid="{9018F25B-BF5A-4935-8B44-E71DEE8E331F}"/>
    <hyperlink ref="N84" r:id="rId88" display="https://nafdacng.sharepoint.com/sites/PMSLAGOS/Shared Documents/GDP (GOOD DISTRIBUTION PRATICE)/GSDP COMPANY FILES\TEKA PHARM" xr:uid="{038735DD-1A43-4682-A2E3-1A885CADA226}"/>
    <hyperlink ref="N85" r:id="rId89" display="https://nafdacng.sharepoint.com/sites/PMSLAGOS/Shared Documents/GDP (GOOD DISTRIBUTION PRATICE)/GSDP COMPANY FILES\CLARION HEALTHCARE" xr:uid="{59C80D93-EDC8-4079-8536-1B6579BD7CCB}"/>
    <hyperlink ref="N86" r:id="rId90" display="https://nafdacng.sharepoint.com/sites/PMSLAGOS/Shared Documents/GDP (GOOD DISTRIBUTION PRATICE)/GSDP COMPANY FILES\HUGO DRUGS LIMITED" xr:uid="{44DAFA4E-9BCB-42A9-9D78-F5FC04B491B9}"/>
    <hyperlink ref="N87" r:id="rId91" display="https://nafdacng.sharepoint.com/sites/PMSLAGOS/Shared Documents/GDP (GOOD DISTRIBUTION PRATICE)/GSDP COMPANY FILES\MARK PHARMACEUTICALS" xr:uid="{8EDBFE62-48AF-40E9-B2DF-AFA12AE4C936}"/>
    <hyperlink ref="N88" r:id="rId92" display="https://nafdacng.sharepoint.com/sites/PMSLAGOS/Shared Documents/GDP (GOOD DISTRIBUTION PRATICE)/GSDP COMPANY FILES\DERM PHARMACEUTICALS" xr:uid="{07086F9C-8751-458C-9775-5B2E9365F925}"/>
    <hyperlink ref="N89" r:id="rId93" display="https://nafdacng.sharepoint.com/sites/PMSLAGOS/Shared Documents/GDP (GOOD DISTRIBUTION PRATICE)/GSDP COMPANY FILES\SAGAR VITACEAUTICALS NIG LTD" xr:uid="{C86FED6C-900F-4F9D-8C4D-EA2A0A7A731E}"/>
    <hyperlink ref="N90" r:id="rId94" display="https://nafdacng.sharepoint.com/sites/PMSLAGOS/Shared Documents/GDP (GOOD DISTRIBUTION PRATICE)/GSDP COMPANY FILES\VINCO PHARM" xr:uid="{BEE176FB-B088-4176-87BA-91B7F0C9E7E8}"/>
    <hyperlink ref="N91" r:id="rId95" display="https://nafdacng.sharepoint.com/sites/PMSLAGOS/Shared Documents/GDP (GOOD DISTRIBUTION PRATICE)/GSDP COMPANY FILES\ONIFAM LABORATORIES LTD" xr:uid="{3859B65B-6EA1-44CC-BE4E-8AF06080132C}"/>
    <hyperlink ref="N92" r:id="rId96" display="https://nafdacng.sharepoint.com/sites/PMSLAGOS/Shared Documents/GDP (GOOD DISTRIBUTION PRATICE)/GSDP COMPANY FILES\AGARY PHARMACEUTICALS LTD" xr:uid="{7A045B33-5A14-4552-AA9F-74B2E99A3AC7}"/>
    <hyperlink ref="N93" r:id="rId97" display="https://nafdacng.sharepoint.com/sites/PMSLAGOS/Shared Documents/GDP (GOOD DISTRIBUTION PRATICE)/GSDP COMPANY FILES\SHALINA HEALTHCARE LTD" xr:uid="{5F545C88-C4B8-41B0-AF60-0FDDE8AFA411}"/>
    <hyperlink ref="N95" r:id="rId98" display="https://nafdacng.sharepoint.com/sites/PMSLAGOS/Shared Documents/GDP (GOOD DISTRIBUTION PRATICE)/GSDP COMPANY FILES\IMMACULATE CARE PHARM" xr:uid="{C399168C-92F0-4211-9508-F974177BAF37}"/>
    <hyperlink ref="N96" r:id="rId99" display="https://nafdacng.sharepoint.com/sites/PMSLAGOS/Shared Documents/GDP (GOOD DISTRIBUTION PRATICE)/GSDP COMPANY FILES\COLLIBEX PHARM" xr:uid="{09342F5C-F75D-499D-8C9A-79DC43CE6BDB}"/>
    <hyperlink ref="N97" r:id="rId100" display="https://nafdacng.sharepoint.com/sites/PMSLAGOS/Shared Documents/GDP (GOOD DISTRIBUTION PRATICE)/GSDP COMPANY FILES\EMMASTEV PHARM" xr:uid="{A880280D-40C3-4D7B-8814-5D9BCE1AFFD2}"/>
    <hyperlink ref="N98" r:id="rId101" display="https://nafdacng.sharepoint.com/sites/PMSLAGOS/Shared Documents/GDP (GOOD DISTRIBUTION PRATICE)/GSDP COMPANY FILES\VINCO PHARM" xr:uid="{8FF139F1-ECF0-43FC-B668-8F08D648BC69}"/>
    <hyperlink ref="N99" r:id="rId102" display="https://nafdacng.sharepoint.com/sites/PMSLAGOS/Shared Documents/GDP (GOOD DISTRIBUTION PRATICE)/GSDP COMPANY FILES\SKY PHARM" xr:uid="{79ED054E-DCBD-4F59-8053-2666A5F8558B}"/>
    <hyperlink ref="N100" r:id="rId103" display="https://nafdacng.sharepoint.com/sites/PMSLAGOS/Shared Documents/GDP (GOOD DISTRIBUTION PRATICE)/GSDP COMPANY FILES\AJAO SAMUEL" xr:uid="{5FFC4E13-C7CC-4AE8-84DF-30058ED7B227}"/>
    <hyperlink ref="N101" r:id="rId104" display="https://nafdacng.sharepoint.com/sites/PMSLAGOS/Shared Documents/GDP (GOOD DISTRIBUTION PRATICE)/GSDP COMPANY FILES\MALVEN MEDICS LTD" xr:uid="{5980693A-48FA-43D4-AE20-B222F8BAE118}"/>
    <hyperlink ref="N102" r:id="rId105" display="https://nafdacng.sharepoint.com/sites/PMSLAGOS/Shared Documents/GDP (GOOD DISTRIBUTION PRATICE)/GSDP COMPANY FILES\TUM TAY COMPANY LTD" xr:uid="{CF16EE58-3972-4C8B-9325-454E597A18ED}"/>
    <hyperlink ref="N103" r:id="rId106" display="https://nafdacng.sharepoint.com/sites/PMSLAGOS/Shared Documents/GDP (GOOD DISTRIBUTION PRATICE)/GSDP COMPANY FILES\VITBORAH PHARMA LTD" xr:uid="{EAB2BB18-0F2A-442F-A20C-4A43B40781B5}"/>
    <hyperlink ref="N104" r:id="rId107" xr:uid="{5354AD39-5913-4B01-8A56-E1042AAA6E30}"/>
    <hyperlink ref="N105" r:id="rId108" xr:uid="{B057BABF-16F0-4063-A674-74C3583464C7}"/>
    <hyperlink ref="N106" r:id="rId109" xr:uid="{7A96B0D7-B873-4228-8D6F-77D4A64F7AEE}"/>
    <hyperlink ref="N107" r:id="rId110" xr:uid="{54F334A7-D56A-4304-A7D0-4028EE1B4C9B}"/>
    <hyperlink ref="N3" r:id="rId111" xr:uid="{A712C0D0-C985-452B-83B2-524BAA64B2AA}"/>
  </hyperlinks>
  <pageMargins left="0.7" right="0.7" top="0.75" bottom="0.75" header="0.3" footer="0.3"/>
  <pageSetup orientation="portrait"/>
  <tableParts count="1">
    <tablePart r:id="rId11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42886-DB57-45F9-B200-5594CFE938F9}">
  <dimension ref="A1:G13"/>
  <sheetViews>
    <sheetView tabSelected="1" workbookViewId="0">
      <selection activeCell="R5" sqref="R5"/>
    </sheetView>
  </sheetViews>
  <sheetFormatPr defaultRowHeight="15"/>
  <sheetData>
    <row r="1" spans="1:7" ht="43.5">
      <c r="B1" s="36" t="s">
        <v>601</v>
      </c>
      <c r="C1" s="36" t="s">
        <v>602</v>
      </c>
      <c r="D1" s="36" t="s">
        <v>9</v>
      </c>
      <c r="E1" s="36" t="s">
        <v>603</v>
      </c>
      <c r="F1" s="36" t="s">
        <v>604</v>
      </c>
      <c r="G1" s="36" t="s">
        <v>605</v>
      </c>
    </row>
    <row r="2" spans="1:7">
      <c r="A2" t="s">
        <v>606</v>
      </c>
      <c r="B2">
        <f>COUNTIFS(
'INSPECTED FACILITIES 2023'!E:E,"GDP",
'INSPECTED FACILITIES 2023'!F:F,"&gt;="&amp;DATE(2023,MONTH(DATEVALUE(A2&amp;" 1")),1),
'INSPECTED FACILITIES 2023'!F:F,"&lt;"&amp;EOMONTH(DATE(2023,MONTH(DATEVALUE(A2&amp;" 1")),1),0)+1
)</f>
        <v>6</v>
      </c>
      <c r="C2">
        <f>COUNTIFS(
'INSPECTED FACILITIES 2023'!E:E,"CAPA",
'INSPECTED FACILITIES 2023'!F:F,"&gt;="&amp;DATE(2023,MONTH(DATEVALUE(A2&amp;" 1")),1),
'INSPECTED FACILITIES 2023'!F:F,"&lt;"&amp;EOMONTH(DATE(2023,MONTH(DATEVALUE(A2&amp;" 1")),1),0)+1
)</f>
        <v>0</v>
      </c>
      <c r="D2">
        <f>COUNTIFS(
'INSPECTED FACILITIES 2023'!I:I,"YES",
'INSPECTED FACILITIES 2023'!F:F,"&gt;="&amp;DATE(2023,MONTH(DATEVALUE(A2&amp;" 1")),1),
'INSPECTED FACILITIES 2023'!F:F,"&lt;"&amp;EOMONTH(DATE(2023,MONTH(DATEVALUE(A2&amp;" 1")),1),0)+1
)</f>
        <v>2</v>
      </c>
      <c r="E2">
        <f>COUNTIFS(
'INSPECTED FACILITIES 2023'!G:G,"Low-Risk (A)",
'INSPECTED FACILITIES 2023'!F:F,"&gt;="&amp;DATE(2023,MONTH(DATEVALUE(A2&amp;" 1")),1),
'INSPECTED FACILITIES 2023'!F:F,"&lt;"&amp;EOMONTH(DATE(2023,MONTH(DATEVALUE(A2&amp;" 1")),1),0)+1
)</f>
        <v>1</v>
      </c>
      <c r="F2">
        <f>COUNTIFS(
'INSPECTED FACILITIES 2023'!G:G,"Medium-Risk (B)",
'INSPECTED FACILITIES 2023'!F:F,"&gt;="&amp;DATE(2023,MONTH(DATEVALUE(A2&amp;" 1")),1),
'INSPECTED FACILITIES 2023'!F:F,"&lt;"&amp;EOMONTH(DATE(2023,MONTH(DATEVALUE(A2&amp;" 1")),1),0)+1
)</f>
        <v>2</v>
      </c>
      <c r="G2">
        <f>COUNTIFS(
'INSPECTED FACILITIES 2023'!G:G,"High-Risk (C)",
'INSPECTED FACILITIES 2023'!F:F,"&gt;="&amp;DATE(2023,MONTH(DATEVALUE(A2&amp;" 1")),1),
'INSPECTED FACILITIES 2023'!F:F,"&lt;"&amp;EOMONTH(DATE(2023,MONTH(DATEVALUE(A2&amp;" 1")),1),0)+1
)</f>
        <v>0</v>
      </c>
    </row>
    <row r="3" spans="1:7">
      <c r="A3" t="s">
        <v>607</v>
      </c>
      <c r="B3">
        <f>COUNTIFS(
'INSPECTED FACILITIES 2023'!E:E,"GDP",
'INSPECTED FACILITIES 2023'!F:F,"&gt;="&amp;DATE(2023,MONTH(DATEVALUE(A3&amp;" 1")),1),
'INSPECTED FACILITIES 2023'!F:F,"&lt;"&amp;EOMONTH(DATE(2023,MONTH(DATEVALUE(A3&amp;" 1")),1),0)+1
)</f>
        <v>8</v>
      </c>
      <c r="C3">
        <f>COUNTIFS(
'INSPECTED FACILITIES 2023'!E:E,"CAPA",
'INSPECTED FACILITIES 2023'!F:F,"&gt;="&amp;DATE(2023,MONTH(DATEVALUE(A3&amp;" 1")),1),
'INSPECTED FACILITIES 2023'!F:F,"&lt;"&amp;EOMONTH(DATE(2023,MONTH(DATEVALUE(A3&amp;" 1")),1),0)+1
)</f>
        <v>0</v>
      </c>
      <c r="D3">
        <f>COUNTIFS(
'INSPECTED FACILITIES 2023'!I:I,"YES",
'INSPECTED FACILITIES 2023'!F:F,"&gt;="&amp;DATE(2023,MONTH(DATEVALUE(A3&amp;" 1")),1),
'INSPECTED FACILITIES 2023'!F:F,"&lt;"&amp;EOMONTH(DATE(2023,MONTH(DATEVALUE(A3&amp;" 1")),1),0)+1
)</f>
        <v>3</v>
      </c>
      <c r="E3">
        <f>COUNTIFS(
'INSPECTED FACILITIES 2023'!G:G,"Low-Risk (A)",
'INSPECTED FACILITIES 2023'!F:F,"&gt;="&amp;DATE(2023,MONTH(DATEVALUE(A3&amp;" 1")),1),
'INSPECTED FACILITIES 2023'!F:F,"&lt;"&amp;EOMONTH(DATE(2023,MONTH(DATEVALUE(A3&amp;" 1")),1),0)+1
)</f>
        <v>4</v>
      </c>
      <c r="F3">
        <f>COUNTIFS(
'INSPECTED FACILITIES 2023'!G:G,"Medium-Risk (B)",
'INSPECTED FACILITIES 2023'!F:F,"&gt;="&amp;DATE(2023,MONTH(DATEVALUE(A3&amp;" 1")),1),
'INSPECTED FACILITIES 2023'!F:F,"&lt;"&amp;EOMONTH(DATE(2023,MONTH(DATEVALUE(A3&amp;" 1")),1),0)+1
)</f>
        <v>2</v>
      </c>
      <c r="G3">
        <f>COUNTIFS(
'INSPECTED FACILITIES 2023'!G:G,"High-Risk (C)",
'INSPECTED FACILITIES 2023'!F:F,"&gt;="&amp;DATE(2023,MONTH(DATEVALUE(A3&amp;" 1")),1),
'INSPECTED FACILITIES 2023'!F:F,"&lt;"&amp;EOMONTH(DATE(2023,MONTH(DATEVALUE(A3&amp;" 1")),1),0)+1
)</f>
        <v>2</v>
      </c>
    </row>
    <row r="4" spans="1:7">
      <c r="A4" t="s">
        <v>608</v>
      </c>
      <c r="B4">
        <f>COUNTIFS(
'INSPECTED FACILITIES 2023'!E:E,"GDP",
'INSPECTED FACILITIES 2023'!F:F,"&gt;="&amp;DATE(2023,MONTH(DATEVALUE(A4&amp;" 1")),1),
'INSPECTED FACILITIES 2023'!F:F,"&lt;"&amp;EOMONTH(DATE(2023,MONTH(DATEVALUE(A4&amp;" 1")),1),0)+1
)</f>
        <v>4</v>
      </c>
      <c r="C4">
        <f>COUNTIFS(
'INSPECTED FACILITIES 2023'!E:E,"CAPA",
'INSPECTED FACILITIES 2023'!F:F,"&gt;="&amp;DATE(2023,MONTH(DATEVALUE(A4&amp;" 1")),1),
'INSPECTED FACILITIES 2023'!F:F,"&lt;"&amp;EOMONTH(DATE(2023,MONTH(DATEVALUE(A4&amp;" 1")),1),0)+1
)</f>
        <v>0</v>
      </c>
      <c r="D4">
        <f>COUNTIFS(
'INSPECTED FACILITIES 2023'!I:I,"YES",
'INSPECTED FACILITIES 2023'!F:F,"&gt;="&amp;DATE(2023,MONTH(DATEVALUE(A4&amp;" 1")),1),
'INSPECTED FACILITIES 2023'!F:F,"&lt;"&amp;EOMONTH(DATE(2023,MONTH(DATEVALUE(A4&amp;" 1")),1),0)+1
)</f>
        <v>0</v>
      </c>
      <c r="E4">
        <f>COUNTIFS(
'INSPECTED FACILITIES 2023'!G:G,"Low-Risk (A)",
'INSPECTED FACILITIES 2023'!F:F,"&gt;="&amp;DATE(2023,MONTH(DATEVALUE(A4&amp;" 1")),1),
'INSPECTED FACILITIES 2023'!F:F,"&lt;"&amp;EOMONTH(DATE(2023,MONTH(DATEVALUE(A4&amp;" 1")),1),0)+1
)</f>
        <v>1</v>
      </c>
      <c r="F4">
        <f>COUNTIFS(
'INSPECTED FACILITIES 2023'!G:G,"Medium-Risk (B)",
'INSPECTED FACILITIES 2023'!F:F,"&gt;="&amp;DATE(2023,MONTH(DATEVALUE(A4&amp;" 1")),1),
'INSPECTED FACILITIES 2023'!F:F,"&lt;"&amp;EOMONTH(DATE(2023,MONTH(DATEVALUE(A4&amp;" 1")),1),0)+1
)</f>
        <v>1</v>
      </c>
      <c r="G4">
        <f>COUNTIFS(
'INSPECTED FACILITIES 2023'!G:G,"High-Risk (C)",
'INSPECTED FACILITIES 2023'!F:F,"&gt;="&amp;DATE(2023,MONTH(DATEVALUE(A4&amp;" 1")),1),
'INSPECTED FACILITIES 2023'!F:F,"&lt;"&amp;EOMONTH(DATE(2023,MONTH(DATEVALUE(A4&amp;" 1")),1),0)+1
)</f>
        <v>2</v>
      </c>
    </row>
    <row r="5" spans="1:7">
      <c r="A5" t="s">
        <v>609</v>
      </c>
      <c r="B5">
        <f>COUNTIFS(
'INSPECTED FACILITIES 2023'!E:E,"GDP",
'INSPECTED FACILITIES 2023'!F:F,"&gt;="&amp;DATE(2023,MONTH(DATEVALUE(A5&amp;" 1")),1),
'INSPECTED FACILITIES 2023'!F:F,"&lt;"&amp;EOMONTH(DATE(2023,MONTH(DATEVALUE(A5&amp;" 1")),1),0)+1
)</f>
        <v>3</v>
      </c>
      <c r="C5">
        <f>COUNTIFS(
'INSPECTED FACILITIES 2023'!E:E,"CAPA",
'INSPECTED FACILITIES 2023'!F:F,"&gt;="&amp;DATE(2023,MONTH(DATEVALUE(A5&amp;" 1")),1),
'INSPECTED FACILITIES 2023'!F:F,"&lt;"&amp;EOMONTH(DATE(2023,MONTH(DATEVALUE(A5&amp;" 1")),1),0)+1
)</f>
        <v>0</v>
      </c>
      <c r="D5">
        <f>COUNTIFS(
'INSPECTED FACILITIES 2023'!I:I,"YES",
'INSPECTED FACILITIES 2023'!F:F,"&gt;="&amp;DATE(2023,MONTH(DATEVALUE(A5&amp;" 1")),1),
'INSPECTED FACILITIES 2023'!F:F,"&lt;"&amp;EOMONTH(DATE(2023,MONTH(DATEVALUE(A5&amp;" 1")),1),0)+1
)</f>
        <v>1</v>
      </c>
      <c r="E5">
        <f>COUNTIFS(
'INSPECTED FACILITIES 2023'!G:G,"Low-Risk (A)",
'INSPECTED FACILITIES 2023'!F:F,"&gt;="&amp;DATE(2023,MONTH(DATEVALUE(A5&amp;" 1")),1),
'INSPECTED FACILITIES 2023'!F:F,"&lt;"&amp;EOMONTH(DATE(2023,MONTH(DATEVALUE(A5&amp;" 1")),1),0)+1
)</f>
        <v>0</v>
      </c>
      <c r="F5">
        <f>COUNTIFS(
'INSPECTED FACILITIES 2023'!G:G,"Medium-Risk (B)",
'INSPECTED FACILITIES 2023'!F:F,"&gt;="&amp;DATE(2023,MONTH(DATEVALUE(A5&amp;" 1")),1),
'INSPECTED FACILITIES 2023'!F:F,"&lt;"&amp;EOMONTH(DATE(2023,MONTH(DATEVALUE(A5&amp;" 1")),1),0)+1
)</f>
        <v>2</v>
      </c>
      <c r="G5">
        <f>COUNTIFS(
'INSPECTED FACILITIES 2023'!G:G,"High-Risk (C)",
'INSPECTED FACILITIES 2023'!F:F,"&gt;="&amp;DATE(2023,MONTH(DATEVALUE(A5&amp;" 1")),1),
'INSPECTED FACILITIES 2023'!F:F,"&lt;"&amp;EOMONTH(DATE(2023,MONTH(DATEVALUE(A5&amp;" 1")),1),0)+1
)</f>
        <v>0</v>
      </c>
    </row>
    <row r="6" spans="1:7">
      <c r="A6" t="s">
        <v>610</v>
      </c>
      <c r="B6">
        <f>COUNTIFS(
'INSPECTED FACILITIES 2023'!E:E,"GDP",
'INSPECTED FACILITIES 2023'!F:F,"&gt;="&amp;DATE(2023,MONTH(DATEVALUE(A6&amp;" 1")),1),
'INSPECTED FACILITIES 2023'!F:F,"&lt;"&amp;EOMONTH(DATE(2023,MONTH(DATEVALUE(A6&amp;" 1")),1),0)+1
)</f>
        <v>11</v>
      </c>
      <c r="C6">
        <f>COUNTIFS(
'INSPECTED FACILITIES 2023'!E:E,"CAPA",
'INSPECTED FACILITIES 2023'!F:F,"&gt;="&amp;DATE(2023,MONTH(DATEVALUE(A6&amp;" 1")),1),
'INSPECTED FACILITIES 2023'!F:F,"&lt;"&amp;EOMONTH(DATE(2023,MONTH(DATEVALUE(A6&amp;" 1")),1),0)+1
)</f>
        <v>0</v>
      </c>
      <c r="D6">
        <f>COUNTIFS(
'INSPECTED FACILITIES 2023'!I:I,"YES",
'INSPECTED FACILITIES 2023'!F:F,"&gt;="&amp;DATE(2023,MONTH(DATEVALUE(A6&amp;" 1")),1),
'INSPECTED FACILITIES 2023'!F:F,"&lt;"&amp;EOMONTH(DATE(2023,MONTH(DATEVALUE(A6&amp;" 1")),1),0)+1
)</f>
        <v>1</v>
      </c>
      <c r="E6">
        <f>COUNTIFS(
'INSPECTED FACILITIES 2023'!G:G,"Low-Risk (A)",
'INSPECTED FACILITIES 2023'!F:F,"&gt;="&amp;DATE(2023,MONTH(DATEVALUE(A6&amp;" 1")),1),
'INSPECTED FACILITIES 2023'!F:F,"&lt;"&amp;EOMONTH(DATE(2023,MONTH(DATEVALUE(A6&amp;" 1")),1),0)+1
)</f>
        <v>0</v>
      </c>
      <c r="F6">
        <f>COUNTIFS(
'INSPECTED FACILITIES 2023'!G:G,"Medium-Risk (B)",
'INSPECTED FACILITIES 2023'!F:F,"&gt;="&amp;DATE(2023,MONTH(DATEVALUE(A6&amp;" 1")),1),
'INSPECTED FACILITIES 2023'!F:F,"&lt;"&amp;EOMONTH(DATE(2023,MONTH(DATEVALUE(A6&amp;" 1")),1),0)+1
)</f>
        <v>5</v>
      </c>
      <c r="G6">
        <f>COUNTIFS(
'INSPECTED FACILITIES 2023'!G:G,"High-Risk (C)",
'INSPECTED FACILITIES 2023'!F:F,"&gt;="&amp;DATE(2023,MONTH(DATEVALUE(A6&amp;" 1")),1),
'INSPECTED FACILITIES 2023'!F:F,"&lt;"&amp;EOMONTH(DATE(2023,MONTH(DATEVALUE(A6&amp;" 1")),1),0)+1
)</f>
        <v>5</v>
      </c>
    </row>
    <row r="7" spans="1:7">
      <c r="A7" t="s">
        <v>611</v>
      </c>
      <c r="B7">
        <f>COUNTIFS(
'INSPECTED FACILITIES 2023'!E:E,"GDP",
'INSPECTED FACILITIES 2023'!F:F,"&gt;="&amp;DATE(2023,MONTH(DATEVALUE(A7&amp;" 1")),1),
'INSPECTED FACILITIES 2023'!F:F,"&lt;"&amp;EOMONTH(DATE(2023,MONTH(DATEVALUE(A7&amp;" 1")),1),0)+1
)</f>
        <v>1</v>
      </c>
      <c r="C7">
        <f>COUNTIFS(
'INSPECTED FACILITIES 2023'!E:E,"CAPA",
'INSPECTED FACILITIES 2023'!F:F,"&gt;="&amp;DATE(2023,MONTH(DATEVALUE(A7&amp;" 1")),1),
'INSPECTED FACILITIES 2023'!F:F,"&lt;"&amp;EOMONTH(DATE(2023,MONTH(DATEVALUE(A7&amp;" 1")),1),0)+1
)</f>
        <v>0</v>
      </c>
      <c r="D7">
        <f>COUNTIFS(
'INSPECTED FACILITIES 2023'!I:I,"YES",
'INSPECTED FACILITIES 2023'!F:F,"&gt;="&amp;DATE(2023,MONTH(DATEVALUE(A7&amp;" 1")),1),
'INSPECTED FACILITIES 2023'!F:F,"&lt;"&amp;EOMONTH(DATE(2023,MONTH(DATEVALUE(A7&amp;" 1")),1),0)+1
)</f>
        <v>0</v>
      </c>
      <c r="E7">
        <f>COUNTIFS(
'INSPECTED FACILITIES 2023'!G:G,"Low-Risk (A)",
'INSPECTED FACILITIES 2023'!F:F,"&gt;="&amp;DATE(2023,MONTH(DATEVALUE(A7&amp;" 1")),1),
'INSPECTED FACILITIES 2023'!F:F,"&lt;"&amp;EOMONTH(DATE(2023,MONTH(DATEVALUE(A7&amp;" 1")),1),0)+1
)</f>
        <v>1</v>
      </c>
      <c r="F7">
        <f>COUNTIFS(
'INSPECTED FACILITIES 2023'!G:G,"Medium-Risk (B)",
'INSPECTED FACILITIES 2023'!F:F,"&gt;="&amp;DATE(2023,MONTH(DATEVALUE(A7&amp;" 1")),1),
'INSPECTED FACILITIES 2023'!F:F,"&lt;"&amp;EOMONTH(DATE(2023,MONTH(DATEVALUE(A7&amp;" 1")),1),0)+1
)</f>
        <v>0</v>
      </c>
      <c r="G7">
        <f>COUNTIFS(
'INSPECTED FACILITIES 2023'!G:G,"High-Risk (C)",
'INSPECTED FACILITIES 2023'!F:F,"&gt;="&amp;DATE(2023,MONTH(DATEVALUE(A7&amp;" 1")),1),
'INSPECTED FACILITIES 2023'!F:F,"&lt;"&amp;EOMONTH(DATE(2023,MONTH(DATEVALUE(A7&amp;" 1")),1),0)+1
)</f>
        <v>0</v>
      </c>
    </row>
    <row r="8" spans="1:7">
      <c r="A8" t="s">
        <v>612</v>
      </c>
      <c r="B8">
        <f>COUNTIFS(
'INSPECTED FACILITIES 2023'!E:E,"GDP",
'INSPECTED FACILITIES 2023'!F:F,"&gt;="&amp;DATE(2023,MONTH(DATEVALUE(A8&amp;" 1")),1),
'INSPECTED FACILITIES 2023'!F:F,"&lt;"&amp;EOMONTH(DATE(2023,MONTH(DATEVALUE(A8&amp;" 1")),1),0)+1
)</f>
        <v>3</v>
      </c>
      <c r="C8">
        <f>COUNTIFS(
'INSPECTED FACILITIES 2023'!E:E,"CAPA",
'INSPECTED FACILITIES 2023'!F:F,"&gt;="&amp;DATE(2023,MONTH(DATEVALUE(A8&amp;" 1")),1),
'INSPECTED FACILITIES 2023'!F:F,"&lt;"&amp;EOMONTH(DATE(2023,MONTH(DATEVALUE(A8&amp;" 1")),1),0)+1
)</f>
        <v>0</v>
      </c>
      <c r="D8">
        <f>COUNTIFS(
'INSPECTED FACILITIES 2023'!I:I,"YES",
'INSPECTED FACILITIES 2023'!F:F,"&gt;="&amp;DATE(2023,MONTH(DATEVALUE(A8&amp;" 1")),1),
'INSPECTED FACILITIES 2023'!F:F,"&lt;"&amp;EOMONTH(DATE(2023,MONTH(DATEVALUE(A8&amp;" 1")),1),0)+1
)</f>
        <v>0</v>
      </c>
      <c r="E8">
        <f>COUNTIFS(
'INSPECTED FACILITIES 2023'!G:G,"Low-Risk (A)",
'INSPECTED FACILITIES 2023'!F:F,"&gt;="&amp;DATE(2023,MONTH(DATEVALUE(A8&amp;" 1")),1),
'INSPECTED FACILITIES 2023'!F:F,"&lt;"&amp;EOMONTH(DATE(2023,MONTH(DATEVALUE(A8&amp;" 1")),1),0)+1
)</f>
        <v>0</v>
      </c>
      <c r="F8">
        <f>COUNTIFS(
'INSPECTED FACILITIES 2023'!G:G,"Medium-Risk (B)",
'INSPECTED FACILITIES 2023'!F:F,"&gt;="&amp;DATE(2023,MONTH(DATEVALUE(A8&amp;" 1")),1),
'INSPECTED FACILITIES 2023'!F:F,"&lt;"&amp;EOMONTH(DATE(2023,MONTH(DATEVALUE(A8&amp;" 1")),1),0)+1
)</f>
        <v>1</v>
      </c>
      <c r="G8">
        <f>COUNTIFS(
'INSPECTED FACILITIES 2023'!G:G,"High-Risk (C)",
'INSPECTED FACILITIES 2023'!F:F,"&gt;="&amp;DATE(2023,MONTH(DATEVALUE(A8&amp;" 1")),1),
'INSPECTED FACILITIES 2023'!F:F,"&lt;"&amp;EOMONTH(DATE(2023,MONTH(DATEVALUE(A8&amp;" 1")),1),0)+1
)</f>
        <v>2</v>
      </c>
    </row>
    <row r="9" spans="1:7">
      <c r="A9" t="s">
        <v>613</v>
      </c>
      <c r="B9">
        <f>COUNTIFS(
'INSPECTED FACILITIES 2023'!E:E,"GDP",
'INSPECTED FACILITIES 2023'!F:F,"&gt;="&amp;DATE(2023,MONTH(DATEVALUE(A9&amp;" 1")),1),
'INSPECTED FACILITIES 2023'!F:F,"&lt;"&amp;EOMONTH(DATE(2023,MONTH(DATEVALUE(A9&amp;" 1")),1),0)+1
)</f>
        <v>3</v>
      </c>
      <c r="C9">
        <f>COUNTIFS(
'INSPECTED FACILITIES 2023'!E:E,"CAPA",
'INSPECTED FACILITIES 2023'!F:F,"&gt;="&amp;DATE(2023,MONTH(DATEVALUE(A9&amp;" 1")),1),
'INSPECTED FACILITIES 2023'!F:F,"&lt;"&amp;EOMONTH(DATE(2023,MONTH(DATEVALUE(A9&amp;" 1")),1),0)+1
)</f>
        <v>0</v>
      </c>
      <c r="D9">
        <f>COUNTIFS(
'INSPECTED FACILITIES 2023'!I:I,"YES",
'INSPECTED FACILITIES 2023'!F:F,"&gt;="&amp;DATE(2023,MONTH(DATEVALUE(A9&amp;" 1")),1),
'INSPECTED FACILITIES 2023'!F:F,"&lt;"&amp;EOMONTH(DATE(2023,MONTH(DATEVALUE(A9&amp;" 1")),1),0)+1
)</f>
        <v>1</v>
      </c>
      <c r="E9">
        <f>COUNTIFS(
'INSPECTED FACILITIES 2023'!G:G,"Low-Risk (A)",
'INSPECTED FACILITIES 2023'!F:F,"&gt;="&amp;DATE(2023,MONTH(DATEVALUE(A9&amp;" 1")),1),
'INSPECTED FACILITIES 2023'!F:F,"&lt;"&amp;EOMONTH(DATE(2023,MONTH(DATEVALUE(A9&amp;" 1")),1),0)+1
)</f>
        <v>0</v>
      </c>
      <c r="F9">
        <f>COUNTIFS(
'INSPECTED FACILITIES 2023'!G:G,"Medium-Risk (B)",
'INSPECTED FACILITIES 2023'!F:F,"&gt;="&amp;DATE(2023,MONTH(DATEVALUE(A9&amp;" 1")),1),
'INSPECTED FACILITIES 2023'!F:F,"&lt;"&amp;EOMONTH(DATE(2023,MONTH(DATEVALUE(A9&amp;" 1")),1),0)+1
)</f>
        <v>1</v>
      </c>
      <c r="G9">
        <f>COUNTIFS(
'INSPECTED FACILITIES 2023'!G:G,"High-Risk (C)",
'INSPECTED FACILITIES 2023'!F:F,"&gt;="&amp;DATE(2023,MONTH(DATEVALUE(A9&amp;" 1")),1),
'INSPECTED FACILITIES 2023'!F:F,"&lt;"&amp;EOMONTH(DATE(2023,MONTH(DATEVALUE(A9&amp;" 1")),1),0)+1
)</f>
        <v>0</v>
      </c>
    </row>
    <row r="10" spans="1:7">
      <c r="A10" t="s">
        <v>614</v>
      </c>
      <c r="B10">
        <f>COUNTIFS(
'INSPECTED FACILITIES 2023'!E:E,"GDP",
'INSPECTED FACILITIES 2023'!F:F,"&gt;="&amp;DATE(2023,MONTH(DATEVALUE(A10&amp;" 1")),1),
'INSPECTED FACILITIES 2023'!F:F,"&lt;"&amp;EOMONTH(DATE(2023,MONTH(DATEVALUE(A10&amp;" 1")),1),0)+1
)</f>
        <v>4</v>
      </c>
      <c r="C10">
        <f>COUNTIFS(
'INSPECTED FACILITIES 2023'!E:E,"CAPA",
'INSPECTED FACILITIES 2023'!F:F,"&gt;="&amp;DATE(2023,MONTH(DATEVALUE(A10&amp;" 1")),1),
'INSPECTED FACILITIES 2023'!F:F,"&lt;"&amp;EOMONTH(DATE(2023,MONTH(DATEVALUE(A10&amp;" 1")),1),0)+1
)</f>
        <v>0</v>
      </c>
      <c r="D10">
        <f>COUNTIFS(
'INSPECTED FACILITIES 2023'!I:I,"YES",
'INSPECTED FACILITIES 2023'!F:F,"&gt;="&amp;DATE(2023,MONTH(DATEVALUE(A10&amp;" 1")),1),
'INSPECTED FACILITIES 2023'!F:F,"&lt;"&amp;EOMONTH(DATE(2023,MONTH(DATEVALUE(A10&amp;" 1")),1),0)+1
)</f>
        <v>2</v>
      </c>
      <c r="E10">
        <f>COUNTIFS(
'INSPECTED FACILITIES 2023'!G:G,"Low-Risk (A)",
'INSPECTED FACILITIES 2023'!F:F,"&gt;="&amp;DATE(2023,MONTH(DATEVALUE(A10&amp;" 1")),1),
'INSPECTED FACILITIES 2023'!F:F,"&lt;"&amp;EOMONTH(DATE(2023,MONTH(DATEVALUE(A10&amp;" 1")),1),0)+1
)</f>
        <v>2</v>
      </c>
      <c r="F10">
        <f>COUNTIFS(
'INSPECTED FACILITIES 2023'!G:G,"Medium-Risk (B)",
'INSPECTED FACILITIES 2023'!F:F,"&gt;="&amp;DATE(2023,MONTH(DATEVALUE(A10&amp;" 1")),1),
'INSPECTED FACILITIES 2023'!F:F,"&lt;"&amp;EOMONTH(DATE(2023,MONTH(DATEVALUE(A10&amp;" 1")),1),0)+1
)</f>
        <v>0</v>
      </c>
      <c r="G10">
        <f>COUNTIFS(
'INSPECTED FACILITIES 2023'!G:G,"High-Risk (C)",
'INSPECTED FACILITIES 2023'!F:F,"&gt;="&amp;DATE(2023,MONTH(DATEVALUE(A10&amp;" 1")),1),
'INSPECTED FACILITIES 2023'!F:F,"&lt;"&amp;EOMONTH(DATE(2023,MONTH(DATEVALUE(A10&amp;" 1")),1),0)+1
)</f>
        <v>1</v>
      </c>
    </row>
    <row r="11" spans="1:7">
      <c r="A11" t="s">
        <v>615</v>
      </c>
      <c r="B11">
        <f>COUNTIFS(
'INSPECTED FACILITIES 2023'!E:E,"GDP",
'INSPECTED FACILITIES 2023'!F:F,"&gt;="&amp;DATE(2023,MONTH(DATEVALUE(A11&amp;" 1")),1),
'INSPECTED FACILITIES 2023'!F:F,"&lt;"&amp;EOMONTH(DATE(2023,MONTH(DATEVALUE(A11&amp;" 1")),1),0)+1
)</f>
        <v>3</v>
      </c>
      <c r="C11">
        <f>COUNTIFS(
'INSPECTED FACILITIES 2023'!E:E,"CAPA",
'INSPECTED FACILITIES 2023'!F:F,"&gt;="&amp;DATE(2023,MONTH(DATEVALUE(A11&amp;" 1")),1),
'INSPECTED FACILITIES 2023'!F:F,"&lt;"&amp;EOMONTH(DATE(2023,MONTH(DATEVALUE(A11&amp;" 1")),1),0)+1
)</f>
        <v>0</v>
      </c>
      <c r="D11">
        <f>COUNTIFS(
'INSPECTED FACILITIES 2023'!I:I,"YES",
'INSPECTED FACILITIES 2023'!F:F,"&gt;="&amp;DATE(2023,MONTH(DATEVALUE(A11&amp;" 1")),1),
'INSPECTED FACILITIES 2023'!F:F,"&lt;"&amp;EOMONTH(DATE(2023,MONTH(DATEVALUE(A11&amp;" 1")),1),0)+1
)</f>
        <v>0</v>
      </c>
      <c r="E11">
        <f>COUNTIFS(
'INSPECTED FACILITIES 2023'!G:G,"Low-Risk (A)",
'INSPECTED FACILITIES 2023'!F:F,"&gt;="&amp;DATE(2023,MONTH(DATEVALUE(A11&amp;" 1")),1),
'INSPECTED FACILITIES 2023'!F:F,"&lt;"&amp;EOMONTH(DATE(2023,MONTH(DATEVALUE(A11&amp;" 1")),1),0)+1
)</f>
        <v>0</v>
      </c>
      <c r="F11">
        <f>COUNTIFS(
'INSPECTED FACILITIES 2023'!G:G,"Medium-Risk (B)",
'INSPECTED FACILITIES 2023'!F:F,"&gt;="&amp;DATE(2023,MONTH(DATEVALUE(A11&amp;" 1")),1),
'INSPECTED FACILITIES 2023'!F:F,"&lt;"&amp;EOMONTH(DATE(2023,MONTH(DATEVALUE(A11&amp;" 1")),1),0)+1
)</f>
        <v>2</v>
      </c>
      <c r="G11">
        <f>COUNTIFS(
'INSPECTED FACILITIES 2023'!G:G,"High-Risk (C)",
'INSPECTED FACILITIES 2023'!F:F,"&gt;="&amp;DATE(2023,MONTH(DATEVALUE(A11&amp;" 1")),1),
'INSPECTED FACILITIES 2023'!F:F,"&lt;"&amp;EOMONTH(DATE(2023,MONTH(DATEVALUE(A11&amp;" 1")),1),0)+1
)</f>
        <v>0</v>
      </c>
    </row>
    <row r="12" spans="1:7">
      <c r="A12" t="s">
        <v>616</v>
      </c>
      <c r="B12">
        <f>COUNTIFS(
'INSPECTED FACILITIES 2023'!E:E,"GDP",
'INSPECTED FACILITIES 2023'!F:F,"&gt;="&amp;DATE(2023,MONTH(DATEVALUE(A12&amp;" 1")),1),
'INSPECTED FACILITIES 2023'!F:F,"&lt;"&amp;EOMONTH(DATE(2023,MONTH(DATEVALUE(A12&amp;" 1")),1),0)+1
)</f>
        <v>0</v>
      </c>
      <c r="C12">
        <f>COUNTIFS(
'INSPECTED FACILITIES 2023'!E:E,"CAPA",
'INSPECTED FACILITIES 2023'!F:F,"&gt;="&amp;DATE(2023,MONTH(DATEVALUE(A12&amp;" 1")),1),
'INSPECTED FACILITIES 2023'!F:F,"&lt;"&amp;EOMONTH(DATE(2023,MONTH(DATEVALUE(A12&amp;" 1")),1),0)+1
)</f>
        <v>0</v>
      </c>
      <c r="D12">
        <f>COUNTIFS(
'INSPECTED FACILITIES 2023'!I:I,"YES",
'INSPECTED FACILITIES 2023'!F:F,"&gt;="&amp;DATE(2023,MONTH(DATEVALUE(A12&amp;" 1")),1),
'INSPECTED FACILITIES 2023'!F:F,"&lt;"&amp;EOMONTH(DATE(2023,MONTH(DATEVALUE(A12&amp;" 1")),1),0)+1
)</f>
        <v>0</v>
      </c>
      <c r="E12">
        <f>COUNTIFS(
'INSPECTED FACILITIES 2023'!G:G,"Low-Risk (A)",
'INSPECTED FACILITIES 2023'!F:F,"&gt;="&amp;DATE(2023,MONTH(DATEVALUE(A12&amp;" 1")),1),
'INSPECTED FACILITIES 2023'!F:F,"&lt;"&amp;EOMONTH(DATE(2023,MONTH(DATEVALUE(A12&amp;" 1")),1),0)+1
)</f>
        <v>0</v>
      </c>
      <c r="F12">
        <f>COUNTIFS(
'INSPECTED FACILITIES 2023'!G:G,"Medium-Risk (B)",
'INSPECTED FACILITIES 2023'!F:F,"&gt;="&amp;DATE(2023,MONTH(DATEVALUE(A12&amp;" 1")),1),
'INSPECTED FACILITIES 2023'!F:F,"&lt;"&amp;EOMONTH(DATE(2023,MONTH(DATEVALUE(A12&amp;" 1")),1),0)+1
)</f>
        <v>0</v>
      </c>
      <c r="G12">
        <f>COUNTIFS(
'INSPECTED FACILITIES 2023'!G:G,"High-Risk (C)",
'INSPECTED FACILITIES 2023'!F:F,"&gt;="&amp;DATE(2023,MONTH(DATEVALUE(A12&amp;" 1")),1),
'INSPECTED FACILITIES 2023'!F:F,"&lt;"&amp;EOMONTH(DATE(2023,MONTH(DATEVALUE(A12&amp;" 1")),1),0)+1
)</f>
        <v>0</v>
      </c>
    </row>
    <row r="13" spans="1:7">
      <c r="A13" t="s">
        <v>617</v>
      </c>
      <c r="B13">
        <f>COUNTIFS(
'INSPECTED FACILITIES 2023'!E:E,"GDP",
'INSPECTED FACILITIES 2023'!F:F,"&gt;="&amp;DATE(2023,MONTH(DATEVALUE(A13&amp;" 1")),1),
'INSPECTED FACILITIES 2023'!F:F,"&lt;"&amp;EOMONTH(DATE(2023,MONTH(DATEVALUE(A13&amp;" 1")),1),0)+1
)</f>
        <v>3</v>
      </c>
      <c r="C13">
        <f>COUNTIFS(
'INSPECTED FACILITIES 2023'!E:E,"CAPA",
'INSPECTED FACILITIES 2023'!F:F,"&gt;="&amp;DATE(2023,MONTH(DATEVALUE(A13&amp;" 1")),1),
'INSPECTED FACILITIES 2023'!F:F,"&lt;"&amp;EOMONTH(DATE(2023,MONTH(DATEVALUE(A13&amp;" 1")),1),0)+1
)</f>
        <v>0</v>
      </c>
      <c r="D13">
        <f>COUNTIFS(
'INSPECTED FACILITIES 2023'!I:I,"YES",
'INSPECTED FACILITIES 2023'!F:F,"&gt;="&amp;DATE(2023,MONTH(DATEVALUE(A13&amp;" 1")),1),
'INSPECTED FACILITIES 2023'!F:F,"&lt;"&amp;EOMONTH(DATE(2023,MONTH(DATEVALUE(A13&amp;" 1")),1),0)+1
)</f>
        <v>1</v>
      </c>
      <c r="E13">
        <f>COUNTIFS(
'INSPECTED FACILITIES 2023'!G:G,"Low-Risk (A)",
'INSPECTED FACILITIES 2023'!F:F,"&gt;="&amp;DATE(2023,MONTH(DATEVALUE(A13&amp;" 1")),1),
'INSPECTED FACILITIES 2023'!F:F,"&lt;"&amp;EOMONTH(DATE(2023,MONTH(DATEVALUE(A13&amp;" 1")),1),0)+1
)</f>
        <v>1</v>
      </c>
      <c r="F13">
        <f>COUNTIFS(
'INSPECTED FACILITIES 2023'!G:G,"Medium-Risk (B)",
'INSPECTED FACILITIES 2023'!F:F,"&gt;="&amp;DATE(2023,MONTH(DATEVALUE(A13&amp;" 1")),1),
'INSPECTED FACILITIES 2023'!F:F,"&lt;"&amp;EOMONTH(DATE(2023,MONTH(DATEVALUE(A13&amp;" 1")),1),0)+1
)</f>
        <v>1</v>
      </c>
      <c r="G13">
        <f>COUNTIFS(
'INSPECTED FACILITIES 2023'!G:G,"High-Risk (C)",
'INSPECTED FACILITIES 2023'!F:F,"&gt;="&amp;DATE(2023,MONTH(DATEVALUE(A13&amp;" 1")),1),
'INSPECTED FACILITIES 2023'!F:F,"&lt;"&amp;EOMONTH(DATE(2023,MONTH(DATEVALUE(A13&amp;" 1")),1),0)+1
)</f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31525-BC33-410A-888B-696076D9D330}">
  <dimension ref="A1:N29"/>
  <sheetViews>
    <sheetView topLeftCell="A6" workbookViewId="0">
      <selection activeCell="M11" sqref="M11"/>
    </sheetView>
  </sheetViews>
  <sheetFormatPr defaultRowHeight="15"/>
  <cols>
    <col min="2" max="2" width="30.140625" bestFit="1" customWidth="1"/>
    <col min="3" max="3" width="21.85546875" bestFit="1" customWidth="1"/>
    <col min="4" max="4" width="13" bestFit="1" customWidth="1"/>
    <col min="5" max="5" width="14" customWidth="1"/>
    <col min="6" max="6" width="27.42578125" bestFit="1" customWidth="1"/>
    <col min="7" max="7" width="12.285156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27.28515625" style="36" customWidth="1"/>
    <col min="12" max="12" width="15.85546875" customWidth="1"/>
    <col min="13" max="13" width="14.85546875" customWidth="1"/>
    <col min="14" max="14" width="19.140625" customWidth="1"/>
  </cols>
  <sheetData>
    <row r="1" spans="1:14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</row>
    <row r="2" spans="1:14" ht="39.75" customHeight="1">
      <c r="A2" s="36" t="s">
        <v>1</v>
      </c>
      <c r="B2" s="36" t="s">
        <v>2</v>
      </c>
      <c r="C2" s="36" t="s">
        <v>3</v>
      </c>
      <c r="D2" s="36" t="s">
        <v>4</v>
      </c>
      <c r="E2" s="36" t="s">
        <v>5</v>
      </c>
      <c r="F2" s="36" t="s">
        <v>618</v>
      </c>
      <c r="G2" s="36" t="s">
        <v>7</v>
      </c>
      <c r="H2" s="36" t="s">
        <v>8</v>
      </c>
      <c r="I2" s="36" t="s">
        <v>9</v>
      </c>
      <c r="J2" s="36" t="s">
        <v>10</v>
      </c>
      <c r="K2" s="36" t="s">
        <v>11</v>
      </c>
      <c r="L2" s="36" t="s">
        <v>12</v>
      </c>
      <c r="M2" s="36" t="s">
        <v>13</v>
      </c>
      <c r="N2" s="36" t="s">
        <v>619</v>
      </c>
    </row>
    <row r="3" spans="1:14" ht="39.75" customHeight="1">
      <c r="A3" s="46">
        <v>1</v>
      </c>
      <c r="B3" s="54" t="s">
        <v>16</v>
      </c>
      <c r="C3" s="4" t="s">
        <v>17</v>
      </c>
      <c r="D3" s="12" t="s">
        <v>18</v>
      </c>
      <c r="E3" s="47" t="s">
        <v>19</v>
      </c>
      <c r="F3" s="17">
        <v>44970</v>
      </c>
      <c r="G3" s="4" t="s">
        <v>20</v>
      </c>
      <c r="H3" s="23" t="s">
        <v>21</v>
      </c>
      <c r="I3" s="4" t="s">
        <v>22</v>
      </c>
      <c r="J3" s="10" t="s">
        <v>23</v>
      </c>
      <c r="K3" s="37" t="s">
        <v>24</v>
      </c>
      <c r="L3" s="48">
        <v>45689</v>
      </c>
      <c r="M3" s="49" t="s">
        <v>25</v>
      </c>
      <c r="N3" s="50" t="s">
        <v>16</v>
      </c>
    </row>
    <row r="4" spans="1:14" ht="39.75" customHeight="1">
      <c r="A4" s="46">
        <v>2</v>
      </c>
      <c r="B4" s="4" t="s">
        <v>27</v>
      </c>
      <c r="C4" s="4" t="s">
        <v>28</v>
      </c>
      <c r="D4" s="12" t="s">
        <v>29</v>
      </c>
      <c r="E4" s="47" t="s">
        <v>19</v>
      </c>
      <c r="F4" s="17">
        <v>44970</v>
      </c>
      <c r="G4" s="4" t="s">
        <v>20</v>
      </c>
      <c r="H4" s="23" t="s">
        <v>21</v>
      </c>
      <c r="I4" s="4" t="s">
        <v>22</v>
      </c>
      <c r="J4" s="10" t="s">
        <v>23</v>
      </c>
      <c r="K4" s="37" t="str">
        <f t="shared" ref="K4:K29" si="0">IF(I4="YES","CAPA VERIFICATION SHOULD BE SCHEDULED",IF(I4="NO","REMINDER LETTER SHOULD BE SENT",""))</f>
        <v>CAPA VERIFICATION SHOULD BE SCHEDULED</v>
      </c>
      <c r="L4" s="48">
        <v>45689</v>
      </c>
      <c r="M4" s="49" t="s">
        <v>30</v>
      </c>
      <c r="N4" s="51" t="str">
        <f>IF(M4="","",HYPERLINK(M4,B4))</f>
        <v>GENEITH PHARMACEUTICALS</v>
      </c>
    </row>
    <row r="5" spans="1:14" ht="39.75" customHeight="1">
      <c r="A5" s="46">
        <v>3</v>
      </c>
      <c r="B5" s="4" t="s">
        <v>32</v>
      </c>
      <c r="C5" s="4" t="s">
        <v>33</v>
      </c>
      <c r="D5" s="12" t="s">
        <v>34</v>
      </c>
      <c r="E5" s="47" t="s">
        <v>19</v>
      </c>
      <c r="F5" s="17">
        <v>44970</v>
      </c>
      <c r="G5" s="4" t="s">
        <v>35</v>
      </c>
      <c r="H5" s="23" t="s">
        <v>36</v>
      </c>
      <c r="I5" s="4" t="s">
        <v>22</v>
      </c>
      <c r="J5" s="10" t="s">
        <v>23</v>
      </c>
      <c r="K5" s="37" t="str">
        <f t="shared" si="0"/>
        <v>CAPA VERIFICATION SHOULD BE SCHEDULED</v>
      </c>
      <c r="L5" s="48">
        <v>45323</v>
      </c>
      <c r="M5" s="49" t="s">
        <v>37</v>
      </c>
      <c r="N5" s="51" t="str">
        <f>IF(M5="","",HYPERLINK(M5,B5))</f>
        <v>ONWUADI &amp; SONS LTD</v>
      </c>
    </row>
    <row r="6" spans="1:14" ht="39.75" customHeight="1">
      <c r="A6" s="46">
        <v>4</v>
      </c>
      <c r="B6" s="4" t="s">
        <v>39</v>
      </c>
      <c r="C6" s="4" t="s">
        <v>40</v>
      </c>
      <c r="D6" s="12" t="s">
        <v>41</v>
      </c>
      <c r="E6" s="47" t="s">
        <v>19</v>
      </c>
      <c r="F6" s="17">
        <v>44970</v>
      </c>
      <c r="G6" s="4" t="s">
        <v>35</v>
      </c>
      <c r="H6" s="23" t="s">
        <v>36</v>
      </c>
      <c r="I6" s="4" t="s">
        <v>42</v>
      </c>
      <c r="J6" s="10" t="s">
        <v>43</v>
      </c>
      <c r="K6" s="37" t="str">
        <f>IF(I6="YES","CAPA VERIFICATION SHOULD BE SCHEDULED",IF(I6="NO","REMINDER LETTER SHOULD BE SENT",""))</f>
        <v>REMINDER LETTER SHOULD BE SENT</v>
      </c>
      <c r="L6" s="48">
        <v>45323</v>
      </c>
      <c r="M6" s="49" t="s">
        <v>44</v>
      </c>
      <c r="N6" s="51" t="str">
        <f>IF(M6="","",HYPERLINK(M6,B6))</f>
        <v>MODDY DRUG CO. LTD</v>
      </c>
    </row>
    <row r="7" spans="1:14" ht="39.75" customHeight="1">
      <c r="A7" s="46">
        <v>5</v>
      </c>
      <c r="B7" s="10" t="s">
        <v>46</v>
      </c>
      <c r="C7" s="11" t="s">
        <v>47</v>
      </c>
      <c r="D7" s="12" t="s">
        <v>48</v>
      </c>
      <c r="E7" s="47" t="s">
        <v>19</v>
      </c>
      <c r="F7" s="18" t="s">
        <v>49</v>
      </c>
      <c r="G7" s="10" t="s">
        <v>35</v>
      </c>
      <c r="H7" s="18" t="s">
        <v>21</v>
      </c>
      <c r="I7" s="4" t="s">
        <v>42</v>
      </c>
      <c r="J7" s="10" t="s">
        <v>43</v>
      </c>
      <c r="K7" s="37" t="str">
        <f t="shared" si="0"/>
        <v>REMINDER LETTER SHOULD BE SENT</v>
      </c>
      <c r="L7" s="48">
        <v>45323</v>
      </c>
      <c r="M7" s="49" t="s">
        <v>50</v>
      </c>
      <c r="N7" s="51" t="str">
        <f>IF(M7="","",HYPERLINK(M7,B7))</f>
        <v xml:space="preserve">JUMENCO PHARMACEUTICAL </v>
      </c>
    </row>
    <row r="8" spans="1:14" ht="39.75" customHeight="1">
      <c r="A8" s="46">
        <v>6</v>
      </c>
      <c r="B8" s="10" t="s">
        <v>52</v>
      </c>
      <c r="C8" s="10" t="s">
        <v>53</v>
      </c>
      <c r="D8" s="12" t="s">
        <v>54</v>
      </c>
      <c r="E8" s="47" t="s">
        <v>19</v>
      </c>
      <c r="F8" s="18" t="s">
        <v>49</v>
      </c>
      <c r="G8" s="10" t="s">
        <v>35</v>
      </c>
      <c r="H8" s="18" t="s">
        <v>36</v>
      </c>
      <c r="I8" s="4" t="s">
        <v>42</v>
      </c>
      <c r="J8" s="10" t="s">
        <v>43</v>
      </c>
      <c r="K8" s="37" t="str">
        <f t="shared" si="0"/>
        <v>REMINDER LETTER SHOULD BE SENT</v>
      </c>
      <c r="L8" s="48">
        <v>45323</v>
      </c>
      <c r="M8" s="49" t="s">
        <v>55</v>
      </c>
      <c r="N8" s="51" t="str">
        <f>IF(M8="","",HYPERLINK(M8,B8))</f>
        <v>ANOKEM PHARMACEUTICALS</v>
      </c>
    </row>
    <row r="9" spans="1:14" ht="39.75" customHeight="1">
      <c r="A9" s="46">
        <v>7</v>
      </c>
      <c r="B9" s="10" t="s">
        <v>57</v>
      </c>
      <c r="C9" s="10" t="s">
        <v>58</v>
      </c>
      <c r="D9" s="12" t="s">
        <v>59</v>
      </c>
      <c r="E9" s="47" t="s">
        <v>19</v>
      </c>
      <c r="F9" s="18" t="s">
        <v>49</v>
      </c>
      <c r="G9" s="4" t="s">
        <v>20</v>
      </c>
      <c r="H9" s="23" t="s">
        <v>21</v>
      </c>
      <c r="I9" s="4" t="s">
        <v>22</v>
      </c>
      <c r="J9" s="10" t="s">
        <v>23</v>
      </c>
      <c r="K9" s="37" t="str">
        <f t="shared" si="0"/>
        <v>CAPA VERIFICATION SHOULD BE SCHEDULED</v>
      </c>
      <c r="L9" s="48">
        <v>45689</v>
      </c>
      <c r="M9" s="49" t="s">
        <v>60</v>
      </c>
      <c r="N9" s="51" t="str">
        <f>IF(M9="","",HYPERLINK(M9,B9))</f>
        <v>RALPHONES PHARMACEUTICAL</v>
      </c>
    </row>
    <row r="10" spans="1:14" ht="39.75" customHeight="1">
      <c r="A10" s="46">
        <v>8</v>
      </c>
      <c r="B10" s="10" t="s">
        <v>62</v>
      </c>
      <c r="C10" s="10" t="s">
        <v>63</v>
      </c>
      <c r="D10" s="10" t="s">
        <v>64</v>
      </c>
      <c r="E10" s="47" t="s">
        <v>19</v>
      </c>
      <c r="F10" s="18" t="s">
        <v>49</v>
      </c>
      <c r="G10" s="4" t="s">
        <v>35</v>
      </c>
      <c r="H10" s="23" t="s">
        <v>36</v>
      </c>
      <c r="I10" s="4" t="s">
        <v>42</v>
      </c>
      <c r="J10" s="10" t="s">
        <v>43</v>
      </c>
      <c r="K10" s="37" t="str">
        <f t="shared" si="0"/>
        <v>REMINDER LETTER SHOULD BE SENT</v>
      </c>
      <c r="L10" s="48">
        <v>45323</v>
      </c>
      <c r="M10" s="49" t="s">
        <v>65</v>
      </c>
      <c r="N10" s="51" t="str">
        <f>IF(M10="","",HYPERLINK(M10,B10))</f>
        <v>LUGZ PHARMACEUTICAL</v>
      </c>
    </row>
    <row r="11" spans="1:14" ht="39.75" customHeight="1">
      <c r="A11" s="46">
        <v>9</v>
      </c>
      <c r="B11" s="10" t="s">
        <v>67</v>
      </c>
      <c r="C11" s="10" t="s">
        <v>68</v>
      </c>
      <c r="D11" s="12" t="s">
        <v>69</v>
      </c>
      <c r="E11" s="47" t="s">
        <v>19</v>
      </c>
      <c r="F11" s="18" t="s">
        <v>49</v>
      </c>
      <c r="G11" s="10" t="s">
        <v>70</v>
      </c>
      <c r="H11" s="18" t="s">
        <v>71</v>
      </c>
      <c r="I11" s="4" t="s">
        <v>72</v>
      </c>
      <c r="J11" s="10" t="s">
        <v>43</v>
      </c>
      <c r="K11" s="37" t="str">
        <f t="shared" si="0"/>
        <v/>
      </c>
      <c r="L11" s="48">
        <v>44774</v>
      </c>
      <c r="M11" s="37"/>
      <c r="N11" s="51" t="str">
        <f>IF(M11="","",HYPERLINK(M11,B11))</f>
        <v/>
      </c>
    </row>
    <row r="12" spans="1:14" ht="39.75" customHeight="1">
      <c r="A12" s="46">
        <v>10</v>
      </c>
      <c r="B12" s="10" t="s">
        <v>73</v>
      </c>
      <c r="C12" s="10" t="s">
        <v>74</v>
      </c>
      <c r="D12" s="12" t="s">
        <v>75</v>
      </c>
      <c r="E12" s="47" t="s">
        <v>19</v>
      </c>
      <c r="F12" s="18" t="s">
        <v>76</v>
      </c>
      <c r="G12" s="10" t="s">
        <v>35</v>
      </c>
      <c r="H12" s="18" t="s">
        <v>36</v>
      </c>
      <c r="I12" s="4" t="s">
        <v>22</v>
      </c>
      <c r="J12" s="10" t="s">
        <v>23</v>
      </c>
      <c r="K12" s="37" t="str">
        <f t="shared" si="0"/>
        <v>CAPA VERIFICATION SHOULD BE SCHEDULED</v>
      </c>
      <c r="L12" s="48">
        <v>45323</v>
      </c>
      <c r="M12" s="42" t="s">
        <v>77</v>
      </c>
      <c r="N12" s="51" t="str">
        <f>IF(M12="","",HYPERLINK(M12,B12))</f>
        <v>GOODCARE PHARMACEUTICAL</v>
      </c>
    </row>
    <row r="13" spans="1:14" ht="39.75" customHeight="1">
      <c r="A13" s="46">
        <v>11</v>
      </c>
      <c r="B13" s="10" t="s">
        <v>79</v>
      </c>
      <c r="C13" s="10" t="s">
        <v>80</v>
      </c>
      <c r="D13" s="12" t="s">
        <v>81</v>
      </c>
      <c r="E13" s="47" t="s">
        <v>19</v>
      </c>
      <c r="F13" s="18" t="s">
        <v>76</v>
      </c>
      <c r="G13" s="10" t="s">
        <v>70</v>
      </c>
      <c r="H13" s="18" t="s">
        <v>36</v>
      </c>
      <c r="I13" s="4" t="s">
        <v>42</v>
      </c>
      <c r="J13" s="10" t="s">
        <v>43</v>
      </c>
      <c r="K13" s="37" t="str">
        <f t="shared" si="0"/>
        <v>REMINDER LETTER SHOULD BE SENT</v>
      </c>
      <c r="L13" s="48">
        <v>44774</v>
      </c>
      <c r="M13" s="49" t="s">
        <v>82</v>
      </c>
      <c r="N13" s="51" t="str">
        <f>IF(M13="","",HYPERLINK(M13,B13))</f>
        <v>PATVICS PHARMACEUTICAL</v>
      </c>
    </row>
    <row r="14" spans="1:14" ht="39.75" customHeight="1">
      <c r="A14" s="46">
        <v>12</v>
      </c>
      <c r="B14" s="10" t="s">
        <v>84</v>
      </c>
      <c r="C14" s="10" t="s">
        <v>85</v>
      </c>
      <c r="D14" s="12" t="s">
        <v>86</v>
      </c>
      <c r="E14" s="47" t="s">
        <v>19</v>
      </c>
      <c r="F14" s="18" t="s">
        <v>76</v>
      </c>
      <c r="G14" s="4" t="s">
        <v>20</v>
      </c>
      <c r="H14" s="23" t="s">
        <v>21</v>
      </c>
      <c r="I14" s="4" t="s">
        <v>42</v>
      </c>
      <c r="J14" s="10" t="s">
        <v>43</v>
      </c>
      <c r="K14" s="37" t="str">
        <f t="shared" si="0"/>
        <v>REMINDER LETTER SHOULD BE SENT</v>
      </c>
      <c r="L14" s="48">
        <v>45689</v>
      </c>
      <c r="M14" s="49" t="s">
        <v>87</v>
      </c>
      <c r="N14" s="51" t="str">
        <f>IF(M14="","",HYPERLINK(M14,B14))</f>
        <v>KOJOS PHARMACY</v>
      </c>
    </row>
    <row r="15" spans="1:14" ht="39.75" customHeight="1">
      <c r="A15" s="46">
        <v>13</v>
      </c>
      <c r="B15" s="10" t="s">
        <v>89</v>
      </c>
      <c r="C15" s="10" t="s">
        <v>90</v>
      </c>
      <c r="D15" s="12" t="s">
        <v>91</v>
      </c>
      <c r="E15" s="47" t="s">
        <v>19</v>
      </c>
      <c r="F15" s="18" t="s">
        <v>76</v>
      </c>
      <c r="G15" s="4" t="s">
        <v>35</v>
      </c>
      <c r="H15" s="23" t="s">
        <v>36</v>
      </c>
      <c r="I15" s="4" t="s">
        <v>22</v>
      </c>
      <c r="J15" s="10" t="s">
        <v>23</v>
      </c>
      <c r="K15" s="37" t="str">
        <f t="shared" si="0"/>
        <v>CAPA VERIFICATION SHOULD BE SCHEDULED</v>
      </c>
      <c r="L15" s="48">
        <v>45323</v>
      </c>
      <c r="M15" s="37"/>
      <c r="N15" s="51" t="str">
        <f>IF(M15="","",HYPERLINK(M15,B15))</f>
        <v/>
      </c>
    </row>
    <row r="16" spans="1:14" ht="39.75" customHeight="1">
      <c r="A16" s="46">
        <v>14</v>
      </c>
      <c r="B16" s="10" t="s">
        <v>92</v>
      </c>
      <c r="C16" s="10" t="s">
        <v>93</v>
      </c>
      <c r="D16" s="12" t="s">
        <v>94</v>
      </c>
      <c r="E16" s="47" t="s">
        <v>19</v>
      </c>
      <c r="F16" s="18" t="s">
        <v>95</v>
      </c>
      <c r="G16" s="10" t="s">
        <v>20</v>
      </c>
      <c r="H16" s="18" t="s">
        <v>36</v>
      </c>
      <c r="I16" s="4" t="s">
        <v>22</v>
      </c>
      <c r="J16" s="10" t="s">
        <v>23</v>
      </c>
      <c r="K16" s="37" t="str">
        <f t="shared" si="0"/>
        <v>CAPA VERIFICATION SHOULD BE SCHEDULED</v>
      </c>
      <c r="L16" s="48">
        <v>45689</v>
      </c>
      <c r="M16" s="49" t="s">
        <v>96</v>
      </c>
      <c r="N16" s="51" t="str">
        <f>IF(M16="","",HYPERLINK(M16,B16))</f>
        <v>SWIPHA NIGERIA</v>
      </c>
    </row>
    <row r="17" spans="1:14" ht="39.75" customHeight="1">
      <c r="A17" s="46">
        <v>15</v>
      </c>
      <c r="B17" s="10" t="s">
        <v>98</v>
      </c>
      <c r="C17" s="10" t="s">
        <v>99</v>
      </c>
      <c r="D17" s="12" t="s">
        <v>100</v>
      </c>
      <c r="E17" s="47" t="s">
        <v>19</v>
      </c>
      <c r="F17" s="18" t="s">
        <v>95</v>
      </c>
      <c r="G17" s="4" t="s">
        <v>35</v>
      </c>
      <c r="H17" s="52">
        <v>45631</v>
      </c>
      <c r="I17" s="4" t="s">
        <v>42</v>
      </c>
      <c r="J17" s="10" t="s">
        <v>101</v>
      </c>
      <c r="K17" s="37" t="str">
        <f t="shared" si="0"/>
        <v>REMINDER LETTER SHOULD BE SENT</v>
      </c>
      <c r="L17" s="48">
        <v>45323</v>
      </c>
      <c r="M17" s="49" t="s">
        <v>102</v>
      </c>
      <c r="N17" s="51" t="str">
        <f>IF(M17="","",HYPERLINK(M17,B17))</f>
        <v>BJ CHOICE PHARM</v>
      </c>
    </row>
    <row r="18" spans="1:14" ht="39.75" customHeight="1">
      <c r="A18" s="46">
        <v>16</v>
      </c>
      <c r="B18" s="10" t="s">
        <v>104</v>
      </c>
      <c r="C18" s="10" t="s">
        <v>105</v>
      </c>
      <c r="D18" s="12" t="s">
        <v>106</v>
      </c>
      <c r="E18" s="47" t="s">
        <v>19</v>
      </c>
      <c r="F18" s="18" t="s">
        <v>95</v>
      </c>
      <c r="G18" s="10" t="s">
        <v>70</v>
      </c>
      <c r="H18" s="18" t="s">
        <v>36</v>
      </c>
      <c r="I18" s="4" t="s">
        <v>42</v>
      </c>
      <c r="J18" s="10" t="s">
        <v>101</v>
      </c>
      <c r="K18" s="37" t="str">
        <f t="shared" si="0"/>
        <v>REMINDER LETTER SHOULD BE SENT</v>
      </c>
      <c r="L18" s="48">
        <v>44774</v>
      </c>
      <c r="M18" s="49" t="s">
        <v>107</v>
      </c>
      <c r="N18" s="51" t="str">
        <f>IF(M18="","",HYPERLINK(M18,B18))</f>
        <v>PAKEN VENTURES</v>
      </c>
    </row>
    <row r="19" spans="1:14" ht="39.75" customHeight="1">
      <c r="A19" s="46">
        <v>17</v>
      </c>
      <c r="B19" s="10" t="s">
        <v>109</v>
      </c>
      <c r="C19" s="10" t="s">
        <v>110</v>
      </c>
      <c r="D19" s="12" t="s">
        <v>111</v>
      </c>
      <c r="E19" s="47" t="s">
        <v>19</v>
      </c>
      <c r="F19" s="18" t="s">
        <v>112</v>
      </c>
      <c r="G19" s="10" t="s">
        <v>70</v>
      </c>
      <c r="H19" s="18" t="s">
        <v>71</v>
      </c>
      <c r="I19" s="4" t="s">
        <v>42</v>
      </c>
      <c r="J19" s="10" t="s">
        <v>101</v>
      </c>
      <c r="K19" s="37" t="str">
        <f t="shared" si="0"/>
        <v>REMINDER LETTER SHOULD BE SENT</v>
      </c>
      <c r="L19" s="48">
        <v>44774</v>
      </c>
      <c r="M19" s="49" t="s">
        <v>113</v>
      </c>
      <c r="N19" s="51" t="str">
        <f>IF(M19="","",HYPERLINK(M19,B19))</f>
        <v xml:space="preserve">HENBOSCO PHARMACY </v>
      </c>
    </row>
    <row r="20" spans="1:14" ht="39.75" customHeight="1">
      <c r="A20" s="46">
        <v>18</v>
      </c>
      <c r="B20" s="10" t="s">
        <v>115</v>
      </c>
      <c r="C20" s="10" t="s">
        <v>116</v>
      </c>
      <c r="D20" s="10" t="s">
        <v>117</v>
      </c>
      <c r="E20" s="47" t="s">
        <v>19</v>
      </c>
      <c r="F20" s="18" t="s">
        <v>118</v>
      </c>
      <c r="G20" s="10" t="s">
        <v>70</v>
      </c>
      <c r="H20" s="18" t="s">
        <v>36</v>
      </c>
      <c r="I20" s="4" t="s">
        <v>42</v>
      </c>
      <c r="J20" s="10" t="s">
        <v>101</v>
      </c>
      <c r="K20" s="37" t="str">
        <f t="shared" si="0"/>
        <v>REMINDER LETTER SHOULD BE SENT</v>
      </c>
      <c r="L20" s="48">
        <v>44774</v>
      </c>
      <c r="M20" s="49" t="s">
        <v>119</v>
      </c>
      <c r="N20" s="51" t="str">
        <f>IF(M20="","",HYPERLINK(M20,B20))</f>
        <v>LYNDUS PHARMACY LTD</v>
      </c>
    </row>
    <row r="21" spans="1:14" ht="39.75" customHeight="1">
      <c r="A21" s="46">
        <v>19</v>
      </c>
      <c r="B21" s="10" t="s">
        <v>121</v>
      </c>
      <c r="C21" s="10" t="s">
        <v>122</v>
      </c>
      <c r="D21" s="12" t="s">
        <v>123</v>
      </c>
      <c r="E21" s="47" t="s">
        <v>19</v>
      </c>
      <c r="F21" s="18" t="s">
        <v>118</v>
      </c>
      <c r="G21" s="10" t="s">
        <v>70</v>
      </c>
      <c r="H21" s="18" t="s">
        <v>36</v>
      </c>
      <c r="I21" s="4" t="s">
        <v>42</v>
      </c>
      <c r="J21" s="10" t="s">
        <v>101</v>
      </c>
      <c r="K21" s="37" t="str">
        <f t="shared" si="0"/>
        <v>REMINDER LETTER SHOULD BE SENT</v>
      </c>
      <c r="L21" s="48">
        <v>44774</v>
      </c>
      <c r="M21" s="53" t="s">
        <v>124</v>
      </c>
      <c r="N21" s="51" t="str">
        <f>IF(M21="","",HYPERLINK(M21,B21))</f>
        <v>ROM CHIDECK PHARM. LTD</v>
      </c>
    </row>
    <row r="22" spans="1:14" ht="39.75" customHeight="1">
      <c r="A22" s="46">
        <v>20</v>
      </c>
      <c r="B22" s="10" t="s">
        <v>125</v>
      </c>
      <c r="C22" s="10" t="s">
        <v>126</v>
      </c>
      <c r="D22" s="12" t="s">
        <v>127</v>
      </c>
      <c r="E22" s="47" t="s">
        <v>19</v>
      </c>
      <c r="F22" s="18" t="s">
        <v>128</v>
      </c>
      <c r="G22" s="10" t="s">
        <v>70</v>
      </c>
      <c r="H22" s="18" t="s">
        <v>36</v>
      </c>
      <c r="I22" s="4" t="s">
        <v>22</v>
      </c>
      <c r="J22" s="10" t="s">
        <v>23</v>
      </c>
      <c r="K22" s="37" t="str">
        <f t="shared" si="0"/>
        <v>CAPA VERIFICATION SHOULD BE SCHEDULED</v>
      </c>
      <c r="L22" s="48">
        <v>45536</v>
      </c>
      <c r="M22" s="49" t="s">
        <v>129</v>
      </c>
      <c r="N22" s="51" t="str">
        <f>IF(M22="","",HYPERLINK(M22,B22))</f>
        <v xml:space="preserve">JUVYWAY PHARMCY CO.LTD </v>
      </c>
    </row>
    <row r="23" spans="1:14" ht="39.75" customHeight="1">
      <c r="A23" s="46">
        <v>21</v>
      </c>
      <c r="B23" s="10" t="s">
        <v>131</v>
      </c>
      <c r="C23" s="10" t="s">
        <v>132</v>
      </c>
      <c r="D23" s="12" t="s">
        <v>133</v>
      </c>
      <c r="E23" s="47" t="s">
        <v>19</v>
      </c>
      <c r="F23" s="18" t="s">
        <v>128</v>
      </c>
      <c r="G23" s="10" t="s">
        <v>35</v>
      </c>
      <c r="H23" s="18" t="s">
        <v>36</v>
      </c>
      <c r="I23" s="4" t="s">
        <v>22</v>
      </c>
      <c r="J23" s="10" t="s">
        <v>23</v>
      </c>
      <c r="K23" s="37" t="str">
        <f t="shared" si="0"/>
        <v>CAPA VERIFICATION SHOULD BE SCHEDULED</v>
      </c>
      <c r="L23" s="48">
        <v>45323</v>
      </c>
      <c r="M23" s="49" t="s">
        <v>134</v>
      </c>
      <c r="N23" s="51" t="str">
        <f>IF(M23="","",HYPERLINK(M23,B23))</f>
        <v xml:space="preserve">EVERSHINE PHARMACEUTICAL NIG LTD </v>
      </c>
    </row>
    <row r="24" spans="1:14" ht="39.75" customHeight="1">
      <c r="A24" s="46">
        <v>22</v>
      </c>
      <c r="B24" s="10" t="s">
        <v>136</v>
      </c>
      <c r="C24" s="10" t="s">
        <v>137</v>
      </c>
      <c r="D24" s="12" t="s">
        <v>138</v>
      </c>
      <c r="E24" s="47" t="s">
        <v>19</v>
      </c>
      <c r="F24" s="18" t="s">
        <v>128</v>
      </c>
      <c r="G24" s="10" t="s">
        <v>70</v>
      </c>
      <c r="H24" s="18" t="s">
        <v>36</v>
      </c>
      <c r="I24" s="4" t="s">
        <v>22</v>
      </c>
      <c r="J24" s="10" t="s">
        <v>23</v>
      </c>
      <c r="K24" s="37" t="str">
        <f t="shared" si="0"/>
        <v>CAPA VERIFICATION SHOULD BE SCHEDULED</v>
      </c>
      <c r="L24" s="48">
        <v>45413</v>
      </c>
      <c r="M24" s="53" t="s">
        <v>139</v>
      </c>
      <c r="N24" s="51" t="str">
        <f>IF(M24="","",HYPERLINK(M24,B24))</f>
        <v xml:space="preserve">
FRANKEY NIG.LTD </v>
      </c>
    </row>
    <row r="25" spans="1:14" ht="39.75" customHeight="1">
      <c r="A25" s="46">
        <v>23</v>
      </c>
      <c r="B25" s="10" t="s">
        <v>141</v>
      </c>
      <c r="C25" s="10" t="s">
        <v>142</v>
      </c>
      <c r="D25" s="12" t="s">
        <v>143</v>
      </c>
      <c r="E25" s="47" t="s">
        <v>19</v>
      </c>
      <c r="F25" s="18" t="s">
        <v>144</v>
      </c>
      <c r="G25" s="10" t="s">
        <v>70</v>
      </c>
      <c r="H25" s="18" t="s">
        <v>36</v>
      </c>
      <c r="I25" s="4" t="s">
        <v>42</v>
      </c>
      <c r="J25" s="10" t="s">
        <v>43</v>
      </c>
      <c r="K25" s="37" t="str">
        <f t="shared" si="0"/>
        <v>REMINDER LETTER SHOULD BE SENT</v>
      </c>
      <c r="L25" s="48">
        <v>44774</v>
      </c>
      <c r="M25" s="49" t="s">
        <v>145</v>
      </c>
      <c r="N25" s="51" t="str">
        <f>IF(M25="","",HYPERLINK(M25,B25))</f>
        <v>GOD IS GREAT PHARMACY</v>
      </c>
    </row>
    <row r="26" spans="1:14" ht="39.75" customHeight="1">
      <c r="A26" s="46">
        <v>24</v>
      </c>
      <c r="B26" s="10" t="s">
        <v>147</v>
      </c>
      <c r="C26" s="10" t="s">
        <v>148</v>
      </c>
      <c r="D26" s="12" t="s">
        <v>149</v>
      </c>
      <c r="E26" s="47" t="s">
        <v>19</v>
      </c>
      <c r="F26" s="18" t="s">
        <v>144</v>
      </c>
      <c r="G26" s="10" t="s">
        <v>35</v>
      </c>
      <c r="H26" s="18" t="s">
        <v>36</v>
      </c>
      <c r="I26" s="4" t="s">
        <v>42</v>
      </c>
      <c r="J26" s="10" t="s">
        <v>43</v>
      </c>
      <c r="K26" s="37" t="str">
        <f t="shared" si="0"/>
        <v>REMINDER LETTER SHOULD BE SENT</v>
      </c>
      <c r="L26" s="48">
        <v>45323</v>
      </c>
      <c r="M26" s="53" t="s">
        <v>150</v>
      </c>
      <c r="N26" s="51" t="str">
        <f>IF(M26="","",HYPERLINK(M26,B26))</f>
        <v>SOMEC UNITED PHARMACY</v>
      </c>
    </row>
    <row r="27" spans="1:14" ht="39.75" customHeight="1">
      <c r="A27" s="46">
        <v>25</v>
      </c>
      <c r="B27" s="10" t="s">
        <v>152</v>
      </c>
      <c r="C27" s="10" t="s">
        <v>153</v>
      </c>
      <c r="D27" s="12" t="s">
        <v>154</v>
      </c>
      <c r="E27" s="47" t="s">
        <v>19</v>
      </c>
      <c r="F27" s="18" t="s">
        <v>144</v>
      </c>
      <c r="G27" s="10" t="s">
        <v>35</v>
      </c>
      <c r="H27" s="18" t="s">
        <v>36</v>
      </c>
      <c r="I27" s="4" t="s">
        <v>42</v>
      </c>
      <c r="J27" s="10" t="s">
        <v>43</v>
      </c>
      <c r="K27" s="37" t="str">
        <f t="shared" si="0"/>
        <v>REMINDER LETTER SHOULD BE SENT</v>
      </c>
      <c r="L27" s="48">
        <v>45323</v>
      </c>
      <c r="M27" s="49" t="s">
        <v>155</v>
      </c>
      <c r="N27" s="51" t="str">
        <f>IF(M27="","",HYPERLINK(M27,B27))</f>
        <v>UNITED ABC PHARMACEUTICAL</v>
      </c>
    </row>
    <row r="28" spans="1:14" ht="39.75" customHeight="1">
      <c r="A28" s="46">
        <v>26</v>
      </c>
      <c r="B28" s="10" t="s">
        <v>157</v>
      </c>
      <c r="C28" s="10" t="s">
        <v>158</v>
      </c>
      <c r="D28" s="12" t="s">
        <v>159</v>
      </c>
      <c r="E28" s="47" t="s">
        <v>19</v>
      </c>
      <c r="F28" s="18" t="s">
        <v>160</v>
      </c>
      <c r="G28" s="10" t="s">
        <v>35</v>
      </c>
      <c r="H28" s="18" t="s">
        <v>36</v>
      </c>
      <c r="I28" s="4" t="s">
        <v>42</v>
      </c>
      <c r="J28" s="10" t="s">
        <v>43</v>
      </c>
      <c r="K28" s="37" t="str">
        <f t="shared" si="0"/>
        <v>REMINDER LETTER SHOULD BE SENT</v>
      </c>
      <c r="L28" s="48">
        <v>45323</v>
      </c>
      <c r="M28" s="49" t="s">
        <v>161</v>
      </c>
      <c r="N28" s="51" t="str">
        <f>IF(M28="","",HYPERLINK(M28,B28))</f>
        <v xml:space="preserve">SA PHARMACY </v>
      </c>
    </row>
    <row r="29" spans="1:14" ht="39.75" customHeight="1">
      <c r="A29" s="46">
        <v>27</v>
      </c>
      <c r="B29" s="10" t="s">
        <v>163</v>
      </c>
      <c r="C29" s="10" t="s">
        <v>164</v>
      </c>
      <c r="D29" s="12" t="s">
        <v>165</v>
      </c>
      <c r="E29" s="47" t="s">
        <v>19</v>
      </c>
      <c r="F29" s="20" t="s">
        <v>160</v>
      </c>
      <c r="G29" s="10" t="s">
        <v>166</v>
      </c>
      <c r="H29" s="18" t="s">
        <v>36</v>
      </c>
      <c r="I29" s="4" t="s">
        <v>42</v>
      </c>
      <c r="J29" s="10" t="s">
        <v>43</v>
      </c>
      <c r="K29" s="37" t="str">
        <f t="shared" si="0"/>
        <v>REMINDER LETTER SHOULD BE SENT</v>
      </c>
      <c r="L29" s="48">
        <v>45323</v>
      </c>
      <c r="M29" s="49" t="s">
        <v>167</v>
      </c>
      <c r="N29" s="51" t="str">
        <f>IF(M29="","",HYPERLINK(M29,B29))</f>
        <v>RIGHTMATE PHARMACY</v>
      </c>
    </row>
  </sheetData>
  <mergeCells count="1">
    <mergeCell ref="A1:M1"/>
  </mergeCells>
  <conditionalFormatting sqref="I3:I29">
    <cfRule type="containsText" dxfId="124" priority="1" operator="containsText" text="NO">
      <formula>NOT(ISERROR(SEARCH("NO",I3)))</formula>
    </cfRule>
    <cfRule type="containsText" dxfId="123" priority="2" operator="containsText" text="YES">
      <formula>NOT(ISERROR(SEARCH("YES",I3)))</formula>
    </cfRule>
  </conditionalFormatting>
  <dataValidations count="1">
    <dataValidation type="list" allowBlank="1" showInputMessage="1" showErrorMessage="1" sqref="I3:I29" xr:uid="{82B55AB0-A6E9-40E7-BD9B-3A591A744C41}">
      <formula1>"YES,NO,N/A"</formula1>
    </dataValidation>
  </dataValidations>
  <hyperlinks>
    <hyperlink ref="M26" r:id="rId1" xr:uid="{5D1C5C94-93DC-4024-990F-405B9C262CFB}"/>
    <hyperlink ref="M24" r:id="rId2" xr:uid="{A48CED2F-3076-4D5D-9B4A-2FA3CA4E86AF}"/>
    <hyperlink ref="M21" r:id="rId3" xr:uid="{56A41456-3B35-4DDF-9CF6-F93115C13118}"/>
    <hyperlink ref="M12" r:id="rId4" xr:uid="{2F60073F-1E7E-47FA-84B0-67BDFA5C3B56}"/>
    <hyperlink ref="N3" r:id="rId5" xr:uid="{F23069E4-80A6-442D-BDCE-F6DDDF538786}"/>
  </hyperlinks>
  <pageMargins left="0.7" right="0.7" top="0.75" bottom="0.75" header="0.3" footer="0.3"/>
  <tableParts count="1">
    <tablePart r:id="rId6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4F4C5-8FED-46E3-9923-C7E2B440D08F}">
  <dimension ref="A1:O10"/>
  <sheetViews>
    <sheetView topLeftCell="H1" workbookViewId="0">
      <selection activeCell="F5" sqref="F5"/>
    </sheetView>
  </sheetViews>
  <sheetFormatPr defaultRowHeight="15"/>
  <cols>
    <col min="1" max="1" width="6.7109375" customWidth="1"/>
    <col min="2" max="2" width="27.140625" bestFit="1" customWidth="1"/>
    <col min="3" max="3" width="21.85546875" bestFit="1" customWidth="1"/>
    <col min="4" max="4" width="13.5703125" customWidth="1"/>
    <col min="5" max="5" width="27.140625" bestFit="1" customWidth="1"/>
    <col min="6" max="6" width="27.42578125" bestFit="1" customWidth="1"/>
    <col min="7" max="7" width="12.285156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15.140625" customWidth="1"/>
    <col min="13" max="13" width="15.5703125" bestFit="1" customWidth="1"/>
    <col min="14" max="15" width="11.5703125" bestFit="1" customWidth="1"/>
  </cols>
  <sheetData>
    <row r="1" spans="1:1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618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619</v>
      </c>
    </row>
    <row r="3" spans="1:15" s="36" customFormat="1" ht="28.5" customHeight="1">
      <c r="A3" s="46">
        <v>28</v>
      </c>
      <c r="B3" s="10" t="s">
        <v>169</v>
      </c>
      <c r="C3" s="10" t="s">
        <v>170</v>
      </c>
      <c r="D3" s="55" t="s">
        <v>171</v>
      </c>
      <c r="E3" s="47" t="s">
        <v>19</v>
      </c>
      <c r="F3" s="18" t="s">
        <v>172</v>
      </c>
      <c r="G3" s="10" t="s">
        <v>173</v>
      </c>
      <c r="H3" s="18" t="s">
        <v>71</v>
      </c>
      <c r="I3" s="4" t="s">
        <v>42</v>
      </c>
      <c r="J3" s="10" t="s">
        <v>43</v>
      </c>
      <c r="K3" s="37" t="str">
        <f t="shared" ref="K3:K10" si="0">IF(I3="YES","CAPA VERIFICATION SHOULD BE SCHEDULED",IF(I3="NO","REMINDER LETTER SHOULD BE SENT",""))</f>
        <v>REMINDER LETTER SHOULD BE SENT</v>
      </c>
      <c r="L3" s="48">
        <v>45170</v>
      </c>
      <c r="M3" s="49" t="s">
        <v>174</v>
      </c>
      <c r="N3" s="40" t="s">
        <v>175</v>
      </c>
      <c r="O3" s="51" t="str">
        <f>IF(M3="","",HYPERLINK(M3,B3))</f>
        <v>M. U. SAM VENTURES LTD.</v>
      </c>
    </row>
    <row r="4" spans="1:15" s="36" customFormat="1" ht="28.5" customHeight="1">
      <c r="A4" s="46">
        <v>29</v>
      </c>
      <c r="B4" s="10" t="s">
        <v>176</v>
      </c>
      <c r="C4" s="10" t="s">
        <v>177</v>
      </c>
      <c r="D4" s="55" t="s">
        <v>178</v>
      </c>
      <c r="E4" s="47" t="s">
        <v>19</v>
      </c>
      <c r="F4" s="18" t="s">
        <v>172</v>
      </c>
      <c r="G4" s="10" t="s">
        <v>173</v>
      </c>
      <c r="H4" s="18" t="s">
        <v>179</v>
      </c>
      <c r="I4" s="4" t="s">
        <v>42</v>
      </c>
      <c r="J4" s="10" t="s">
        <v>43</v>
      </c>
      <c r="K4" s="37" t="str">
        <f t="shared" si="0"/>
        <v>REMINDER LETTER SHOULD BE SENT</v>
      </c>
      <c r="L4" s="48">
        <v>45170</v>
      </c>
      <c r="M4" s="49" t="s">
        <v>180</v>
      </c>
      <c r="N4" s="40" t="s">
        <v>181</v>
      </c>
      <c r="O4" s="51" t="str">
        <f>IF(M4="","",HYPERLINK(M4,B4))</f>
        <v>LIVE BETA PHARMACEUTICALS LTD.</v>
      </c>
    </row>
    <row r="5" spans="1:15" s="36" customFormat="1" ht="28.5" customHeight="1">
      <c r="A5" s="46">
        <v>30</v>
      </c>
      <c r="B5" s="10" t="s">
        <v>182</v>
      </c>
      <c r="C5" s="10" t="s">
        <v>183</v>
      </c>
      <c r="D5" s="55" t="s">
        <v>184</v>
      </c>
      <c r="E5" s="47" t="s">
        <v>19</v>
      </c>
      <c r="F5" s="18" t="s">
        <v>172</v>
      </c>
      <c r="G5" s="10" t="s">
        <v>35</v>
      </c>
      <c r="H5" s="18" t="s">
        <v>179</v>
      </c>
      <c r="I5" s="4" t="s">
        <v>42</v>
      </c>
      <c r="J5" s="10" t="s">
        <v>43</v>
      </c>
      <c r="K5" s="37" t="str">
        <f t="shared" si="0"/>
        <v>REMINDER LETTER SHOULD BE SENT</v>
      </c>
      <c r="L5" s="48">
        <v>45352</v>
      </c>
      <c r="M5" s="42" t="s">
        <v>185</v>
      </c>
      <c r="N5" s="42" t="s">
        <v>186</v>
      </c>
      <c r="O5" s="51" t="str">
        <f>IF(M5="","",HYPERLINK(M5,B5))</f>
        <v>AGU JUDEA PHARM. NIG. LTD.</v>
      </c>
    </row>
    <row r="6" spans="1:15" s="36" customFormat="1" ht="28.5" customHeight="1">
      <c r="A6" s="46">
        <v>31</v>
      </c>
      <c r="B6" s="10" t="s">
        <v>187</v>
      </c>
      <c r="C6" s="10" t="s">
        <v>188</v>
      </c>
      <c r="D6" s="55" t="s">
        <v>189</v>
      </c>
      <c r="E6" s="47" t="s">
        <v>19</v>
      </c>
      <c r="F6" s="18" t="s">
        <v>190</v>
      </c>
      <c r="G6" s="10" t="s">
        <v>20</v>
      </c>
      <c r="H6" s="18" t="s">
        <v>179</v>
      </c>
      <c r="I6" s="4" t="s">
        <v>42</v>
      </c>
      <c r="J6" s="10" t="s">
        <v>43</v>
      </c>
      <c r="K6" s="37" t="str">
        <f t="shared" si="0"/>
        <v>REMINDER LETTER SHOULD BE SENT</v>
      </c>
      <c r="L6" s="48">
        <v>45717</v>
      </c>
      <c r="M6" s="49" t="s">
        <v>191</v>
      </c>
      <c r="N6" s="42" t="s">
        <v>192</v>
      </c>
      <c r="O6" s="51" t="str">
        <f>IF(M6="","",HYPERLINK(M6,B6))</f>
        <v>ZIFAM PINNACLE NIG. LTD.</v>
      </c>
    </row>
    <row r="7" spans="1:15" s="36" customFormat="1" ht="28.5" customHeight="1">
      <c r="A7" s="46">
        <v>32</v>
      </c>
      <c r="B7" s="10" t="s">
        <v>193</v>
      </c>
      <c r="C7" s="10" t="s">
        <v>194</v>
      </c>
      <c r="D7" s="55" t="s">
        <v>195</v>
      </c>
      <c r="E7" s="47" t="s">
        <v>19</v>
      </c>
      <c r="F7" s="18" t="s">
        <v>196</v>
      </c>
      <c r="G7" s="10" t="s">
        <v>35</v>
      </c>
      <c r="H7" s="18" t="s">
        <v>197</v>
      </c>
      <c r="I7" s="4" t="s">
        <v>42</v>
      </c>
      <c r="J7" s="10" t="s">
        <v>43</v>
      </c>
      <c r="K7" s="37" t="str">
        <f t="shared" si="0"/>
        <v>REMINDER LETTER SHOULD BE SENT</v>
      </c>
      <c r="L7" s="48">
        <v>45352</v>
      </c>
      <c r="M7" s="49" t="s">
        <v>198</v>
      </c>
      <c r="N7" s="42" t="s">
        <v>199</v>
      </c>
      <c r="O7" s="51" t="str">
        <f>IF(M7="","",HYPERLINK(M7,B7))</f>
        <v>UNITED AFRICA LABORATORY LIMITED</v>
      </c>
    </row>
    <row r="8" spans="1:15" s="36" customFormat="1" ht="28.5" customHeight="1">
      <c r="A8" s="46">
        <v>33</v>
      </c>
      <c r="B8" s="10" t="s">
        <v>200</v>
      </c>
      <c r="C8" s="10" t="s">
        <v>201</v>
      </c>
      <c r="D8" s="55" t="s">
        <v>202</v>
      </c>
      <c r="E8" s="47" t="s">
        <v>19</v>
      </c>
      <c r="F8" s="18" t="s">
        <v>196</v>
      </c>
      <c r="G8" s="10" t="s">
        <v>35</v>
      </c>
      <c r="H8" s="18" t="s">
        <v>203</v>
      </c>
      <c r="I8" s="4" t="s">
        <v>22</v>
      </c>
      <c r="J8" s="10" t="s">
        <v>23</v>
      </c>
      <c r="K8" s="37" t="str">
        <f t="shared" si="0"/>
        <v>CAPA VERIFICATION SHOULD BE SCHEDULED</v>
      </c>
      <c r="L8" s="37" t="s">
        <v>204</v>
      </c>
      <c r="M8" s="49" t="s">
        <v>205</v>
      </c>
      <c r="N8" s="42" t="s">
        <v>206</v>
      </c>
      <c r="O8" s="51" t="str">
        <f>IF(M8="","",HYPERLINK(M8,B8))</f>
        <v>SANTUS PHARMACY &amp; STORES LTD.</v>
      </c>
    </row>
    <row r="9" spans="1:15" s="36" customFormat="1" ht="28.5" customHeight="1">
      <c r="A9" s="46">
        <v>34</v>
      </c>
      <c r="B9" s="10" t="s">
        <v>207</v>
      </c>
      <c r="C9" s="10" t="s">
        <v>208</v>
      </c>
      <c r="D9" s="55" t="s">
        <v>209</v>
      </c>
      <c r="E9" s="47" t="s">
        <v>19</v>
      </c>
      <c r="F9" s="18" t="s">
        <v>196</v>
      </c>
      <c r="G9" s="10" t="s">
        <v>173</v>
      </c>
      <c r="H9" s="18" t="s">
        <v>71</v>
      </c>
      <c r="I9" s="4" t="s">
        <v>42</v>
      </c>
      <c r="J9" s="10" t="s">
        <v>43</v>
      </c>
      <c r="K9" s="37" t="str">
        <f t="shared" si="0"/>
        <v>REMINDER LETTER SHOULD BE SENT</v>
      </c>
      <c r="L9" s="48">
        <v>45170</v>
      </c>
      <c r="M9" s="49" t="s">
        <v>210</v>
      </c>
      <c r="N9" s="42" t="s">
        <v>211</v>
      </c>
      <c r="O9" s="51" t="str">
        <f>IF(M9="","",HYPERLINK(M9,B9))</f>
        <v>THINK ETERNITY DRUGS LTD.</v>
      </c>
    </row>
    <row r="10" spans="1:15" s="36" customFormat="1" ht="28.5" customHeight="1">
      <c r="A10" s="46">
        <v>35</v>
      </c>
      <c r="B10" s="10" t="s">
        <v>212</v>
      </c>
      <c r="C10" s="10" t="s">
        <v>213</v>
      </c>
      <c r="D10" s="55" t="s">
        <v>214</v>
      </c>
      <c r="E10" s="47" t="s">
        <v>19</v>
      </c>
      <c r="F10" s="18" t="s">
        <v>190</v>
      </c>
      <c r="G10" s="10" t="s">
        <v>173</v>
      </c>
      <c r="H10" s="18" t="s">
        <v>215</v>
      </c>
      <c r="I10" s="4" t="s">
        <v>42</v>
      </c>
      <c r="J10" s="10" t="s">
        <v>43</v>
      </c>
      <c r="K10" s="37" t="str">
        <f t="shared" si="0"/>
        <v>REMINDER LETTER SHOULD BE SENT</v>
      </c>
      <c r="L10" s="48">
        <v>45170</v>
      </c>
      <c r="M10" s="49" t="s">
        <v>216</v>
      </c>
      <c r="N10" s="42" t="s">
        <v>217</v>
      </c>
      <c r="O10" s="51" t="str">
        <f>IF(M10="","",HYPERLINK(M10,B10))</f>
        <v>MIVERO PHARM. LTD.</v>
      </c>
    </row>
  </sheetData>
  <mergeCells count="1">
    <mergeCell ref="A1:N1"/>
  </mergeCells>
  <conditionalFormatting sqref="I3:I10">
    <cfRule type="containsText" dxfId="106" priority="1" operator="containsText" text="NO">
      <formula>NOT(ISERROR(SEARCH("NO",I3)))</formula>
    </cfRule>
    <cfRule type="containsText" dxfId="105" priority="2" operator="containsText" text="YES">
      <formula>NOT(ISERROR(SEARCH("YES",I3)))</formula>
    </cfRule>
  </conditionalFormatting>
  <dataValidations count="1">
    <dataValidation type="list" allowBlank="1" showInputMessage="1" showErrorMessage="1" sqref="I3:I10" xr:uid="{4871C79C-2589-4628-9A9B-FED97DEBDD75}">
      <formula1>"YES,NO,N/A"</formula1>
    </dataValidation>
  </dataValidations>
  <hyperlinks>
    <hyperlink ref="M5" r:id="rId1" xr:uid="{92A942AD-724F-44A2-B8A5-2C660EC2C20E}"/>
    <hyperlink ref="N3" r:id="rId2" display="https://nafdacng.sharepoint.com/sites/PMSLAGOS/Shared Documents/GDP (GOOD DISTRIBUTION PRATICE)/GSDP COMPANY FILES\M.U. SAM" xr:uid="{97880F26-F67C-48B0-ABC7-57E6CF53061F}"/>
    <hyperlink ref="N4" r:id="rId3" display="https://nafdacng.sharepoint.com/sites/PMSLAGOS/Shared Documents/GDP (GOOD DISTRIBUTION PRATICE)/GSDP COMPANY FILES\LIVE BETA PHARM" xr:uid="{4AA0B8DF-C2BE-4770-AFB3-5F8128E8DEB9}"/>
    <hyperlink ref="N5" r:id="rId4" display="https://nafdacng.sharepoint.com/sites/PMSLAGOS/Shared Documents/GDP (GOOD DISTRIBUTION PRATICE)/GSDP COMPANY FILES\AGU JUDEA PHARMACEUTICLAS" xr:uid="{98122AE0-C76F-4638-8406-91A8C34C6EE2}"/>
    <hyperlink ref="N6" r:id="rId5" display="https://nafdacng.sharepoint.com/sites/PMSLAGOS/Shared Documents/GDP (GOOD DISTRIBUTION PRATICE)/GSDP COMPANY FILES\ZIFAM PINNACLES LTD" xr:uid="{D1416494-3DBF-4513-8FB8-06983E3B3A99}"/>
    <hyperlink ref="N7" r:id="rId6" display="https://nafdacng.sharepoint.com/sites/PMSLAGOS/Shared Documents/GDP (GOOD DISTRIBUTION PRATICE)/GSDP COMPANY FILES\UNITED AFRICA LABORATORY LTD" xr:uid="{1CFF5E32-B267-4BEC-B3EE-FA8CA72E60A6}"/>
    <hyperlink ref="N8" r:id="rId7" display="https://nafdacng.sharepoint.com/sites/PMSLAGOS/Shared Documents/GDP (GOOD DISTRIBUTION PRATICE)/GSDP COMPANY FILES\SANTUS PHARMACY LTD" xr:uid="{ABA479E3-4111-4BA4-B08B-F95C42E8B915}"/>
    <hyperlink ref="N9" r:id="rId8" display="https://nafdacng.sharepoint.com/sites/PMSLAGOS/Shared Documents/GDP (GOOD DISTRIBUTION PRATICE)/GSDP COMPANY FILES\THINK ENTERNITY DRUGS LTD" xr:uid="{E34AA44B-96C7-4389-A858-05898FD1A85D}"/>
    <hyperlink ref="N10" r:id="rId9" display="https://nafdacng.sharepoint.com/sites/PMSLAGOS/Shared Documents/GDP (GOOD DISTRIBUTION PRATICE)/GSDP COMPANY FILES\MIVERO PHARM" xr:uid="{6907337A-A2D6-419C-B511-AF2DFA822107}"/>
  </hyperlinks>
  <pageMargins left="0.7" right="0.7" top="0.75" bottom="0.75" header="0.3" footer="0.3"/>
  <tableParts count="1">
    <tablePart r:id="rId10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BB56-DB5E-4EB4-A8B4-90C164A757B1}">
  <dimension ref="A1:O9"/>
  <sheetViews>
    <sheetView topLeftCell="A7" workbookViewId="0">
      <selection activeCell="N5" sqref="N5"/>
    </sheetView>
  </sheetViews>
  <sheetFormatPr defaultRowHeight="15"/>
  <cols>
    <col min="2" max="2" width="32.42578125" bestFit="1" customWidth="1"/>
    <col min="3" max="3" width="21.85546875" bestFit="1" customWidth="1"/>
    <col min="4" max="4" width="13" bestFit="1" customWidth="1"/>
    <col min="5" max="5" width="12.42578125" customWidth="1"/>
    <col min="6" max="6" width="13.7109375" customWidth="1"/>
    <col min="7" max="7" width="13.57031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20" customWidth="1"/>
    <col min="13" max="13" width="17.28515625" customWidth="1"/>
    <col min="14" max="14" width="11.5703125" bestFit="1" customWidth="1"/>
  </cols>
  <sheetData>
    <row r="1" spans="1:1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618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5" ht="42" customHeight="1">
      <c r="A3" s="3">
        <v>36</v>
      </c>
      <c r="B3" s="7" t="s">
        <v>218</v>
      </c>
      <c r="C3" s="10" t="s">
        <v>219</v>
      </c>
      <c r="D3" s="13" t="s">
        <v>220</v>
      </c>
      <c r="E3" s="6" t="s">
        <v>19</v>
      </c>
      <c r="F3" s="21">
        <v>45050</v>
      </c>
      <c r="G3" s="10" t="s">
        <v>70</v>
      </c>
      <c r="H3" s="18" t="s">
        <v>71</v>
      </c>
      <c r="I3" s="4" t="s">
        <v>42</v>
      </c>
      <c r="J3" s="10" t="s">
        <v>43</v>
      </c>
      <c r="K3" s="37" t="str">
        <f t="shared" ref="K3:K9" si="0">IF(I3="YES","CAPA VERIFICATION SHOULD BE SCHEDULED",IF(I3="NO","REMINDER LETTER SHOULD BE SENT",""))</f>
        <v>REMINDER LETTER SHOULD BE SENT</v>
      </c>
      <c r="L3" s="38">
        <v>45200</v>
      </c>
      <c r="M3" s="39" t="s">
        <v>221</v>
      </c>
      <c r="N3" s="40" t="s">
        <v>222</v>
      </c>
      <c r="O3" s="41"/>
    </row>
    <row r="4" spans="1:15" ht="42" customHeight="1">
      <c r="A4" s="3">
        <v>37</v>
      </c>
      <c r="B4" s="7" t="s">
        <v>223</v>
      </c>
      <c r="C4" s="10" t="s">
        <v>224</v>
      </c>
      <c r="D4" s="13" t="s">
        <v>225</v>
      </c>
      <c r="E4" s="6" t="s">
        <v>19</v>
      </c>
      <c r="F4" s="21">
        <v>45020</v>
      </c>
      <c r="G4" s="10" t="s">
        <v>35</v>
      </c>
      <c r="H4" s="18" t="s">
        <v>179</v>
      </c>
      <c r="I4" s="4" t="s">
        <v>22</v>
      </c>
      <c r="J4" s="10" t="s">
        <v>23</v>
      </c>
      <c r="K4" s="37" t="str">
        <f t="shared" si="0"/>
        <v>CAPA VERIFICATION SHOULD BE SCHEDULED</v>
      </c>
      <c r="L4" s="38">
        <v>45078</v>
      </c>
      <c r="M4" s="39" t="s">
        <v>226</v>
      </c>
      <c r="N4" s="40" t="s">
        <v>227</v>
      </c>
      <c r="O4" s="41"/>
    </row>
    <row r="5" spans="1:15" ht="42" customHeight="1">
      <c r="A5" s="3">
        <v>38</v>
      </c>
      <c r="B5" s="7" t="s">
        <v>228</v>
      </c>
      <c r="C5" s="10" t="s">
        <v>229</v>
      </c>
      <c r="D5" s="13" t="s">
        <v>230</v>
      </c>
      <c r="E5" s="6" t="s">
        <v>19</v>
      </c>
      <c r="F5" s="21">
        <v>45020</v>
      </c>
      <c r="G5" s="10" t="s">
        <v>35</v>
      </c>
      <c r="H5" s="18" t="s">
        <v>179</v>
      </c>
      <c r="I5" s="4" t="s">
        <v>42</v>
      </c>
      <c r="J5" s="10" t="s">
        <v>43</v>
      </c>
      <c r="K5" s="37" t="str">
        <f t="shared" si="0"/>
        <v>REMINDER LETTER SHOULD BE SENT</v>
      </c>
      <c r="L5" s="38">
        <v>45383</v>
      </c>
      <c r="M5" s="39" t="s">
        <v>231</v>
      </c>
      <c r="N5" s="42" t="s">
        <v>232</v>
      </c>
      <c r="O5" s="41"/>
    </row>
    <row r="6" spans="1:15" ht="42" customHeight="1">
      <c r="A6" s="3">
        <v>39</v>
      </c>
      <c r="B6" s="10" t="s">
        <v>233</v>
      </c>
      <c r="C6" s="10" t="s">
        <v>234</v>
      </c>
      <c r="D6" s="13" t="s">
        <v>235</v>
      </c>
      <c r="E6" s="6" t="s">
        <v>19</v>
      </c>
      <c r="F6" s="21">
        <v>45050</v>
      </c>
      <c r="G6" s="10" t="s">
        <v>35</v>
      </c>
      <c r="H6" s="18" t="s">
        <v>71</v>
      </c>
      <c r="I6" s="4" t="s">
        <v>42</v>
      </c>
      <c r="J6" s="10" t="s">
        <v>43</v>
      </c>
      <c r="K6" s="37" t="str">
        <f t="shared" si="0"/>
        <v>REMINDER LETTER SHOULD BE SENT</v>
      </c>
      <c r="L6" s="38">
        <v>45383</v>
      </c>
      <c r="M6" s="39" t="s">
        <v>236</v>
      </c>
      <c r="N6" s="42" t="s">
        <v>237</v>
      </c>
      <c r="O6" s="41"/>
    </row>
    <row r="7" spans="1:15" ht="42" customHeight="1">
      <c r="A7" s="3">
        <v>40</v>
      </c>
      <c r="B7" s="7" t="s">
        <v>238</v>
      </c>
      <c r="C7" s="10" t="s">
        <v>239</v>
      </c>
      <c r="D7" s="5" t="s">
        <v>240</v>
      </c>
      <c r="E7" s="6" t="s">
        <v>19</v>
      </c>
      <c r="F7" s="19" t="s">
        <v>241</v>
      </c>
      <c r="G7" s="7" t="s">
        <v>20</v>
      </c>
      <c r="H7" s="19" t="s">
        <v>242</v>
      </c>
      <c r="I7" s="4" t="s">
        <v>42</v>
      </c>
      <c r="J7" s="10" t="s">
        <v>43</v>
      </c>
      <c r="K7" s="37" t="str">
        <f t="shared" si="0"/>
        <v>REMINDER LETTER SHOULD BE SENT</v>
      </c>
      <c r="L7" s="38">
        <v>45748</v>
      </c>
      <c r="M7" s="39" t="s">
        <v>243</v>
      </c>
      <c r="N7" s="42" t="s">
        <v>244</v>
      </c>
      <c r="O7" s="41"/>
    </row>
    <row r="8" spans="1:15" ht="42" customHeight="1">
      <c r="A8" s="3">
        <v>41</v>
      </c>
      <c r="B8" s="7" t="s">
        <v>245</v>
      </c>
      <c r="C8" s="10" t="s">
        <v>246</v>
      </c>
      <c r="D8" s="5" t="s">
        <v>247</v>
      </c>
      <c r="E8" s="6" t="s">
        <v>19</v>
      </c>
      <c r="F8" s="19" t="s">
        <v>248</v>
      </c>
      <c r="G8" s="7" t="s">
        <v>249</v>
      </c>
      <c r="H8" s="19" t="s">
        <v>215</v>
      </c>
      <c r="I8" s="4" t="s">
        <v>22</v>
      </c>
      <c r="J8" s="10" t="s">
        <v>23</v>
      </c>
      <c r="K8" s="37" t="str">
        <f t="shared" si="0"/>
        <v>CAPA VERIFICATION SHOULD BE SCHEDULED</v>
      </c>
      <c r="L8" s="38">
        <v>45200</v>
      </c>
      <c r="M8" s="39" t="s">
        <v>250</v>
      </c>
      <c r="N8" s="42" t="s">
        <v>251</v>
      </c>
      <c r="O8" s="41"/>
    </row>
    <row r="9" spans="1:15" ht="42" customHeight="1">
      <c r="A9" s="3">
        <v>42</v>
      </c>
      <c r="B9" s="7" t="s">
        <v>252</v>
      </c>
      <c r="C9" s="10" t="s">
        <v>253</v>
      </c>
      <c r="D9" s="14" t="s">
        <v>254</v>
      </c>
      <c r="E9" s="6" t="s">
        <v>19</v>
      </c>
      <c r="F9" s="21">
        <v>45020</v>
      </c>
      <c r="G9" s="7" t="s">
        <v>72</v>
      </c>
      <c r="H9" s="19" t="s">
        <v>72</v>
      </c>
      <c r="I9" s="4" t="s">
        <v>72</v>
      </c>
      <c r="J9" s="7" t="s">
        <v>72</v>
      </c>
      <c r="K9" s="37" t="s">
        <v>255</v>
      </c>
      <c r="L9" s="43"/>
      <c r="M9" s="39" t="s">
        <v>256</v>
      </c>
      <c r="N9" s="42" t="s">
        <v>257</v>
      </c>
      <c r="O9" s="41"/>
    </row>
  </sheetData>
  <mergeCells count="1">
    <mergeCell ref="A1:N1"/>
  </mergeCells>
  <conditionalFormatting sqref="I3:I9">
    <cfRule type="containsText" dxfId="89" priority="1" operator="containsText" text="NO">
      <formula>NOT(ISERROR(SEARCH("NO",I3)))</formula>
    </cfRule>
    <cfRule type="containsText" dxfId="88" priority="2" operator="containsText" text="YES">
      <formula>NOT(ISERROR(SEARCH("YES",I3)))</formula>
    </cfRule>
  </conditionalFormatting>
  <dataValidations count="1">
    <dataValidation type="list" allowBlank="1" showInputMessage="1" showErrorMessage="1" sqref="I3:I9" xr:uid="{A0A59EB3-0A40-4659-902B-743F48404ED8}">
      <formula1>"YES,NO,N/A"</formula1>
    </dataValidation>
  </dataValidations>
  <hyperlinks>
    <hyperlink ref="N3" r:id="rId1" display="https://nafdacng.sharepoint.com/sites/PMSLAGOS/Shared Documents/GDP (GOOD DISTRIBUTION PRATICE)/GSDP COMPANY FILES\R.L UPRIGHTWAY NIG LTD" xr:uid="{3D556000-CB6F-4552-B397-A06E97EB3864}"/>
    <hyperlink ref="N4" r:id="rId2" display="https://nafdacng.sharepoint.com/sites/PMSLAGOS/Shared Documents/GDP (GOOD DISTRIBUTION PRATICE)/GSDP COMPANY FILES\TEACO PHARMACY" xr:uid="{C464A2D1-D78E-426F-B789-75FD2F768EE3}"/>
    <hyperlink ref="N5" r:id="rId3" display="https://nafdacng.sharepoint.com/sites/PMSLAGOS/Shared Documents/GDP (GOOD DISTRIBUTION PRATICE)/GSDP COMPANY FILES\FUNKET NIG. LTD" xr:uid="{E84D7E5D-0044-4B68-B878-2FF48F458E49}"/>
    <hyperlink ref="N6" r:id="rId4" display="https://nafdacng.sharepoint.com/sites/PMSLAGOS/Shared Documents/GDP (GOOD DISTRIBUTION PRATICE)/GSDP COMPANY FILES\KATCEE-MACKENZIE LTD" xr:uid="{6756C7DB-E6E0-4A76-AA18-1F3E77DB4B16}"/>
    <hyperlink ref="N7" r:id="rId5" display="https://nafdacng.sharepoint.com/sites/PMSLAGOS/Shared Documents/GDP (GOOD DISTRIBUTION PRATICE)/GSDP COMPANY FILES\DRUG IT PHARMACY" xr:uid="{5BF6BFC9-E079-404F-B9E9-44F9FD87D010}"/>
    <hyperlink ref="N8" r:id="rId6" display="https://nafdacng.sharepoint.com/sites/PMSLAGOS/Shared Documents/GDP (GOOD DISTRIBUTION PRATICE)/GSDP COMPANY FILES\FAMOUS CHEMIST LTD" xr:uid="{15027C26-AED2-44E3-9625-2F370ACA2C7F}"/>
    <hyperlink ref="N9" r:id="rId7" display="https://nafdacng.sharepoint.com/sites/PMSLAGOS/Shared Documents/GDP (GOOD DISTRIBUTION PRATICE)/GSDP COMPANY FILES\ALIMOSHO CHEMISTS LTD" xr:uid="{3307A861-12D2-427A-A6C7-17B771893C11}"/>
  </hyperlinks>
  <pageMargins left="0.7" right="0.7" top="0.75" bottom="0.75" header="0.3" footer="0.3"/>
  <tableParts count="1">
    <tablePart r:id="rId8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993B1-6803-41D2-9E26-2ED0288202EB}">
  <dimension ref="A1:O15"/>
  <sheetViews>
    <sheetView topLeftCell="A12" workbookViewId="0">
      <selection activeCell="A15" sqref="A15:O15"/>
    </sheetView>
  </sheetViews>
  <sheetFormatPr defaultRowHeight="15"/>
  <cols>
    <col min="2" max="2" width="34.85546875" bestFit="1" customWidth="1"/>
    <col min="3" max="3" width="21.85546875" bestFit="1" customWidth="1"/>
    <col min="4" max="4" width="13" bestFit="1" customWidth="1"/>
    <col min="5" max="5" width="27.140625" bestFit="1" customWidth="1"/>
    <col min="6" max="6" width="27.42578125" bestFit="1" customWidth="1"/>
    <col min="7" max="7" width="13.57031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32.7109375" bestFit="1" customWidth="1"/>
    <col min="13" max="13" width="146.140625" bestFit="1" customWidth="1"/>
    <col min="14" max="14" width="11.5703125" bestFit="1" customWidth="1"/>
  </cols>
  <sheetData>
    <row r="1" spans="1:1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618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5" ht="48" customHeight="1">
      <c r="A3" s="3">
        <v>1</v>
      </c>
      <c r="B3" s="10" t="s">
        <v>258</v>
      </c>
      <c r="C3" s="10" t="s">
        <v>259</v>
      </c>
      <c r="D3" s="5" t="s">
        <v>260</v>
      </c>
      <c r="E3" s="6" t="s">
        <v>19</v>
      </c>
      <c r="F3" s="21">
        <v>45204</v>
      </c>
      <c r="G3" s="10" t="s">
        <v>35</v>
      </c>
      <c r="H3" s="20">
        <v>45204</v>
      </c>
      <c r="I3" s="4" t="s">
        <v>42</v>
      </c>
      <c r="J3" s="10" t="s">
        <v>43</v>
      </c>
      <c r="K3" s="37" t="str">
        <f t="shared" ref="K3:K9" si="0">IF(I3="YES","CAPA VERIFICATION SHOULD BE SCHEDULED",IF(I3="NO","REMINDER LETTER SHOULD BE SENT",""))</f>
        <v>REMINDER LETTER SHOULD BE SENT</v>
      </c>
      <c r="L3" s="38">
        <v>45352</v>
      </c>
      <c r="M3" s="39" t="s">
        <v>261</v>
      </c>
      <c r="N3" s="40" t="s">
        <v>262</v>
      </c>
      <c r="O3" s="41" t="str">
        <f>IF(M3="","",HYPERLINK(M3,B3))</f>
        <v>GOD 'S FOUNDATION PHARMA LTD.</v>
      </c>
    </row>
    <row r="4" spans="1:15" ht="48" customHeight="1">
      <c r="A4" s="3">
        <v>2</v>
      </c>
      <c r="B4" s="7" t="s">
        <v>263</v>
      </c>
      <c r="C4" s="10" t="s">
        <v>264</v>
      </c>
      <c r="D4" s="5" t="s">
        <v>265</v>
      </c>
      <c r="E4" s="6" t="s">
        <v>19</v>
      </c>
      <c r="F4" s="21">
        <v>45204</v>
      </c>
      <c r="G4" s="10" t="s">
        <v>35</v>
      </c>
      <c r="H4" s="20">
        <v>45174</v>
      </c>
      <c r="I4" s="4" t="s">
        <v>42</v>
      </c>
      <c r="J4" s="10" t="s">
        <v>43</v>
      </c>
      <c r="K4" s="37" t="str">
        <f t="shared" si="0"/>
        <v>REMINDER LETTER SHOULD BE SENT</v>
      </c>
      <c r="L4" s="38">
        <v>45352</v>
      </c>
      <c r="M4" s="39" t="s">
        <v>266</v>
      </c>
      <c r="N4" s="40" t="s">
        <v>267</v>
      </c>
      <c r="O4" s="41" t="str">
        <f>IF(M4="","",HYPERLINK(M4,B4))</f>
        <v>E.U. EMMASON PHARM. CO.LTD.</v>
      </c>
    </row>
    <row r="5" spans="1:15" ht="48" customHeight="1">
      <c r="A5" s="3">
        <v>3</v>
      </c>
      <c r="B5" s="7" t="s">
        <v>268</v>
      </c>
      <c r="C5" s="10" t="s">
        <v>269</v>
      </c>
      <c r="D5" s="5" t="s">
        <v>270</v>
      </c>
      <c r="E5" s="6" t="s">
        <v>19</v>
      </c>
      <c r="F5" s="21">
        <v>44990</v>
      </c>
      <c r="G5" s="7" t="s">
        <v>249</v>
      </c>
      <c r="H5" s="20">
        <v>45174</v>
      </c>
      <c r="I5" s="4" t="s">
        <v>42</v>
      </c>
      <c r="J5" s="10" t="s">
        <v>43</v>
      </c>
      <c r="K5" s="37" t="str">
        <f t="shared" si="0"/>
        <v>REMINDER LETTER SHOULD BE SENT</v>
      </c>
      <c r="L5" s="38">
        <v>45231</v>
      </c>
      <c r="M5" s="39" t="s">
        <v>271</v>
      </c>
      <c r="N5" s="42" t="s">
        <v>272</v>
      </c>
      <c r="O5" s="41" t="str">
        <f>IF(M5="","",HYPERLINK(M5,B5))</f>
        <v>ANYIWEST PHARMACY LTD.</v>
      </c>
    </row>
    <row r="6" spans="1:15" ht="48" customHeight="1">
      <c r="A6" s="3">
        <v>4</v>
      </c>
      <c r="B6" s="10" t="s">
        <v>273</v>
      </c>
      <c r="C6" s="10" t="s">
        <v>274</v>
      </c>
      <c r="D6" s="5" t="s">
        <v>275</v>
      </c>
      <c r="E6" s="6" t="s">
        <v>19</v>
      </c>
      <c r="F6" s="21">
        <v>44990</v>
      </c>
      <c r="G6" s="10" t="s">
        <v>35</v>
      </c>
      <c r="H6" s="18"/>
      <c r="I6" s="4" t="s">
        <v>42</v>
      </c>
      <c r="J6" s="10" t="s">
        <v>43</v>
      </c>
      <c r="K6" s="37" t="str">
        <f t="shared" si="0"/>
        <v>REMINDER LETTER SHOULD BE SENT</v>
      </c>
      <c r="L6" s="38">
        <v>45352</v>
      </c>
      <c r="M6" s="39" t="s">
        <v>276</v>
      </c>
      <c r="N6" s="42" t="s">
        <v>277</v>
      </c>
      <c r="O6" s="41" t="str">
        <f>IF(M6="","",HYPERLINK(M6,B6))</f>
        <v>KRANTZ PHARMACEUTICAL &amp; CHEMICALS LTD.</v>
      </c>
    </row>
    <row r="7" spans="1:15" ht="48" customHeight="1">
      <c r="A7" s="3">
        <v>5</v>
      </c>
      <c r="B7" s="7" t="s">
        <v>278</v>
      </c>
      <c r="C7" s="10" t="s">
        <v>279</v>
      </c>
      <c r="D7" s="5" t="s">
        <v>280</v>
      </c>
      <c r="E7" s="6" t="s">
        <v>19</v>
      </c>
      <c r="F7" s="21">
        <v>45174</v>
      </c>
      <c r="G7" s="7" t="s">
        <v>20</v>
      </c>
      <c r="H7" s="21">
        <v>45144</v>
      </c>
      <c r="I7" s="4" t="s">
        <v>22</v>
      </c>
      <c r="J7" s="10" t="s">
        <v>23</v>
      </c>
      <c r="K7" s="37" t="str">
        <f t="shared" si="0"/>
        <v>CAPA VERIFICATION SHOULD BE SCHEDULED</v>
      </c>
      <c r="L7" s="38">
        <v>45717</v>
      </c>
      <c r="M7" s="39" t="s">
        <v>281</v>
      </c>
      <c r="N7" s="42" t="s">
        <v>282</v>
      </c>
      <c r="O7" s="41" t="str">
        <f>IF(M7="","",HYPERLINK(M7,B7))</f>
        <v xml:space="preserve">ALGANDA PHARMACY </v>
      </c>
    </row>
    <row r="8" spans="1:15" ht="48" customHeight="1">
      <c r="A8" s="3">
        <v>6</v>
      </c>
      <c r="B8" s="7" t="s">
        <v>283</v>
      </c>
      <c r="C8" s="10" t="s">
        <v>284</v>
      </c>
      <c r="D8" s="5" t="s">
        <v>285</v>
      </c>
      <c r="E8" s="6" t="s">
        <v>19</v>
      </c>
      <c r="F8" s="21">
        <v>45174</v>
      </c>
      <c r="G8" s="7" t="s">
        <v>20</v>
      </c>
      <c r="H8" s="21">
        <v>45154</v>
      </c>
      <c r="I8" s="4" t="s">
        <v>42</v>
      </c>
      <c r="J8" s="10" t="s">
        <v>43</v>
      </c>
      <c r="K8" s="37" t="str">
        <f t="shared" si="0"/>
        <v>REMINDER LETTER SHOULD BE SENT</v>
      </c>
      <c r="L8" s="38">
        <v>45717</v>
      </c>
      <c r="M8" s="39" t="s">
        <v>286</v>
      </c>
      <c r="N8" s="42" t="s">
        <v>287</v>
      </c>
      <c r="O8" s="41" t="str">
        <f>IF(M8="","",HYPERLINK(M8,B8))</f>
        <v>CIKASON PHARMACY</v>
      </c>
    </row>
    <row r="9" spans="1:15" ht="48" customHeight="1">
      <c r="A9" s="3">
        <v>7</v>
      </c>
      <c r="B9" s="10" t="s">
        <v>288</v>
      </c>
      <c r="C9" s="10" t="s">
        <v>289</v>
      </c>
      <c r="D9" s="5" t="s">
        <v>290</v>
      </c>
      <c r="E9" s="6" t="s">
        <v>19</v>
      </c>
      <c r="F9" s="21">
        <v>44990</v>
      </c>
      <c r="G9" s="7" t="s">
        <v>249</v>
      </c>
      <c r="H9" s="21">
        <v>45174</v>
      </c>
      <c r="I9" s="4" t="s">
        <v>42</v>
      </c>
      <c r="J9" s="10" t="s">
        <v>43</v>
      </c>
      <c r="K9" s="37" t="str">
        <f t="shared" si="0"/>
        <v>REMINDER LETTER SHOULD BE SENT</v>
      </c>
      <c r="L9" s="38">
        <v>45231</v>
      </c>
      <c r="M9" s="39" t="s">
        <v>291</v>
      </c>
      <c r="N9" s="42" t="s">
        <v>292</v>
      </c>
      <c r="O9" s="41" t="str">
        <f>IF(M9="","",HYPERLINK(M9,B9))</f>
        <v>MARY-IYKE PHARMACY &amp; STORES</v>
      </c>
    </row>
    <row r="10" spans="1:15" ht="48" customHeight="1">
      <c r="A10" s="3">
        <v>8</v>
      </c>
      <c r="B10" s="7" t="s">
        <v>293</v>
      </c>
      <c r="C10" s="10" t="s">
        <v>294</v>
      </c>
      <c r="D10" s="5" t="s">
        <v>295</v>
      </c>
      <c r="E10" s="6" t="s">
        <v>19</v>
      </c>
      <c r="F10" s="19" t="s">
        <v>620</v>
      </c>
      <c r="G10" s="7" t="s">
        <v>20</v>
      </c>
      <c r="H10" s="19" t="s">
        <v>72</v>
      </c>
      <c r="I10" s="4" t="s">
        <v>72</v>
      </c>
      <c r="J10" s="10" t="s">
        <v>296</v>
      </c>
      <c r="K10" s="37" t="s">
        <v>297</v>
      </c>
      <c r="L10" s="38">
        <v>45717</v>
      </c>
      <c r="M10" s="39" t="s">
        <v>298</v>
      </c>
      <c r="N10" s="42" t="s">
        <v>299</v>
      </c>
      <c r="O10" s="41" t="str">
        <f>IF(M10="","",HYPERLINK(M10,B10))</f>
        <v>DRUG STOC E HUB LIMITED</v>
      </c>
    </row>
    <row r="11" spans="1:15" ht="48" customHeight="1">
      <c r="A11" s="3">
        <v>9</v>
      </c>
      <c r="B11" s="10" t="s">
        <v>300</v>
      </c>
      <c r="C11" s="10" t="s">
        <v>301</v>
      </c>
      <c r="D11" s="5" t="s">
        <v>302</v>
      </c>
      <c r="E11" s="6" t="s">
        <v>19</v>
      </c>
      <c r="F11" s="21">
        <v>44962</v>
      </c>
      <c r="G11" s="10" t="s">
        <v>35</v>
      </c>
      <c r="H11" s="20">
        <v>45144</v>
      </c>
      <c r="I11" s="4" t="s">
        <v>42</v>
      </c>
      <c r="J11" s="10" t="s">
        <v>43</v>
      </c>
      <c r="K11" s="37" t="str">
        <f t="shared" ref="K11:K15" si="1">IF(I11="YES","CAPA VERIFICATION SHOULD BE SCHEDULED",IF(I11="NO","REMINDER LETTER SHOULD BE SENT",""))</f>
        <v>REMINDER LETTER SHOULD BE SENT</v>
      </c>
      <c r="L11" s="38">
        <v>45352</v>
      </c>
      <c r="M11" s="39" t="s">
        <v>303</v>
      </c>
      <c r="N11" s="42" t="s">
        <v>304</v>
      </c>
      <c r="O11" s="41" t="str">
        <f>IF(M11="","",HYPERLINK(M11,B11))</f>
        <v>MAC EVENTUS PHARM. CO. LTD.</v>
      </c>
    </row>
    <row r="12" spans="1:15" ht="48" customHeight="1">
      <c r="A12" s="3">
        <v>10</v>
      </c>
      <c r="B12" s="7" t="s">
        <v>305</v>
      </c>
      <c r="C12" s="10" t="s">
        <v>306</v>
      </c>
      <c r="D12" s="5" t="s">
        <v>307</v>
      </c>
      <c r="E12" s="6" t="s">
        <v>19</v>
      </c>
      <c r="F12" s="19" t="s">
        <v>620</v>
      </c>
      <c r="G12" s="7" t="s">
        <v>249</v>
      </c>
      <c r="H12" s="20">
        <v>45100</v>
      </c>
      <c r="I12" s="4" t="s">
        <v>42</v>
      </c>
      <c r="J12" s="10" t="s">
        <v>43</v>
      </c>
      <c r="K12" s="37" t="str">
        <f t="shared" si="1"/>
        <v>REMINDER LETTER SHOULD BE SENT</v>
      </c>
      <c r="L12" s="38">
        <v>45231</v>
      </c>
      <c r="M12" s="39" t="s">
        <v>308</v>
      </c>
      <c r="N12" s="42" t="s">
        <v>309</v>
      </c>
      <c r="O12" s="41" t="str">
        <f>IF(M12="","",HYPERLINK(M12,B12))</f>
        <v>SAMNTO PHARM. LTD.</v>
      </c>
    </row>
    <row r="13" spans="1:15" ht="48" customHeight="1">
      <c r="A13" s="3">
        <v>11</v>
      </c>
      <c r="B13" s="7" t="s">
        <v>310</v>
      </c>
      <c r="C13" s="10" t="s">
        <v>311</v>
      </c>
      <c r="D13" s="5" t="s">
        <v>312</v>
      </c>
      <c r="E13" s="6" t="s">
        <v>19</v>
      </c>
      <c r="F13" s="21">
        <v>44962</v>
      </c>
      <c r="G13" s="7" t="s">
        <v>249</v>
      </c>
      <c r="H13" s="20">
        <v>45075</v>
      </c>
      <c r="I13" s="4" t="s">
        <v>22</v>
      </c>
      <c r="J13" s="10" t="s">
        <v>23</v>
      </c>
      <c r="K13" s="37" t="str">
        <f t="shared" si="1"/>
        <v>CAPA VERIFICATION SHOULD BE SCHEDULED</v>
      </c>
      <c r="L13" s="38">
        <v>45231</v>
      </c>
      <c r="M13" s="45" t="s">
        <v>139</v>
      </c>
      <c r="N13" s="42" t="s">
        <v>313</v>
      </c>
      <c r="O13" s="41" t="str">
        <f>IF(M13="","",HYPERLINK(M13,B13))</f>
        <v>ALANTRA PHARMACY</v>
      </c>
    </row>
    <row r="14" spans="1:15" ht="48" customHeight="1">
      <c r="A14" s="3">
        <v>12</v>
      </c>
      <c r="B14" s="7" t="s">
        <v>314</v>
      </c>
      <c r="C14" s="10" t="s">
        <v>315</v>
      </c>
      <c r="D14" s="5" t="s">
        <v>316</v>
      </c>
      <c r="E14" s="6" t="s">
        <v>19</v>
      </c>
      <c r="F14" s="19" t="s">
        <v>317</v>
      </c>
      <c r="G14" s="10" t="s">
        <v>35</v>
      </c>
      <c r="H14" s="20">
        <v>45314</v>
      </c>
      <c r="I14" s="4" t="s">
        <v>22</v>
      </c>
      <c r="J14" s="10" t="s">
        <v>23</v>
      </c>
      <c r="K14" s="37" t="str">
        <f t="shared" si="1"/>
        <v>CAPA VERIFICATION SHOULD BE SCHEDULED</v>
      </c>
      <c r="L14" s="38">
        <v>45352</v>
      </c>
      <c r="M14" s="39" t="s">
        <v>318</v>
      </c>
      <c r="N14" s="42" t="s">
        <v>319</v>
      </c>
      <c r="O14" s="41" t="str">
        <f>IF(M14="","",HYPERLINK(M14,B14))</f>
        <v>CHEV PHARMACEUTICALS</v>
      </c>
    </row>
    <row r="15" spans="1:15" ht="26.25" customHeight="1">
      <c r="A15" s="3">
        <v>74</v>
      </c>
      <c r="B15" s="7" t="s">
        <v>314</v>
      </c>
      <c r="C15" s="10" t="s">
        <v>315</v>
      </c>
      <c r="D15" s="5" t="s">
        <v>316</v>
      </c>
      <c r="E15" s="6" t="s">
        <v>19</v>
      </c>
      <c r="F15" s="19" t="s">
        <v>317</v>
      </c>
      <c r="G15" s="10" t="s">
        <v>35</v>
      </c>
      <c r="H15" s="18"/>
      <c r="I15" s="4" t="s">
        <v>22</v>
      </c>
      <c r="J15" s="10" t="s">
        <v>43</v>
      </c>
      <c r="K15" s="37" t="str">
        <f t="shared" si="1"/>
        <v>CAPA VERIFICATION SHOULD BE SCHEDULED</v>
      </c>
      <c r="L15" s="38">
        <v>45444</v>
      </c>
      <c r="M15" s="39" t="s">
        <v>318</v>
      </c>
      <c r="N15" s="40" t="s">
        <v>319</v>
      </c>
      <c r="O15" s="41" t="str">
        <f>IF(M15="","",HYPERLINK(M15,B15))</f>
        <v>CHEV PHARMACEUTICALS</v>
      </c>
    </row>
  </sheetData>
  <mergeCells count="1">
    <mergeCell ref="A1:N1"/>
  </mergeCells>
  <conditionalFormatting sqref="I3:I14">
    <cfRule type="containsText" dxfId="74" priority="3" operator="containsText" text="NO">
      <formula>NOT(ISERROR(SEARCH("NO",I3)))</formula>
    </cfRule>
    <cfRule type="containsText" dxfId="73" priority="4" operator="containsText" text="YES">
      <formula>NOT(ISERROR(SEARCH("YES",I3)))</formula>
    </cfRule>
  </conditionalFormatting>
  <conditionalFormatting sqref="I15">
    <cfRule type="containsText" dxfId="72" priority="1" operator="containsText" text="NO">
      <formula>NOT(ISERROR(SEARCH("NO",I15)))</formula>
    </cfRule>
    <cfRule type="containsText" dxfId="71" priority="2" operator="containsText" text="YES">
      <formula>NOT(ISERROR(SEARCH("YES",I15)))</formula>
    </cfRule>
  </conditionalFormatting>
  <dataValidations count="1">
    <dataValidation type="list" allowBlank="1" showInputMessage="1" showErrorMessage="1" sqref="I3:I15" xr:uid="{595E865A-17B4-4A65-98EE-59F7F06FE691}">
      <formula1>"YES,NO,N/A"</formula1>
    </dataValidation>
  </dataValidations>
  <hyperlinks>
    <hyperlink ref="M13" r:id="rId1" xr:uid="{BE4489AA-4044-4FBE-B181-532B27908E41}"/>
    <hyperlink ref="N3" r:id="rId2" display="https://nafdacng.sharepoint.com/sites/PMSLAGOS/Shared Documents/GDP (GOOD DISTRIBUTION PRATICE)/GSDP COMPANY FILES\GODS FOUNDATION" xr:uid="{7EACD6D1-D68F-4A2A-AFD7-42362F593C1B}"/>
    <hyperlink ref="N4" r:id="rId3" display="https://nafdacng.sharepoint.com/sites/PMSLAGOS/Shared Documents/GDP (GOOD DISTRIBUTION PRATICE)/GSDP COMPANY FILES\E.U EMMASON" xr:uid="{EB3554BB-13A6-4390-A9C8-DB6DA56B5CB9}"/>
    <hyperlink ref="N5" r:id="rId4" display="https://nafdacng.sharepoint.com/sites/PMSLAGOS/Shared Documents/GDP (GOOD DISTRIBUTION PRATICE)/GSDP COMPANY FILES\ANYI WEST PHARMACY" xr:uid="{E974DC30-8ED7-4043-A33E-28BADC610A2F}"/>
    <hyperlink ref="N6" r:id="rId5" display="https://nafdacng.sharepoint.com/sites/PMSLAGOS/Shared Documents/GDP (GOOD DISTRIBUTION PRATICE)/GSDP COMPANY FILES\KRANTZ PHARMACY" xr:uid="{24A9384B-6941-4F96-9EE7-CC3E020FB607}"/>
    <hyperlink ref="N7" r:id="rId6" display="https://nafdacng.sharepoint.com/sites/PMSLAGOS/Shared Documents/GDP (GOOD DISTRIBUTION PRATICE)/GSDP COMPANY FILES\ALGANDA PHARMACEUTICALS" xr:uid="{20A71CD1-CF20-4F33-8590-122E01F38F62}"/>
    <hyperlink ref="N8" r:id="rId7" display="https://nafdacng.sharepoint.com/sites/PMSLAGOS/Shared Documents/GDP (GOOD DISTRIBUTION PRATICE)/GSDP COMPANY FILES\CIKASON PHARMACY" xr:uid="{C00B67AE-4B24-4042-AF17-268B66BC5C95}"/>
    <hyperlink ref="N9" r:id="rId8" display="https://nafdacng.sharepoint.com/sites/PMSLAGOS/Shared Documents/GDP (GOOD DISTRIBUTION PRATICE)/GSDP COMPANY FILES\MARY IYKE PHARMACY" xr:uid="{D22E85B7-BE63-4390-BD68-2590F74C548A}"/>
    <hyperlink ref="N10" r:id="rId9" display="https://nafdacng.sharepoint.com/sites/PMSLAGOS/Shared Documents/GDP (GOOD DISTRIBUTION PRATICE)/GSDP COMPANY FILES\DRUG STOC EHUB" xr:uid="{FF35ECCA-FE74-4988-9D15-49B0E9165568}"/>
    <hyperlink ref="N11" r:id="rId10" display="https://nafdacng.sharepoint.com/sites/PMSLAGOS/Shared Documents/GDP (GOOD DISTRIBUTION PRATICE)/GSDP COMPANY FILES\MAC EVENTUS PHARM LTD" xr:uid="{48E3659D-A8B8-41B3-B156-027916781E75}"/>
    <hyperlink ref="N12" r:id="rId11" display="https://nafdacng.sharepoint.com/sites/PMSLAGOS/Shared Documents/GDP (GOOD DISTRIBUTION PRATICE)/GSDP COMPANY FILES\SAMNTO PHARM" xr:uid="{EAB99F77-795D-4030-A43C-D246CEEE7312}"/>
    <hyperlink ref="N13" r:id="rId12" xr:uid="{DBD86E3D-9512-471A-992B-13A0E9E130CF}"/>
    <hyperlink ref="N14" r:id="rId13" display="https://nafdacng.sharepoint.com/sites/PMSLAGOS/Shared Documents/GDP (GOOD DISTRIBUTION PRATICE)/GSDP COMPANY FILES\CHEV PHARMACEUTICALS LTD" xr:uid="{498804FA-BB4D-4A6B-BFDE-50F94D335BDB}"/>
    <hyperlink ref="N15" r:id="rId14" display="https://nafdacng.sharepoint.com/sites/PMSLAGOS/Shared Documents/GDP (GOOD DISTRIBUTION PRATICE)/GSDP COMPANY FILES\CHEV PHARMACEUTICALS LTD" xr:uid="{F9EDCB72-6BA0-4671-B4D9-E04E19B943CE}"/>
  </hyperlinks>
  <pageMargins left="0.7" right="0.7" top="0.75" bottom="0.75" header="0.3" footer="0.3"/>
  <tableParts count="1">
    <tablePart r:id="rId1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48CDB-62C1-4A75-B6CB-8901663EB360}">
  <dimension ref="A1:O24"/>
  <sheetViews>
    <sheetView workbookViewId="0">
      <selection activeCell="M1" sqref="M1:M1048576"/>
    </sheetView>
  </sheetViews>
  <sheetFormatPr defaultRowHeight="15"/>
  <cols>
    <col min="2" max="2" width="36.140625" bestFit="1" customWidth="1"/>
    <col min="3" max="3" width="21.85546875" bestFit="1" customWidth="1"/>
    <col min="4" max="4" width="13" bestFit="1" customWidth="1"/>
    <col min="5" max="5" width="27.140625" bestFit="1" customWidth="1"/>
    <col min="6" max="6" width="27.42578125" bestFit="1" customWidth="1"/>
    <col min="7" max="7" width="13.57031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32.7109375" bestFit="1" customWidth="1"/>
    <col min="13" max="13" width="147.140625" hidden="1" customWidth="1"/>
    <col min="14" max="14" width="11.5703125" bestFit="1" customWidth="1"/>
    <col min="15" max="15" width="32.85546875" bestFit="1" customWidth="1"/>
  </cols>
  <sheetData>
    <row r="1" spans="1:1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618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619</v>
      </c>
    </row>
    <row r="3" spans="1:15" ht="29.25" customHeight="1">
      <c r="A3" s="3">
        <v>55</v>
      </c>
      <c r="B3" s="7" t="s">
        <v>320</v>
      </c>
      <c r="C3" s="10" t="s">
        <v>321</v>
      </c>
      <c r="D3" s="5" t="s">
        <v>322</v>
      </c>
      <c r="E3" s="6" t="s">
        <v>19</v>
      </c>
      <c r="F3" s="21">
        <v>44963</v>
      </c>
      <c r="G3" s="7" t="s">
        <v>249</v>
      </c>
      <c r="H3" s="21" t="s">
        <v>323</v>
      </c>
      <c r="I3" s="4" t="s">
        <v>42</v>
      </c>
      <c r="J3" s="10" t="s">
        <v>43</v>
      </c>
      <c r="K3" s="37" t="str">
        <f t="shared" ref="K3:K21" si="0">IF(I3="YES","CAPA VERIFICATION SHOULD BE SCHEDULED",IF(I3="NO","REMINDER LETTER SHOULD BE SENT",""))</f>
        <v>REMINDER LETTER SHOULD BE SENT</v>
      </c>
      <c r="L3" s="38">
        <v>45261</v>
      </c>
      <c r="M3" s="39" t="s">
        <v>324</v>
      </c>
      <c r="N3" s="40" t="s">
        <v>325</v>
      </c>
      <c r="O3" s="41" t="str">
        <f>IF(M3="","",HYPERLINK(M3,B3))</f>
        <v>REMSON INVESTMENT LTD</v>
      </c>
    </row>
    <row r="4" spans="1:15" ht="29.25" customHeight="1">
      <c r="A4" s="3">
        <v>56</v>
      </c>
      <c r="B4" s="10" t="s">
        <v>326</v>
      </c>
      <c r="C4" s="10" t="s">
        <v>327</v>
      </c>
      <c r="D4" s="5" t="s">
        <v>328</v>
      </c>
      <c r="E4" s="6" t="s">
        <v>19</v>
      </c>
      <c r="F4" s="21">
        <v>45052</v>
      </c>
      <c r="G4" s="7" t="s">
        <v>249</v>
      </c>
      <c r="H4" s="21" t="s">
        <v>329</v>
      </c>
      <c r="I4" s="4" t="s">
        <v>42</v>
      </c>
      <c r="J4" s="10" t="s">
        <v>43</v>
      </c>
      <c r="K4" s="37" t="str">
        <f t="shared" si="0"/>
        <v>REMINDER LETTER SHOULD BE SENT</v>
      </c>
      <c r="L4" s="38">
        <v>45261</v>
      </c>
      <c r="M4" s="39" t="s">
        <v>330</v>
      </c>
      <c r="N4" s="40" t="s">
        <v>331</v>
      </c>
      <c r="O4" s="41" t="str">
        <f>IF(M4="","",HYPERLINK(M4,B4))</f>
        <v>CITY OF GLORY PHARMACEUTICALS</v>
      </c>
    </row>
    <row r="5" spans="1:15" ht="29.25" customHeight="1">
      <c r="A5" s="3">
        <v>57</v>
      </c>
      <c r="B5" s="7" t="s">
        <v>332</v>
      </c>
      <c r="C5" s="10" t="s">
        <v>333</v>
      </c>
      <c r="D5" s="5" t="s">
        <v>334</v>
      </c>
      <c r="E5" s="6" t="s">
        <v>19</v>
      </c>
      <c r="F5" s="21">
        <v>45144</v>
      </c>
      <c r="G5" s="10" t="s">
        <v>35</v>
      </c>
      <c r="H5" s="18"/>
      <c r="I5" s="4" t="s">
        <v>22</v>
      </c>
      <c r="J5" s="10" t="s">
        <v>23</v>
      </c>
      <c r="K5" s="37" t="str">
        <f t="shared" si="0"/>
        <v>CAPA VERIFICATION SHOULD BE SCHEDULED</v>
      </c>
      <c r="L5" s="38">
        <v>45444</v>
      </c>
      <c r="M5" s="39" t="s">
        <v>335</v>
      </c>
      <c r="N5" s="42" t="s">
        <v>336</v>
      </c>
      <c r="O5" s="41" t="str">
        <f>IF(M5="","",HYPERLINK(M5,B5))</f>
        <v>CHRIS NELB PHARM. LTD.</v>
      </c>
    </row>
    <row r="6" spans="1:15" ht="29.25" customHeight="1">
      <c r="A6" s="3">
        <v>58</v>
      </c>
      <c r="B6" s="7" t="s">
        <v>337</v>
      </c>
      <c r="C6" s="10" t="s">
        <v>338</v>
      </c>
      <c r="D6" s="5" t="s">
        <v>339</v>
      </c>
      <c r="E6" s="6" t="s">
        <v>19</v>
      </c>
      <c r="F6" s="21">
        <v>44932</v>
      </c>
      <c r="G6" s="10" t="s">
        <v>35</v>
      </c>
      <c r="H6" s="18" t="s">
        <v>340</v>
      </c>
      <c r="I6" s="4" t="s">
        <v>42</v>
      </c>
      <c r="J6" s="10" t="s">
        <v>43</v>
      </c>
      <c r="K6" s="37" t="str">
        <f t="shared" si="0"/>
        <v>REMINDER LETTER SHOULD BE SENT</v>
      </c>
      <c r="L6" s="38">
        <v>45444</v>
      </c>
      <c r="M6" s="39" t="s">
        <v>341</v>
      </c>
      <c r="N6" s="42" t="s">
        <v>342</v>
      </c>
      <c r="O6" s="41" t="str">
        <f>IF(M6="","",HYPERLINK(M6,B6))</f>
        <v>SURPLUS PHARMACY LTD.</v>
      </c>
    </row>
    <row r="7" spans="1:15" ht="29.25" customHeight="1">
      <c r="A7" s="3">
        <v>59</v>
      </c>
      <c r="B7" s="7" t="s">
        <v>343</v>
      </c>
      <c r="C7" s="10" t="s">
        <v>344</v>
      </c>
      <c r="D7" s="5" t="s">
        <v>345</v>
      </c>
      <c r="E7" s="6" t="s">
        <v>19</v>
      </c>
      <c r="F7" s="21">
        <v>45052</v>
      </c>
      <c r="G7" s="10" t="s">
        <v>35</v>
      </c>
      <c r="H7" s="18"/>
      <c r="I7" s="4"/>
      <c r="J7" s="10" t="s">
        <v>43</v>
      </c>
      <c r="K7" s="37" t="str">
        <f t="shared" si="0"/>
        <v/>
      </c>
      <c r="L7" s="38">
        <v>45444</v>
      </c>
      <c r="M7" s="39" t="s">
        <v>346</v>
      </c>
      <c r="N7" s="49"/>
      <c r="O7" s="41" t="str">
        <f>IF(M7="","",HYPERLINK(M7,B7))</f>
        <v>JOHN VIKEE PHARM.</v>
      </c>
    </row>
    <row r="8" spans="1:15" ht="29.25" customHeight="1">
      <c r="A8" s="3">
        <v>60</v>
      </c>
      <c r="B8" s="7" t="s">
        <v>347</v>
      </c>
      <c r="C8" s="10" t="s">
        <v>348</v>
      </c>
      <c r="D8" s="5" t="s">
        <v>349</v>
      </c>
      <c r="E8" s="6" t="s">
        <v>19</v>
      </c>
      <c r="F8" s="21">
        <v>45052</v>
      </c>
      <c r="G8" s="10" t="s">
        <v>35</v>
      </c>
      <c r="H8" s="18" t="s">
        <v>340</v>
      </c>
      <c r="I8" s="4" t="s">
        <v>42</v>
      </c>
      <c r="J8" s="10" t="s">
        <v>43</v>
      </c>
      <c r="K8" s="37" t="str">
        <f t="shared" si="0"/>
        <v>REMINDER LETTER SHOULD BE SENT</v>
      </c>
      <c r="L8" s="38">
        <v>45444</v>
      </c>
      <c r="M8" s="39" t="s">
        <v>350</v>
      </c>
      <c r="N8" s="42" t="s">
        <v>351</v>
      </c>
      <c r="O8" s="41" t="str">
        <f>IF(M8="","",HYPERLINK(M8,B8))</f>
        <v>DOMINO PHARMACY LTD.</v>
      </c>
    </row>
    <row r="9" spans="1:15" ht="29.25" customHeight="1">
      <c r="A9" s="3">
        <v>61</v>
      </c>
      <c r="B9" s="7" t="s">
        <v>352</v>
      </c>
      <c r="C9" s="10" t="s">
        <v>353</v>
      </c>
      <c r="D9" s="5" t="s">
        <v>354</v>
      </c>
      <c r="E9" s="6" t="s">
        <v>19</v>
      </c>
      <c r="F9" s="21">
        <v>45144</v>
      </c>
      <c r="G9" s="10" t="s">
        <v>355</v>
      </c>
      <c r="H9" s="18" t="s">
        <v>340</v>
      </c>
      <c r="I9" s="4" t="s">
        <v>42</v>
      </c>
      <c r="J9" s="10" t="s">
        <v>43</v>
      </c>
      <c r="K9" s="37" t="str">
        <f t="shared" si="0"/>
        <v>REMINDER LETTER SHOULD BE SENT</v>
      </c>
      <c r="L9" s="38">
        <v>45444</v>
      </c>
      <c r="M9" s="39" t="s">
        <v>356</v>
      </c>
      <c r="N9" s="42" t="s">
        <v>357</v>
      </c>
      <c r="O9" s="41" t="str">
        <f>IF(M9="","",HYPERLINK(M9,B9))</f>
        <v>HOLEX PHARMACEUTCAL LTD.</v>
      </c>
    </row>
    <row r="10" spans="1:15" ht="29.25" customHeight="1">
      <c r="A10" s="3">
        <v>62</v>
      </c>
      <c r="B10" s="7" t="s">
        <v>358</v>
      </c>
      <c r="C10" s="10" t="s">
        <v>359</v>
      </c>
      <c r="D10" s="5" t="s">
        <v>360</v>
      </c>
      <c r="E10" s="6" t="s">
        <v>19</v>
      </c>
      <c r="F10" s="21">
        <v>45052</v>
      </c>
      <c r="G10" s="10" t="s">
        <v>35</v>
      </c>
      <c r="H10" s="18" t="s">
        <v>340</v>
      </c>
      <c r="I10" s="4" t="s">
        <v>42</v>
      </c>
      <c r="J10" s="10" t="s">
        <v>43</v>
      </c>
      <c r="K10" s="37" t="str">
        <f t="shared" si="0"/>
        <v>REMINDER LETTER SHOULD BE SENT</v>
      </c>
      <c r="L10" s="38">
        <v>45444</v>
      </c>
      <c r="M10" s="39" t="s">
        <v>361</v>
      </c>
      <c r="N10" s="42" t="s">
        <v>362</v>
      </c>
      <c r="O10" s="41" t="str">
        <f>IF(M10="","",HYPERLINK(M10,B10))</f>
        <v>WINDON PHARMACY</v>
      </c>
    </row>
    <row r="11" spans="1:15" ht="29.25" customHeight="1">
      <c r="A11" s="3">
        <v>63</v>
      </c>
      <c r="B11" s="7" t="s">
        <v>363</v>
      </c>
      <c r="C11" s="10" t="s">
        <v>364</v>
      </c>
      <c r="D11" s="5" t="s">
        <v>365</v>
      </c>
      <c r="E11" s="6" t="s">
        <v>19</v>
      </c>
      <c r="F11" s="21">
        <v>44963</v>
      </c>
      <c r="G11" s="7" t="s">
        <v>249</v>
      </c>
      <c r="H11" s="21" t="s">
        <v>329</v>
      </c>
      <c r="I11" s="4" t="s">
        <v>42</v>
      </c>
      <c r="J11" s="10" t="s">
        <v>43</v>
      </c>
      <c r="K11" s="37" t="str">
        <f t="shared" si="0"/>
        <v>REMINDER LETTER SHOULD BE SENT</v>
      </c>
      <c r="L11" s="38">
        <v>45261</v>
      </c>
      <c r="M11" s="39" t="s">
        <v>366</v>
      </c>
      <c r="N11" s="42" t="s">
        <v>367</v>
      </c>
      <c r="O11" s="41" t="str">
        <f>IF(M11="","",HYPERLINK(M11,B11))</f>
        <v xml:space="preserve">JOSFEKMART PHARMACY </v>
      </c>
    </row>
    <row r="12" spans="1:15" ht="29.25" customHeight="1">
      <c r="A12" s="3">
        <v>64</v>
      </c>
      <c r="B12" s="7" t="s">
        <v>368</v>
      </c>
      <c r="C12" s="10" t="s">
        <v>369</v>
      </c>
      <c r="D12" s="5" t="s">
        <v>370</v>
      </c>
      <c r="E12" s="6" t="s">
        <v>19</v>
      </c>
      <c r="F12" s="21">
        <v>45175</v>
      </c>
      <c r="G12" s="10" t="s">
        <v>371</v>
      </c>
      <c r="H12" s="18" t="s">
        <v>340</v>
      </c>
      <c r="I12" s="4" t="s">
        <v>22</v>
      </c>
      <c r="J12" s="10" t="s">
        <v>43</v>
      </c>
      <c r="K12" s="37" t="str">
        <f t="shared" si="0"/>
        <v>CAPA VERIFICATION SHOULD BE SCHEDULED</v>
      </c>
      <c r="L12" s="38">
        <v>45444</v>
      </c>
      <c r="M12" s="39" t="s">
        <v>372</v>
      </c>
      <c r="N12" s="42" t="s">
        <v>373</v>
      </c>
      <c r="O12" s="41" t="str">
        <f>IF(M12="","",HYPERLINK(M12,B12))</f>
        <v>LINCO STAR PHARMACEUTICALS</v>
      </c>
    </row>
    <row r="13" spans="1:15" ht="29.25" customHeight="1">
      <c r="A13" s="3">
        <v>65</v>
      </c>
      <c r="B13" s="7" t="s">
        <v>374</v>
      </c>
      <c r="C13" s="10" t="s">
        <v>375</v>
      </c>
      <c r="D13" s="5" t="s">
        <v>376</v>
      </c>
      <c r="E13" s="6" t="s">
        <v>19</v>
      </c>
      <c r="F13" s="21">
        <v>45052</v>
      </c>
      <c r="G13" s="7" t="s">
        <v>249</v>
      </c>
      <c r="H13" s="21" t="s">
        <v>329</v>
      </c>
      <c r="I13" s="4" t="s">
        <v>42</v>
      </c>
      <c r="J13" s="10" t="s">
        <v>43</v>
      </c>
      <c r="K13" s="37" t="str">
        <f t="shared" si="0"/>
        <v>REMINDER LETTER SHOULD BE SENT</v>
      </c>
      <c r="L13" s="38">
        <v>45261</v>
      </c>
      <c r="M13" s="39" t="s">
        <v>377</v>
      </c>
      <c r="N13" s="42" t="s">
        <v>378</v>
      </c>
      <c r="O13" s="41" t="str">
        <f>IF(M13="","",HYPERLINK(M13,B13))</f>
        <v>E. EGBESON CHEM. PHARM.</v>
      </c>
    </row>
    <row r="14" spans="1:15" ht="29.25" customHeight="1">
      <c r="A14" s="3">
        <v>66</v>
      </c>
      <c r="B14" s="7" t="s">
        <v>379</v>
      </c>
      <c r="C14" s="10" t="s">
        <v>380</v>
      </c>
      <c r="D14" s="5" t="s">
        <v>381</v>
      </c>
      <c r="E14" s="6" t="s">
        <v>19</v>
      </c>
      <c r="F14" s="21">
        <v>45052</v>
      </c>
      <c r="G14" s="7" t="s">
        <v>249</v>
      </c>
      <c r="H14" s="21" t="s">
        <v>329</v>
      </c>
      <c r="I14" s="4" t="s">
        <v>42</v>
      </c>
      <c r="J14" s="10" t="s">
        <v>43</v>
      </c>
      <c r="K14" s="37" t="str">
        <f t="shared" si="0"/>
        <v>REMINDER LETTER SHOULD BE SENT</v>
      </c>
      <c r="L14" s="38">
        <v>45261</v>
      </c>
      <c r="M14" s="39" t="s">
        <v>382</v>
      </c>
      <c r="N14" s="42" t="s">
        <v>383</v>
      </c>
      <c r="O14" s="41" t="str">
        <f>IF(M14="","",HYPERLINK(M14,B14))</f>
        <v>DE GOOD GOD PHARMACY</v>
      </c>
    </row>
    <row r="15" spans="1:15" ht="29.25" customHeight="1">
      <c r="A15" s="3">
        <v>67</v>
      </c>
      <c r="B15" s="7" t="s">
        <v>384</v>
      </c>
      <c r="C15" s="10" t="s">
        <v>385</v>
      </c>
      <c r="D15" s="5" t="s">
        <v>386</v>
      </c>
      <c r="E15" s="6" t="s">
        <v>19</v>
      </c>
      <c r="F15" s="21">
        <v>45113</v>
      </c>
      <c r="G15" s="7" t="s">
        <v>249</v>
      </c>
      <c r="H15" s="21" t="s">
        <v>329</v>
      </c>
      <c r="I15" s="4" t="s">
        <v>42</v>
      </c>
      <c r="J15" s="10" t="s">
        <v>43</v>
      </c>
      <c r="K15" s="37" t="str">
        <f t="shared" si="0"/>
        <v>REMINDER LETTER SHOULD BE SENT</v>
      </c>
      <c r="L15" s="38">
        <v>45261</v>
      </c>
      <c r="M15" s="39" t="s">
        <v>387</v>
      </c>
      <c r="N15" s="42" t="s">
        <v>388</v>
      </c>
      <c r="O15" s="41" t="str">
        <f>IF(M15="","",HYPERLINK(M15,B15))</f>
        <v>ALKATRICE PHARMACEUTICALS</v>
      </c>
    </row>
    <row r="16" spans="1:15" ht="29.25" customHeight="1">
      <c r="A16" s="3">
        <v>68</v>
      </c>
      <c r="B16" s="7" t="s">
        <v>389</v>
      </c>
      <c r="C16" s="10" t="s">
        <v>390</v>
      </c>
      <c r="D16" s="5" t="s">
        <v>391</v>
      </c>
      <c r="E16" s="6" t="s">
        <v>19</v>
      </c>
      <c r="F16" s="21">
        <v>45113</v>
      </c>
      <c r="G16" s="10" t="s">
        <v>249</v>
      </c>
      <c r="H16" s="21" t="s">
        <v>329</v>
      </c>
      <c r="I16" s="4" t="s">
        <v>42</v>
      </c>
      <c r="J16" s="10" t="s">
        <v>43</v>
      </c>
      <c r="K16" s="37" t="str">
        <f t="shared" si="0"/>
        <v>REMINDER LETTER SHOULD BE SENT</v>
      </c>
      <c r="L16" s="38">
        <v>45261</v>
      </c>
      <c r="M16" s="39" t="s">
        <v>392</v>
      </c>
      <c r="N16" s="42" t="s">
        <v>393</v>
      </c>
      <c r="O16" s="41" t="str">
        <f>IF(M16="","",HYPERLINK(M16,B16))</f>
        <v>LIVE MORE PHARMACY</v>
      </c>
    </row>
    <row r="17" spans="1:15" ht="29.25" customHeight="1">
      <c r="A17" s="3">
        <v>69</v>
      </c>
      <c r="B17" s="7" t="s">
        <v>394</v>
      </c>
      <c r="C17" s="10" t="s">
        <v>395</v>
      </c>
      <c r="D17" s="5" t="s">
        <v>396</v>
      </c>
      <c r="E17" s="6" t="s">
        <v>19</v>
      </c>
      <c r="F17" s="21">
        <v>45175</v>
      </c>
      <c r="G17" s="7" t="s">
        <v>249</v>
      </c>
      <c r="H17" s="21" t="s">
        <v>397</v>
      </c>
      <c r="I17" s="4" t="s">
        <v>42</v>
      </c>
      <c r="J17" s="10" t="s">
        <v>43</v>
      </c>
      <c r="K17" s="37" t="str">
        <f t="shared" si="0"/>
        <v>REMINDER LETTER SHOULD BE SENT</v>
      </c>
      <c r="L17" s="38">
        <v>45261</v>
      </c>
      <c r="M17" s="39" t="s">
        <v>398</v>
      </c>
      <c r="N17" s="42" t="s">
        <v>399</v>
      </c>
      <c r="O17" s="41" t="str">
        <f>IF(M17="","",HYPERLINK(M17,B17))</f>
        <v>UZOKENN PHARMACY</v>
      </c>
    </row>
    <row r="18" spans="1:15" ht="29.25" customHeight="1">
      <c r="A18" s="3">
        <v>70</v>
      </c>
      <c r="B18" s="7" t="s">
        <v>400</v>
      </c>
      <c r="C18" s="10" t="s">
        <v>401</v>
      </c>
      <c r="D18" s="5" t="s">
        <v>402</v>
      </c>
      <c r="E18" s="6" t="s">
        <v>19</v>
      </c>
      <c r="F18" s="19" t="s">
        <v>403</v>
      </c>
      <c r="G18" s="7" t="s">
        <v>249</v>
      </c>
      <c r="H18" s="21" t="s">
        <v>397</v>
      </c>
      <c r="I18" s="4" t="s">
        <v>42</v>
      </c>
      <c r="J18" s="10" t="s">
        <v>43</v>
      </c>
      <c r="K18" s="37" t="str">
        <f t="shared" si="0"/>
        <v>REMINDER LETTER SHOULD BE SENT</v>
      </c>
      <c r="L18" s="38">
        <v>45261</v>
      </c>
      <c r="M18" s="39" t="s">
        <v>404</v>
      </c>
      <c r="N18" s="42" t="s">
        <v>405</v>
      </c>
      <c r="O18" s="41" t="str">
        <f>IF(M18="","",HYPERLINK(M18,B18))</f>
        <v>EVITA MOORE NIG. LTD.</v>
      </c>
    </row>
    <row r="19" spans="1:15" ht="29.25" customHeight="1">
      <c r="A19" s="3">
        <v>71</v>
      </c>
      <c r="B19" s="7" t="s">
        <v>406</v>
      </c>
      <c r="C19" s="10" t="s">
        <v>407</v>
      </c>
      <c r="D19" s="5" t="s">
        <v>408</v>
      </c>
      <c r="E19" s="6" t="s">
        <v>19</v>
      </c>
      <c r="F19" s="21">
        <v>45083</v>
      </c>
      <c r="G19" s="7" t="s">
        <v>20</v>
      </c>
      <c r="H19" s="19" t="s">
        <v>409</v>
      </c>
      <c r="I19" s="4" t="s">
        <v>42</v>
      </c>
      <c r="J19" s="10" t="s">
        <v>43</v>
      </c>
      <c r="K19" s="37" t="str">
        <f t="shared" si="0"/>
        <v>REMINDER LETTER SHOULD BE SENT</v>
      </c>
      <c r="L19" s="38">
        <v>45261</v>
      </c>
      <c r="M19" s="39" t="s">
        <v>410</v>
      </c>
      <c r="N19" s="42" t="s">
        <v>411</v>
      </c>
      <c r="O19" s="41" t="str">
        <f>IF(M19="","",HYPERLINK(M19,B19))</f>
        <v>GLACK PHARMACEUTICALS LTD.</v>
      </c>
    </row>
    <row r="20" spans="1:15" ht="29.25" customHeight="1">
      <c r="A20" s="3">
        <v>72</v>
      </c>
      <c r="B20" s="7" t="s">
        <v>412</v>
      </c>
      <c r="C20" s="10" t="s">
        <v>413</v>
      </c>
      <c r="D20" s="5" t="s">
        <v>414</v>
      </c>
      <c r="E20" s="6" t="s">
        <v>19</v>
      </c>
      <c r="F20" s="19" t="s">
        <v>415</v>
      </c>
      <c r="G20" s="10" t="s">
        <v>416</v>
      </c>
      <c r="H20" s="18" t="s">
        <v>72</v>
      </c>
      <c r="I20" s="4" t="s">
        <v>72</v>
      </c>
      <c r="J20" s="10" t="s">
        <v>23</v>
      </c>
      <c r="K20" s="37" t="s">
        <v>417</v>
      </c>
      <c r="L20" s="38">
        <v>45444</v>
      </c>
      <c r="M20" s="39" t="s">
        <v>418</v>
      </c>
      <c r="N20" s="42" t="s">
        <v>419</v>
      </c>
      <c r="O20" s="41" t="str">
        <f>IF(M20="","",HYPERLINK(M20,B20))</f>
        <v>DRUG FIELD PHARMACEUTICALS</v>
      </c>
    </row>
    <row r="21" spans="1:15" ht="29.25" customHeight="1">
      <c r="A21" s="3">
        <v>73</v>
      </c>
      <c r="B21" s="7" t="s">
        <v>420</v>
      </c>
      <c r="C21" s="10" t="s">
        <v>421</v>
      </c>
      <c r="D21" s="5" t="s">
        <v>422</v>
      </c>
      <c r="E21" s="6" t="s">
        <v>19</v>
      </c>
      <c r="F21" s="19" t="s">
        <v>415</v>
      </c>
      <c r="G21" s="10" t="s">
        <v>166</v>
      </c>
      <c r="H21" s="20">
        <v>45160</v>
      </c>
      <c r="I21" s="4" t="s">
        <v>42</v>
      </c>
      <c r="J21" s="10" t="s">
        <v>43</v>
      </c>
      <c r="K21" s="37" t="str">
        <f t="shared" ref="K21:K24" si="1">IF(I21="YES","CAPA VERIFICATION SHOULD BE SCHEDULED",IF(I21="NO","REMINDER LETTER SHOULD BE SENT",""))</f>
        <v>REMINDER LETTER SHOULD BE SENT</v>
      </c>
      <c r="L21" s="38">
        <v>45444</v>
      </c>
      <c r="M21" s="39" t="s">
        <v>423</v>
      </c>
      <c r="N21" s="42" t="s">
        <v>424</v>
      </c>
      <c r="O21" s="41" t="str">
        <f>IF(M21="","",HYPERLINK(M21,B21))</f>
        <v>DIVINE LIFT PHARMACEUTICALS</v>
      </c>
    </row>
    <row r="22" spans="1:15" ht="33" customHeight="1">
      <c r="A22" s="3">
        <v>75</v>
      </c>
      <c r="B22" s="10" t="s">
        <v>425</v>
      </c>
      <c r="C22" s="10" t="s">
        <v>426</v>
      </c>
      <c r="D22" s="5" t="s">
        <v>427</v>
      </c>
      <c r="E22" s="6" t="s">
        <v>19</v>
      </c>
      <c r="F22" s="21">
        <v>44932</v>
      </c>
      <c r="G22" s="10" t="s">
        <v>35</v>
      </c>
      <c r="H22" s="21" t="s">
        <v>329</v>
      </c>
      <c r="I22" s="4" t="s">
        <v>42</v>
      </c>
      <c r="J22" s="10" t="s">
        <v>43</v>
      </c>
      <c r="K22" s="37" t="str">
        <f t="shared" si="1"/>
        <v>REMINDER LETTER SHOULD BE SENT</v>
      </c>
      <c r="L22" s="38">
        <v>45444</v>
      </c>
      <c r="M22" s="56" t="s">
        <v>428</v>
      </c>
      <c r="N22" s="42" t="s">
        <v>429</v>
      </c>
      <c r="O22" s="9" t="str">
        <f>IF(M22="","",HYPERLINK(M22,B22))</f>
        <v>A.N. CHIDOZIE PHARMACEUTICALS</v>
      </c>
    </row>
    <row r="23" spans="1:15" ht="33" customHeight="1">
      <c r="A23" s="3">
        <v>76</v>
      </c>
      <c r="B23" s="10" t="s">
        <v>430</v>
      </c>
      <c r="C23" s="10" t="s">
        <v>431</v>
      </c>
      <c r="D23" s="5" t="s">
        <v>432</v>
      </c>
      <c r="E23" s="6" t="s">
        <v>19</v>
      </c>
      <c r="F23" s="21">
        <v>44932</v>
      </c>
      <c r="G23" s="10" t="s">
        <v>416</v>
      </c>
      <c r="H23" s="21" t="s">
        <v>329</v>
      </c>
      <c r="I23" s="4" t="s">
        <v>42</v>
      </c>
      <c r="J23" s="10" t="s">
        <v>43</v>
      </c>
      <c r="K23" s="1" t="str">
        <f t="shared" si="1"/>
        <v>REMINDER LETTER SHOULD BE SENT</v>
      </c>
      <c r="L23" s="8">
        <v>45444</v>
      </c>
      <c r="M23" t="s">
        <v>433</v>
      </c>
      <c r="N23" s="50" t="s">
        <v>434</v>
      </c>
      <c r="O23" s="9" t="str">
        <f>IF(M23="","",HYPERLINK(M23,B23))</f>
        <v xml:space="preserve">OBITEX DIVINE PHARMACEUTICALS
</v>
      </c>
    </row>
    <row r="24" spans="1:15" ht="33" customHeight="1">
      <c r="A24" s="57">
        <v>77</v>
      </c>
      <c r="B24" s="58" t="s">
        <v>435</v>
      </c>
      <c r="C24" s="58" t="s">
        <v>436</v>
      </c>
      <c r="D24" s="59" t="s">
        <v>437</v>
      </c>
      <c r="E24" s="60" t="s">
        <v>19</v>
      </c>
      <c r="F24" s="61">
        <v>45144</v>
      </c>
      <c r="G24" s="58" t="s">
        <v>416</v>
      </c>
      <c r="H24" s="62" t="s">
        <v>340</v>
      </c>
      <c r="I24" s="63" t="s">
        <v>42</v>
      </c>
      <c r="J24" s="58" t="s">
        <v>43</v>
      </c>
      <c r="K24" s="1" t="str">
        <f t="shared" si="1"/>
        <v>REMINDER LETTER SHOULD BE SENT</v>
      </c>
      <c r="L24" s="8">
        <v>45444</v>
      </c>
      <c r="M24" t="s">
        <v>438</v>
      </c>
      <c r="N24" s="50" t="s">
        <v>439</v>
      </c>
      <c r="O24" s="64" t="str">
        <f>IF(M24="","",HYPERLINK(M24,B24))</f>
        <v xml:space="preserve">DRUG AMBASSADOR PHARM LTD.
</v>
      </c>
    </row>
  </sheetData>
  <mergeCells count="1">
    <mergeCell ref="A1:N1"/>
  </mergeCells>
  <conditionalFormatting sqref="I3:I24">
    <cfRule type="containsText" dxfId="56" priority="3" operator="containsText" text="NO">
      <formula>NOT(ISERROR(SEARCH("NO",I3)))</formula>
    </cfRule>
    <cfRule type="containsText" dxfId="55" priority="4" operator="containsText" text="YES">
      <formula>NOT(ISERROR(SEARCH("YES",I3)))</formula>
    </cfRule>
  </conditionalFormatting>
  <conditionalFormatting sqref="I22:I24">
    <cfRule type="containsText" dxfId="54" priority="1" operator="containsText" text="NO">
      <formula>NOT(ISERROR(SEARCH("NO",I22)))</formula>
    </cfRule>
    <cfRule type="containsText" dxfId="53" priority="2" operator="containsText" text="YES">
      <formula>NOT(ISERROR(SEARCH("YES",I22)))</formula>
    </cfRule>
  </conditionalFormatting>
  <dataValidations count="1">
    <dataValidation type="list" allowBlank="1" showInputMessage="1" showErrorMessage="1" sqref="I3:I24" xr:uid="{7955F3EA-4766-4A9C-A589-9F603BD30BCD}">
      <formula1>"YES,NO,N/A"</formula1>
    </dataValidation>
  </dataValidations>
  <hyperlinks>
    <hyperlink ref="N3" r:id="rId1" display="https://nafdacng.sharepoint.com/sites/PMSLAGOS/Shared Documents/GDP (GOOD DISTRIBUTION PRATICE)/GSDP COMPANY FILES\REMSON" xr:uid="{E3F0712F-4CF0-4565-9D49-D95BE5874621}"/>
    <hyperlink ref="N4" r:id="rId2" display="https://nafdacng.sharepoint.com/sites/PMSLAGOS/Shared Documents/GDP (GOOD DISTRIBUTION PRATICE)/GSDP COMPANY FILES\CITY OF GLORY PHARM" xr:uid="{B9792ED1-690F-48C9-9784-4305E28646AC}"/>
    <hyperlink ref="N5" r:id="rId3" display="https://nafdacng.sharepoint.com/sites/PMSLAGOS/Shared Documents/GDP (GOOD DISTRIBUTION PRATICE)/GSDP COMPANY FILES\CHRIS NELB PHARMACY" xr:uid="{9F561F68-89C2-415B-9E64-3B483CEC6078}"/>
    <hyperlink ref="N6" r:id="rId4" display="https://nafdacng.sharepoint.com/sites/PMSLAGOS/Shared Documents/GDP (GOOD DISTRIBUTION PRATICE)/GSDP COMPANY FILES\SURPLUS PHARM" xr:uid="{FD353D00-2DF0-44B8-883B-8B0CAA88699B}"/>
    <hyperlink ref="N8" r:id="rId5" display="https://nafdacng.sharepoint.com/sites/PMSLAGOS/Shared Documents/GDP (GOOD DISTRIBUTION PRATICE)/GSDP COMPANY FILES\DOMINO PHARM" xr:uid="{461218A7-4FD1-4A69-9DCF-9ED1665E3963}"/>
    <hyperlink ref="N9" r:id="rId6" display="https://nafdacng.sharepoint.com/sites/PMSLAGOS/Shared Documents/GDP (GOOD DISTRIBUTION PRATICE)/GSDP COMPANY FILES\HOLEX PHARMACEUTICALS" xr:uid="{D30CBA3A-D188-41CC-8351-6D323CC0F405}"/>
    <hyperlink ref="N10" r:id="rId7" display="https://nafdacng.sharepoint.com/sites/PMSLAGOS/Shared Documents/GDP (GOOD DISTRIBUTION PRATICE)/GSDP COMPANY FILES\WINDOM PHARMACY" xr:uid="{E6BA393A-C2EA-47AA-A96B-537147FD8ABF}"/>
    <hyperlink ref="N11" r:id="rId8" display="https://nafdacng.sharepoint.com/sites/PMSLAGOS/Shared Documents/GDP (GOOD DISTRIBUTION PRATICE)/GSDP COMPANY FILES\JOSEFERKMART PHARMACY" xr:uid="{A47FAA7E-92D6-486E-92BB-00092F118D92}"/>
    <hyperlink ref="N12" r:id="rId9" display="https://nafdacng.sharepoint.com/sites/PMSLAGOS/Shared Documents/GDP (GOOD DISTRIBUTION PRATICE)/GSDP COMPANY FILES\LINCO STAR PHARM" xr:uid="{50ED6A2A-921A-41AC-8AB1-1C57EE593E78}"/>
    <hyperlink ref="N13" r:id="rId10" display="https://nafdacng.sharepoint.com/sites/PMSLAGOS/Shared Documents/GDP (GOOD DISTRIBUTION PRATICE)/GSDP COMPANY FILES\E. EGBESON CHEM PHARM" xr:uid="{D969A8AF-63C6-44B6-B6DB-2478F9313D6E}"/>
    <hyperlink ref="N14" r:id="rId11" display="https://nafdacng.sharepoint.com/sites/PMSLAGOS/Shared Documents/GDP (GOOD DISTRIBUTION PRATICE)/GSDP COMPANY FILES\DE GOOD GOD PHARM" xr:uid="{31A66088-B06A-494E-A2AD-A4A718F80416}"/>
    <hyperlink ref="N15" r:id="rId12" display="https://nafdacng.sharepoint.com/sites/PMSLAGOS/Shared Documents/GDP (GOOD DISTRIBUTION PRATICE)/GSDP COMPANY FILES\ALKATRICE PHARMACEUTICALS" xr:uid="{DFBB3751-7AC8-4521-8676-A0B2FC3052BB}"/>
    <hyperlink ref="N16" r:id="rId13" display="https://nafdacng.sharepoint.com/sites/PMSLAGOS/Shared Documents/GDP (GOOD DISTRIBUTION PRATICE)/GSDP COMPANY FILES\LIVE MORE PHARMACY" xr:uid="{CBAC7152-EF60-444C-B38C-4C950419D17D}"/>
    <hyperlink ref="N17" r:id="rId14" display="https://nafdacng.sharepoint.com/sites/PMSLAGOS/Shared Documents/GDP (GOOD DISTRIBUTION PRATICE)/GSDP COMPANY FILES\UZOKENN PHARMACY" xr:uid="{657966DE-BDA2-44DE-8161-D45EF6894ABE}"/>
    <hyperlink ref="N18" r:id="rId15" display="https://nafdacng.sharepoint.com/sites/PMSLAGOS/Shared Documents/GDP (GOOD DISTRIBUTION PRATICE)/GSDP COMPANY FILES\EVITA MOORE NIG LTD" xr:uid="{97C69FEE-D0BC-4056-8D1A-D8E72B2D9841}"/>
    <hyperlink ref="N19" r:id="rId16" display="https://nafdacng.sharepoint.com/sites/PMSLAGOS/Shared Documents/GDP (GOOD DISTRIBUTION PRATICE)/GSDP COMPANY FILES\GLACK PHARMECEUTICALS LTD" xr:uid="{714A683D-F9AE-4B61-AD81-BABEE35FAAD0}"/>
    <hyperlink ref="N20" r:id="rId17" display="https://nafdacng.sharepoint.com/sites/PMSLAGOS/Shared Documents/GDP (GOOD DISTRIBUTION PRATICE)/GSDP COMPANY FILES\DRUG FIELD" xr:uid="{8711718C-ABA2-48F1-9C1F-7432A21C4744}"/>
    <hyperlink ref="N21" r:id="rId18" display="https://nafdacng.sharepoint.com/sites/PMSLAGOS/Shared Documents/GDP (GOOD DISTRIBUTION PRATICE)/GSDP COMPANY FILES\DIVINE LIFT PHARMACY" xr:uid="{BC873D25-2EDD-4460-A2E3-74879CB05449}"/>
    <hyperlink ref="M22" r:id="rId19" xr:uid="{8FFB0C75-F01D-4999-8EF3-06DDB2E9C7EF}"/>
    <hyperlink ref="N22" r:id="rId20" display="https://nafdacng.sharepoint.com/sites/PMSLAGOS/Shared Documents/GDP (GOOD DISTRIBUTION PRATICE)/GSDP COMPANY FILES\A.N CHIDOZIE PHARMACEUTICAL LTD" xr:uid="{F2EAB11F-F5B7-4245-AB10-C981C094E150}"/>
    <hyperlink ref="N23" r:id="rId21" display="https://nafdacng.sharepoint.com/sites/PMSLAGOS/Shared Documents/GDP (GOOD DISTRIBUTION PRATICE)/GSDP COMPANY FILES\OBITEX DIVINE PHARMACEUTICALS" xr:uid="{97EA952C-AECC-4AA3-BA90-4AE317305C2D}"/>
    <hyperlink ref="N24" r:id="rId22" display="https://nafdacng.sharepoint.com/sites/PMSLAGOS/Shared Documents/GDP (GOOD DISTRIBUTION PRATICE)/GSDP COMPANY FILES\DRUG AMBASADOR PHARM" xr:uid="{194255E3-7409-48C6-AEE8-44306CA3522D}"/>
  </hyperlinks>
  <pageMargins left="0.7" right="0.7" top="0.75" bottom="0.75" header="0.3" footer="0.3"/>
  <tableParts count="1">
    <tablePart r:id="rId2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60779-62E2-4157-B658-E66317C7CF1A}">
  <dimension ref="A1:O14"/>
  <sheetViews>
    <sheetView topLeftCell="F1" workbookViewId="0">
      <selection activeCell="M1" sqref="M1:M1048576"/>
    </sheetView>
  </sheetViews>
  <sheetFormatPr defaultRowHeight="15"/>
  <cols>
    <col min="2" max="2" width="34.42578125" bestFit="1" customWidth="1"/>
    <col min="3" max="3" width="21.85546875" bestFit="1" customWidth="1"/>
    <col min="4" max="4" width="13" bestFit="1" customWidth="1"/>
    <col min="5" max="5" width="27.140625" bestFit="1" customWidth="1"/>
    <col min="6" max="6" width="27.42578125" bestFit="1" customWidth="1"/>
    <col min="7" max="7" width="12.285156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17.42578125" style="65" customWidth="1"/>
    <col min="13" max="13" width="31.28515625" hidden="1" customWidth="1"/>
    <col min="14" max="14" width="11.5703125" bestFit="1" customWidth="1"/>
    <col min="15" max="15" width="29.140625" bestFit="1" customWidth="1"/>
  </cols>
  <sheetData>
    <row r="1" spans="1:1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618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s="65" t="s">
        <v>12</v>
      </c>
      <c r="M2" t="s">
        <v>13</v>
      </c>
      <c r="N2" t="s">
        <v>14</v>
      </c>
      <c r="O2" t="s">
        <v>619</v>
      </c>
    </row>
    <row r="3" spans="1:15" ht="23.25" customHeight="1">
      <c r="A3" s="3">
        <v>78</v>
      </c>
      <c r="B3" s="7" t="s">
        <v>440</v>
      </c>
      <c r="C3" s="10" t="s">
        <v>441</v>
      </c>
      <c r="D3" s="5" t="s">
        <v>442</v>
      </c>
      <c r="E3" s="6" t="s">
        <v>19</v>
      </c>
      <c r="F3" s="21">
        <v>45114</v>
      </c>
      <c r="G3" s="10" t="s">
        <v>35</v>
      </c>
      <c r="H3" s="18" t="s">
        <v>443</v>
      </c>
      <c r="I3" s="4" t="s">
        <v>42</v>
      </c>
      <c r="J3" s="10" t="s">
        <v>43</v>
      </c>
      <c r="K3" s="37" t="str">
        <f t="shared" ref="K3:K14" si="0">IF(I3="YES","CAPA VERIFICATION SHOULD BE SCHEDULED",IF(I3="NO","REMINDER LETTER SHOULD BE SENT",""))</f>
        <v>REMINDER LETTER SHOULD BE SENT</v>
      </c>
      <c r="L3" s="66">
        <v>45474</v>
      </c>
      <c r="M3" s="39" t="s">
        <v>444</v>
      </c>
      <c r="N3" s="40" t="s">
        <v>445</v>
      </c>
      <c r="O3" s="41" t="str">
        <f>IF(M3="","",HYPERLINK(M3,B3))</f>
        <v>BLESSED NOEDYKE PHARM. CO</v>
      </c>
    </row>
    <row r="4" spans="1:15" ht="23.25" customHeight="1">
      <c r="A4" s="3">
        <v>79</v>
      </c>
      <c r="B4" s="7" t="s">
        <v>446</v>
      </c>
      <c r="C4" s="10" t="s">
        <v>447</v>
      </c>
      <c r="D4" s="5" t="s">
        <v>448</v>
      </c>
      <c r="E4" s="6" t="s">
        <v>19</v>
      </c>
      <c r="F4" s="19" t="s">
        <v>449</v>
      </c>
      <c r="G4" s="10" t="s">
        <v>35</v>
      </c>
      <c r="H4" s="20">
        <v>44934</v>
      </c>
      <c r="I4" s="4" t="s">
        <v>22</v>
      </c>
      <c r="J4" s="10" t="s">
        <v>23</v>
      </c>
      <c r="K4" s="37" t="str">
        <f t="shared" si="0"/>
        <v>CAPA VERIFICATION SHOULD BE SCHEDULED</v>
      </c>
      <c r="L4" s="67" t="s">
        <v>204</v>
      </c>
      <c r="M4" s="39" t="s">
        <v>450</v>
      </c>
      <c r="N4" s="40" t="s">
        <v>451</v>
      </c>
      <c r="O4" s="41" t="str">
        <f>IF(M4="","",HYPERLINK(M4,B4))</f>
        <v>ELBE PHARMA.NIG.LTD</v>
      </c>
    </row>
    <row r="5" spans="1:15" ht="23.25" customHeight="1">
      <c r="A5" s="3">
        <v>80</v>
      </c>
      <c r="B5" s="7" t="s">
        <v>452</v>
      </c>
      <c r="C5" s="10" t="s">
        <v>453</v>
      </c>
      <c r="D5" s="5" t="s">
        <v>454</v>
      </c>
      <c r="E5" s="6" t="s">
        <v>19</v>
      </c>
      <c r="F5" s="19" t="s">
        <v>455</v>
      </c>
      <c r="G5" s="10" t="s">
        <v>456</v>
      </c>
      <c r="H5" s="18" t="s">
        <v>457</v>
      </c>
      <c r="I5" s="4" t="s">
        <v>22</v>
      </c>
      <c r="J5" s="10" t="s">
        <v>23</v>
      </c>
      <c r="K5" s="37" t="str">
        <f t="shared" si="0"/>
        <v>CAPA VERIFICATION SHOULD BE SCHEDULED</v>
      </c>
      <c r="L5" s="67" t="s">
        <v>204</v>
      </c>
      <c r="M5" s="39" t="s">
        <v>458</v>
      </c>
      <c r="N5" s="42" t="s">
        <v>459</v>
      </c>
      <c r="O5" s="41" t="str">
        <f>IF(M5="","",HYPERLINK(M5,B5))</f>
        <v>GREENLIFE PHARMA</v>
      </c>
    </row>
    <row r="6" spans="1:15" ht="23.25" customHeight="1">
      <c r="A6" s="3">
        <v>81</v>
      </c>
      <c r="B6" s="7" t="s">
        <v>460</v>
      </c>
      <c r="C6" s="10" t="s">
        <v>461</v>
      </c>
      <c r="D6" s="5" t="s">
        <v>462</v>
      </c>
      <c r="E6" s="6" t="s">
        <v>19</v>
      </c>
      <c r="F6" s="19" t="s">
        <v>463</v>
      </c>
      <c r="G6" s="10" t="s">
        <v>416</v>
      </c>
      <c r="H6" s="20">
        <v>44934</v>
      </c>
      <c r="I6" s="4" t="s">
        <v>42</v>
      </c>
      <c r="J6" s="10" t="s">
        <v>23</v>
      </c>
      <c r="K6" s="37" t="str">
        <f t="shared" si="0"/>
        <v>REMINDER LETTER SHOULD BE SENT</v>
      </c>
      <c r="L6" s="66">
        <v>45292</v>
      </c>
      <c r="M6" s="39" t="s">
        <v>464</v>
      </c>
      <c r="N6" s="42" t="s">
        <v>465</v>
      </c>
      <c r="O6" s="41" t="str">
        <f>IF(M6="","",HYPERLINK(M6,B6))</f>
        <v>EMBASSY PHARM</v>
      </c>
    </row>
    <row r="7" spans="1:15" ht="23.25" customHeight="1">
      <c r="A7" s="3">
        <v>82</v>
      </c>
      <c r="B7" s="7" t="s">
        <v>466</v>
      </c>
      <c r="C7" s="10" t="s">
        <v>467</v>
      </c>
      <c r="D7" s="5" t="s">
        <v>468</v>
      </c>
      <c r="E7" s="6" t="s">
        <v>19</v>
      </c>
      <c r="F7" s="19" t="s">
        <v>463</v>
      </c>
      <c r="G7" s="10" t="s">
        <v>355</v>
      </c>
      <c r="H7" s="20">
        <v>44934</v>
      </c>
      <c r="I7" s="4" t="s">
        <v>22</v>
      </c>
      <c r="J7" s="10" t="s">
        <v>23</v>
      </c>
      <c r="K7" s="37" t="str">
        <f t="shared" si="0"/>
        <v>CAPA VERIFICATION SHOULD BE SCHEDULED</v>
      </c>
      <c r="L7" s="67" t="s">
        <v>204</v>
      </c>
      <c r="M7" s="39" t="s">
        <v>469</v>
      </c>
      <c r="N7" s="42" t="s">
        <v>470</v>
      </c>
      <c r="O7" s="41" t="str">
        <f>IF(M7="","",HYPERLINK(M7,B7))</f>
        <v>TEKA PHARMACEUTICALS</v>
      </c>
    </row>
    <row r="8" spans="1:15" ht="23.25" customHeight="1">
      <c r="A8" s="3">
        <v>83</v>
      </c>
      <c r="B8" s="7" t="s">
        <v>471</v>
      </c>
      <c r="C8" s="10" t="s">
        <v>472</v>
      </c>
      <c r="D8" s="5" t="s">
        <v>473</v>
      </c>
      <c r="E8" s="6" t="s">
        <v>19</v>
      </c>
      <c r="F8" s="19" t="s">
        <v>474</v>
      </c>
      <c r="G8" s="10" t="s">
        <v>475</v>
      </c>
      <c r="H8" s="18" t="s">
        <v>476</v>
      </c>
      <c r="I8" s="4" t="s">
        <v>22</v>
      </c>
      <c r="J8" s="10" t="s">
        <v>23</v>
      </c>
      <c r="K8" s="37" t="str">
        <f t="shared" si="0"/>
        <v>CAPA VERIFICATION SHOULD BE SCHEDULED</v>
      </c>
      <c r="L8" s="66">
        <v>45292</v>
      </c>
      <c r="M8" s="39" t="s">
        <v>477</v>
      </c>
      <c r="N8" s="42" t="s">
        <v>478</v>
      </c>
      <c r="O8" s="41" t="str">
        <f>IF(M8="","",HYPERLINK(M8,B8))</f>
        <v>CLARION HEALTHCARE</v>
      </c>
    </row>
    <row r="9" spans="1:15" ht="23.25" customHeight="1">
      <c r="A9" s="3">
        <v>84</v>
      </c>
      <c r="B9" s="7" t="s">
        <v>479</v>
      </c>
      <c r="C9" s="10" t="s">
        <v>480</v>
      </c>
      <c r="D9" s="5" t="s">
        <v>481</v>
      </c>
      <c r="E9" s="6" t="s">
        <v>19</v>
      </c>
      <c r="F9" s="19" t="s">
        <v>449</v>
      </c>
      <c r="G9" s="10" t="s">
        <v>35</v>
      </c>
      <c r="H9" s="18" t="s">
        <v>482</v>
      </c>
      <c r="I9" s="4" t="s">
        <v>22</v>
      </c>
      <c r="J9" s="10" t="s">
        <v>23</v>
      </c>
      <c r="K9" s="37" t="str">
        <f t="shared" si="0"/>
        <v>CAPA VERIFICATION SHOULD BE SCHEDULED</v>
      </c>
      <c r="L9" s="66">
        <v>45474</v>
      </c>
      <c r="M9" s="39" t="s">
        <v>483</v>
      </c>
      <c r="N9" s="42" t="s">
        <v>484</v>
      </c>
      <c r="O9" s="41" t="str">
        <f>IF(M9="","",HYPERLINK(M9,B9))</f>
        <v>HUGO DRUGS LIMITED</v>
      </c>
    </row>
    <row r="10" spans="1:15" ht="23.25" customHeight="1">
      <c r="A10" s="3">
        <v>85</v>
      </c>
      <c r="B10" s="7" t="s">
        <v>485</v>
      </c>
      <c r="C10" s="10" t="s">
        <v>486</v>
      </c>
      <c r="D10" s="5" t="s">
        <v>487</v>
      </c>
      <c r="E10" s="6" t="s">
        <v>19</v>
      </c>
      <c r="F10" s="19" t="s">
        <v>488</v>
      </c>
      <c r="G10" s="10" t="s">
        <v>355</v>
      </c>
      <c r="H10" s="20">
        <v>44934</v>
      </c>
      <c r="I10" s="4" t="s">
        <v>22</v>
      </c>
      <c r="J10" s="10" t="s">
        <v>43</v>
      </c>
      <c r="K10" s="37" t="str">
        <f t="shared" si="0"/>
        <v>CAPA VERIFICATION SHOULD BE SCHEDULED</v>
      </c>
      <c r="L10" s="66">
        <v>45474</v>
      </c>
      <c r="M10" s="39" t="s">
        <v>489</v>
      </c>
      <c r="N10" s="42" t="s">
        <v>490</v>
      </c>
      <c r="O10" s="41" t="str">
        <f>IF(M10="","",HYPERLINK(M10,B10))</f>
        <v>MARK PHARMACEUTICALS</v>
      </c>
    </row>
    <row r="11" spans="1:15" ht="23.25" customHeight="1">
      <c r="A11" s="3">
        <v>86</v>
      </c>
      <c r="B11" s="7" t="s">
        <v>491</v>
      </c>
      <c r="C11" s="10" t="s">
        <v>492</v>
      </c>
      <c r="D11" s="5" t="s">
        <v>493</v>
      </c>
      <c r="E11" s="6" t="s">
        <v>19</v>
      </c>
      <c r="F11" s="19" t="s">
        <v>488</v>
      </c>
      <c r="G11" s="10" t="s">
        <v>20</v>
      </c>
      <c r="H11" s="18" t="s">
        <v>72</v>
      </c>
      <c r="I11" s="4" t="s">
        <v>72</v>
      </c>
      <c r="J11" s="10" t="s">
        <v>494</v>
      </c>
      <c r="K11" s="37" t="str">
        <f t="shared" si="0"/>
        <v/>
      </c>
      <c r="L11" s="66">
        <v>45839</v>
      </c>
      <c r="M11" s="39" t="s">
        <v>495</v>
      </c>
      <c r="N11" s="42" t="s">
        <v>496</v>
      </c>
      <c r="O11" s="41" t="str">
        <f>IF(M11="","",HYPERLINK(M11,B11))</f>
        <v>DERM PHARMACEUTICALS</v>
      </c>
    </row>
    <row r="12" spans="1:15" ht="23.25" customHeight="1">
      <c r="A12" s="3">
        <v>87</v>
      </c>
      <c r="B12" s="7" t="s">
        <v>497</v>
      </c>
      <c r="C12" s="10" t="s">
        <v>498</v>
      </c>
      <c r="D12" s="5" t="s">
        <v>499</v>
      </c>
      <c r="E12" s="6" t="s">
        <v>19</v>
      </c>
      <c r="F12" s="19" t="s">
        <v>463</v>
      </c>
      <c r="G12" s="10" t="s">
        <v>500</v>
      </c>
      <c r="H12" s="20">
        <v>44934</v>
      </c>
      <c r="I12" s="4" t="s">
        <v>22</v>
      </c>
      <c r="J12" s="10" t="s">
        <v>23</v>
      </c>
      <c r="K12" s="37" t="str">
        <f t="shared" si="0"/>
        <v>CAPA VERIFICATION SHOULD BE SCHEDULED</v>
      </c>
      <c r="L12" s="67" t="s">
        <v>204</v>
      </c>
      <c r="M12" s="39" t="s">
        <v>501</v>
      </c>
      <c r="N12" s="42" t="s">
        <v>502</v>
      </c>
      <c r="O12" s="41" t="str">
        <f>IF(M12="","",HYPERLINK(M12,B12))</f>
        <v>SAGAR VITACEUTICALS</v>
      </c>
    </row>
    <row r="13" spans="1:15" ht="23.25" customHeight="1">
      <c r="A13" s="3">
        <v>88</v>
      </c>
      <c r="B13" s="7" t="s">
        <v>503</v>
      </c>
      <c r="C13" s="10" t="s">
        <v>504</v>
      </c>
      <c r="D13" s="5" t="s">
        <v>505</v>
      </c>
      <c r="E13" s="6" t="s">
        <v>19</v>
      </c>
      <c r="F13" s="19" t="s">
        <v>449</v>
      </c>
      <c r="G13" s="10" t="s">
        <v>20</v>
      </c>
      <c r="H13" s="20">
        <v>44934</v>
      </c>
      <c r="I13" s="4" t="s">
        <v>22</v>
      </c>
      <c r="J13" s="10" t="s">
        <v>23</v>
      </c>
      <c r="K13" s="37" t="s">
        <v>24</v>
      </c>
      <c r="L13" s="67" t="s">
        <v>204</v>
      </c>
      <c r="M13" s="39" t="s">
        <v>506</v>
      </c>
      <c r="N13" s="42" t="s">
        <v>507</v>
      </c>
      <c r="O13" s="41" t="str">
        <f>IF(M13="","",HYPERLINK(M13,B13))</f>
        <v>VINCO PHARMACEUTICAL</v>
      </c>
    </row>
    <row r="14" spans="1:15" ht="23.25" customHeight="1">
      <c r="A14" s="3">
        <v>89</v>
      </c>
      <c r="B14" s="7" t="s">
        <v>508</v>
      </c>
      <c r="C14" s="10" t="s">
        <v>509</v>
      </c>
      <c r="D14" s="5" t="s">
        <v>510</v>
      </c>
      <c r="E14" s="6" t="s">
        <v>19</v>
      </c>
      <c r="F14" s="19" t="s">
        <v>449</v>
      </c>
      <c r="G14" s="10" t="s">
        <v>35</v>
      </c>
      <c r="H14" s="20">
        <v>44934</v>
      </c>
      <c r="I14" s="4" t="s">
        <v>42</v>
      </c>
      <c r="J14" s="10" t="s">
        <v>43</v>
      </c>
      <c r="K14" s="37" t="str">
        <f t="shared" ref="K14" si="1">IF(I14="YES","CAPA VERIFICATION SHOULD BE SCHEDULED",IF(I14="NO","REMINDER LETTER SHOULD BE SENT",""))</f>
        <v>REMINDER LETTER SHOULD BE SENT</v>
      </c>
      <c r="L14" s="66">
        <v>45474</v>
      </c>
      <c r="M14" s="39" t="s">
        <v>511</v>
      </c>
      <c r="N14" s="42" t="s">
        <v>512</v>
      </c>
      <c r="O14" s="41" t="str">
        <f>IF(M14="","",HYPERLINK(M14,B14))</f>
        <v>ONIFAM LABORATORIES LTD.</v>
      </c>
    </row>
  </sheetData>
  <mergeCells count="1">
    <mergeCell ref="A1:N1"/>
  </mergeCells>
  <conditionalFormatting sqref="I3:I14">
    <cfRule type="containsText" dxfId="38" priority="1" operator="containsText" text="NO">
      <formula>NOT(ISERROR(SEARCH("NO",I3)))</formula>
    </cfRule>
    <cfRule type="containsText" dxfId="37" priority="2" operator="containsText" text="YES">
      <formula>NOT(ISERROR(SEARCH("YES",I3)))</formula>
    </cfRule>
  </conditionalFormatting>
  <dataValidations count="1">
    <dataValidation type="list" allowBlank="1" showInputMessage="1" showErrorMessage="1" sqref="I3:I14" xr:uid="{F7A2DA95-81A1-4B1B-B4E7-6FCB459A3A42}">
      <formula1>"YES,NO,N/A"</formula1>
    </dataValidation>
  </dataValidations>
  <hyperlinks>
    <hyperlink ref="N3" r:id="rId1" display="https://nafdacng.sharepoint.com/sites/PMSLAGOS/Shared Documents/GDP (GOOD DISTRIBUTION PRATICE)/GSDP COMPANY FILES\BLESSED NEODYKE PHARM CO" xr:uid="{4C26EFE2-2AA9-4815-ABDE-E6081D170A46}"/>
    <hyperlink ref="N4" r:id="rId2" display="https://nafdacng.sharepoint.com/sites/PMSLAGOS/Shared Documents/GDP (GOOD DISTRIBUTION PRATICE)/GSDP COMPANY FILES\ELBE PHARMA. NIG LTD" xr:uid="{B1B472C7-7190-4A72-90E3-4A581A8DBECA}"/>
    <hyperlink ref="N5" r:id="rId3" display="https://nafdacng.sharepoint.com/sites/PMSLAGOS/Shared Documents/GDP (GOOD DISTRIBUTION PRATICE)/GSDP COMPANY FILES\GREENLIFE PHARM. LTD" xr:uid="{BE38B3CB-8F09-4BCE-90BE-1512AD02579D}"/>
    <hyperlink ref="N6" r:id="rId4" display="https://nafdacng.sharepoint.com/sites/PMSLAGOS/Shared Documents/GDP (GOOD DISTRIBUTION PRATICE)/GSDP COMPANY FILES\EMBASSY PHARM" xr:uid="{2A712B96-894A-43C0-80DA-721AB5919813}"/>
    <hyperlink ref="N7" r:id="rId5" display="https://nafdacng.sharepoint.com/sites/PMSLAGOS/Shared Documents/GDP (GOOD DISTRIBUTION PRATICE)/GSDP COMPANY FILES\TEKA PHARM" xr:uid="{ACC0C81D-A608-4CB9-B454-BC08E776A29B}"/>
    <hyperlink ref="N8" r:id="rId6" display="https://nafdacng.sharepoint.com/sites/PMSLAGOS/Shared Documents/GDP (GOOD DISTRIBUTION PRATICE)/GSDP COMPANY FILES\CLARION HEALTHCARE" xr:uid="{73C03EA4-661F-497B-ABE5-77D099449EEF}"/>
    <hyperlink ref="N9" r:id="rId7" display="https://nafdacng.sharepoint.com/sites/PMSLAGOS/Shared Documents/GDP (GOOD DISTRIBUTION PRATICE)/GSDP COMPANY FILES\HUGO DRUGS LIMITED" xr:uid="{2E3ADA41-0B2F-492B-AEAF-B027FD0932BA}"/>
    <hyperlink ref="N10" r:id="rId8" display="https://nafdacng.sharepoint.com/sites/PMSLAGOS/Shared Documents/GDP (GOOD DISTRIBUTION PRATICE)/GSDP COMPANY FILES\MARK PHARMACEUTICALS" xr:uid="{6FA574AA-A9D6-4EAA-814E-904BF4613FB7}"/>
    <hyperlink ref="N11" r:id="rId9" display="https://nafdacng.sharepoint.com/sites/PMSLAGOS/Shared Documents/GDP (GOOD DISTRIBUTION PRATICE)/GSDP COMPANY FILES\DERM PHARMACEUTICALS" xr:uid="{BBD62C31-C213-42F1-BABE-55230307498C}"/>
    <hyperlink ref="N12" r:id="rId10" display="https://nafdacng.sharepoint.com/sites/PMSLAGOS/Shared Documents/GDP (GOOD DISTRIBUTION PRATICE)/GSDP COMPANY FILES\SAGAR VITACEAUTICALS NIG LTD" xr:uid="{F4F2F463-375A-46D2-B19C-00E6820FCC68}"/>
    <hyperlink ref="N13" r:id="rId11" display="https://nafdacng.sharepoint.com/sites/PMSLAGOS/Shared Documents/GDP (GOOD DISTRIBUTION PRATICE)/GSDP COMPANY FILES\VINCO PHARM" xr:uid="{4EE0FBE4-BC24-46F5-B6F4-E6C8A21B49D9}"/>
    <hyperlink ref="N14" r:id="rId12" display="https://nafdacng.sharepoint.com/sites/PMSLAGOS/Shared Documents/GDP (GOOD DISTRIBUTION PRATICE)/GSDP COMPANY FILES\ONIFAM LABORATORIES LTD" xr:uid="{B5A124C7-8FFE-4A41-8C4B-A9EA3C49BAB2}"/>
  </hyperlinks>
  <pageMargins left="0.7" right="0.7" top="0.75" bottom="0.75" header="0.3" footer="0.3"/>
  <tableParts count="1">
    <tablePart r:id="rId1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56D6-E32B-46D2-AF56-ED1C242664C3}">
  <dimension ref="A1:O5"/>
  <sheetViews>
    <sheetView workbookViewId="0">
      <selection activeCell="A3" sqref="A3:XFD5"/>
    </sheetView>
  </sheetViews>
  <sheetFormatPr defaultRowHeight="15"/>
  <sheetData>
    <row r="1" spans="1:1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618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5" ht="18" customHeight="1">
      <c r="A3" s="3">
        <v>90</v>
      </c>
      <c r="B3" s="7" t="s">
        <v>513</v>
      </c>
      <c r="C3" s="10" t="s">
        <v>514</v>
      </c>
      <c r="D3" s="5" t="s">
        <v>515</v>
      </c>
      <c r="E3" s="6" t="s">
        <v>19</v>
      </c>
      <c r="F3" s="19" t="s">
        <v>516</v>
      </c>
      <c r="G3" s="10" t="s">
        <v>35</v>
      </c>
      <c r="H3" s="20">
        <v>44934</v>
      </c>
      <c r="I3" s="4" t="s">
        <v>42</v>
      </c>
      <c r="J3" s="10" t="s">
        <v>43</v>
      </c>
      <c r="K3" s="37" t="str">
        <f t="shared" ref="K3:K5" si="0">IF(I3="YES","CAPA VERIFICATION SHOULD BE SCHEDULED",IF(I3="NO","REMINDER LETTER SHOULD BE SENT",""))</f>
        <v>REMINDER LETTER SHOULD BE SENT</v>
      </c>
      <c r="L3" s="38">
        <v>45505</v>
      </c>
      <c r="M3" s="44" t="s">
        <v>517</v>
      </c>
      <c r="N3" s="40" t="s">
        <v>518</v>
      </c>
      <c r="O3" s="41" t="str">
        <f>IF(M3="","",HYPERLINK(M3,B3))</f>
        <v>AGARY PHARMACEUTICALS</v>
      </c>
    </row>
    <row r="4" spans="1:15" ht="18" customHeight="1">
      <c r="A4" s="3">
        <v>91</v>
      </c>
      <c r="B4" s="7" t="s">
        <v>519</v>
      </c>
      <c r="C4" s="10" t="s">
        <v>520</v>
      </c>
      <c r="D4" s="5" t="s">
        <v>521</v>
      </c>
      <c r="E4" s="6" t="s">
        <v>19</v>
      </c>
      <c r="F4" s="19" t="s">
        <v>522</v>
      </c>
      <c r="G4" s="10" t="s">
        <v>20</v>
      </c>
      <c r="H4" s="20">
        <v>44934</v>
      </c>
      <c r="I4" s="4" t="s">
        <v>42</v>
      </c>
      <c r="J4" s="7" t="s">
        <v>523</v>
      </c>
      <c r="K4" s="37" t="str">
        <f t="shared" si="0"/>
        <v>REMINDER LETTER SHOULD BE SENT</v>
      </c>
      <c r="L4" s="38">
        <v>45870</v>
      </c>
      <c r="M4" s="39" t="s">
        <v>524</v>
      </c>
      <c r="N4" s="40" t="s">
        <v>525</v>
      </c>
      <c r="O4" s="41" t="str">
        <f>IF(M4="","",HYPERLINK(M4,B4))</f>
        <v>SHALINA HEALTHCARE</v>
      </c>
    </row>
    <row r="5" spans="1:15" ht="18" customHeight="1">
      <c r="A5" s="3">
        <v>92</v>
      </c>
      <c r="B5" s="7" t="s">
        <v>526</v>
      </c>
      <c r="C5" s="10" t="s">
        <v>527</v>
      </c>
      <c r="D5" s="5" t="s">
        <v>528</v>
      </c>
      <c r="E5" s="6" t="s">
        <v>19</v>
      </c>
      <c r="F5" s="21">
        <v>44934</v>
      </c>
      <c r="G5" s="10" t="s">
        <v>529</v>
      </c>
      <c r="H5" s="20">
        <v>45884</v>
      </c>
      <c r="I5" s="4" t="s">
        <v>22</v>
      </c>
      <c r="J5" s="10" t="s">
        <v>23</v>
      </c>
      <c r="K5" s="37" t="str">
        <f t="shared" si="0"/>
        <v>CAPA VERIFICATION SHOULD BE SCHEDULED</v>
      </c>
      <c r="L5" s="38">
        <v>45870</v>
      </c>
      <c r="M5" s="43"/>
      <c r="N5" s="37"/>
      <c r="O5" s="41" t="str">
        <f>IF(M5="","",HYPERLINK(M5,B5))</f>
        <v/>
      </c>
    </row>
  </sheetData>
  <mergeCells count="1">
    <mergeCell ref="A1:N1"/>
  </mergeCells>
  <conditionalFormatting sqref="I3:I5">
    <cfRule type="containsText" dxfId="21" priority="1" operator="containsText" text="NO">
      <formula>NOT(ISERROR(SEARCH("NO",I3)))</formula>
    </cfRule>
    <cfRule type="containsText" dxfId="20" priority="2" operator="containsText" text="YES">
      <formula>NOT(ISERROR(SEARCH("YES",I3)))</formula>
    </cfRule>
  </conditionalFormatting>
  <dataValidations count="1">
    <dataValidation type="list" allowBlank="1" showInputMessage="1" showErrorMessage="1" sqref="I3:I5" xr:uid="{9952BFB1-B5DD-4E40-9085-51144DEF70EF}">
      <formula1>"YES,NO,N/A"</formula1>
    </dataValidation>
  </dataValidations>
  <hyperlinks>
    <hyperlink ref="M3" r:id="rId1" xr:uid="{27DC2EBC-BAF9-4FBB-B7A1-B5A57E8E2133}"/>
    <hyperlink ref="N3" r:id="rId2" display="https://nafdacng.sharepoint.com/sites/PMSLAGOS/Shared Documents/GDP (GOOD DISTRIBUTION PRATICE)/GSDP COMPANY FILES\AGARY PHARMACEUTICALS LTD" xr:uid="{B26E2A6F-7C93-4D07-B71B-12656C1E0872}"/>
    <hyperlink ref="N4" r:id="rId3" display="https://nafdacng.sharepoint.com/sites/PMSLAGOS/Shared Documents/GDP (GOOD DISTRIBUTION PRATICE)/GSDP COMPANY FILES\SHALINA HEALTHCARE LTD" xr:uid="{0AC50AAA-84D5-4ACD-AC45-DE80B266785D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DED9EA-25B3-4261-BFFE-209485648FFE}">
  <dimension ref="A1:N2"/>
  <sheetViews>
    <sheetView workbookViewId="0">
      <selection sqref="A1:N1"/>
    </sheetView>
  </sheetViews>
  <sheetFormatPr defaultRowHeight="15"/>
  <sheetData>
    <row r="1" spans="1:14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4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618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</sheetData>
  <mergeCells count="1">
    <mergeCell ref="A1:N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2440D8-F45B-427C-861D-F3DE53EBE705}">
  <dimension ref="A1:O11"/>
  <sheetViews>
    <sheetView workbookViewId="0">
      <selection activeCell="A3" sqref="A3:O11"/>
    </sheetView>
  </sheetViews>
  <sheetFormatPr defaultRowHeight="15"/>
  <sheetData>
    <row r="1" spans="1:1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618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5" ht="332.25">
      <c r="A3" s="3">
        <v>93</v>
      </c>
      <c r="B3" s="7" t="s">
        <v>530</v>
      </c>
      <c r="C3" s="10" t="s">
        <v>531</v>
      </c>
      <c r="D3" s="5" t="s">
        <v>532</v>
      </c>
      <c r="E3" s="6" t="s">
        <v>19</v>
      </c>
      <c r="F3" s="21">
        <v>45270</v>
      </c>
      <c r="G3" s="10" t="s">
        <v>355</v>
      </c>
      <c r="H3" s="18" t="s">
        <v>533</v>
      </c>
      <c r="I3" s="4" t="s">
        <v>42</v>
      </c>
      <c r="J3" s="10" t="s">
        <v>43</v>
      </c>
      <c r="K3" s="37" t="str">
        <f t="shared" ref="K3:K9" si="0">IF(I3="YES","CAPA VERIFICATION SHOULD BE SCHEDULED",IF(I3="NO","REMINDER LETTER SHOULD BE SENT",""))</f>
        <v>REMINDER LETTER SHOULD BE SENT</v>
      </c>
      <c r="L3" s="38">
        <v>45536</v>
      </c>
      <c r="M3" s="39" t="s">
        <v>534</v>
      </c>
      <c r="N3" s="40" t="s">
        <v>535</v>
      </c>
      <c r="O3" s="41" t="str">
        <f>IF(M3="","",HYPERLINK(M3,B3))</f>
        <v>IMMACULATE CARE PHARMACY</v>
      </c>
    </row>
    <row r="4" spans="1:15" ht="303.75">
      <c r="A4" s="3">
        <v>94</v>
      </c>
      <c r="B4" s="7" t="s">
        <v>536</v>
      </c>
      <c r="C4" s="10" t="s">
        <v>537</v>
      </c>
      <c r="D4" s="5" t="s">
        <v>538</v>
      </c>
      <c r="E4" s="6" t="s">
        <v>19</v>
      </c>
      <c r="F4" s="21">
        <v>45270</v>
      </c>
      <c r="G4" s="10" t="s">
        <v>20</v>
      </c>
      <c r="H4" s="18" t="s">
        <v>533</v>
      </c>
      <c r="I4" s="4" t="s">
        <v>22</v>
      </c>
      <c r="J4" s="10" t="s">
        <v>23</v>
      </c>
      <c r="K4" s="37" t="str">
        <f t="shared" si="0"/>
        <v>CAPA VERIFICATION SHOULD BE SCHEDULED</v>
      </c>
      <c r="L4" s="38">
        <v>45901</v>
      </c>
      <c r="M4" s="39" t="s">
        <v>539</v>
      </c>
      <c r="N4" s="40" t="s">
        <v>540</v>
      </c>
      <c r="O4" s="41" t="str">
        <f>IF(M4="","",HYPERLINK(M4,B4))</f>
        <v>COLLIBEX PHARMACY</v>
      </c>
    </row>
    <row r="5" spans="1:15" ht="318">
      <c r="A5" s="3">
        <v>95</v>
      </c>
      <c r="B5" s="7" t="s">
        <v>541</v>
      </c>
      <c r="C5" s="10" t="s">
        <v>542</v>
      </c>
      <c r="D5" s="5" t="s">
        <v>543</v>
      </c>
      <c r="E5" s="6" t="s">
        <v>19</v>
      </c>
      <c r="F5" s="21">
        <v>45270</v>
      </c>
      <c r="G5" s="10" t="s">
        <v>35</v>
      </c>
      <c r="H5" s="18" t="s">
        <v>533</v>
      </c>
      <c r="I5" s="4" t="s">
        <v>42</v>
      </c>
      <c r="J5" s="10" t="s">
        <v>43</v>
      </c>
      <c r="K5" s="37" t="str">
        <f t="shared" si="0"/>
        <v>REMINDER LETTER SHOULD BE SENT</v>
      </c>
      <c r="L5" s="38">
        <v>45536</v>
      </c>
      <c r="M5" s="39" t="s">
        <v>544</v>
      </c>
      <c r="N5" s="42" t="s">
        <v>545</v>
      </c>
      <c r="O5" s="41" t="str">
        <f>IF(M5="","",HYPERLINK(M5,B5))</f>
        <v>EMMASTEV PHARMACY</v>
      </c>
    </row>
    <row r="6" spans="1:15" ht="303.75">
      <c r="A6" s="28">
        <v>104</v>
      </c>
      <c r="B6" s="29" t="s">
        <v>503</v>
      </c>
      <c r="C6" s="11" t="s">
        <v>504</v>
      </c>
      <c r="D6" s="30" t="s">
        <v>505</v>
      </c>
      <c r="E6" s="28" t="s">
        <v>546</v>
      </c>
      <c r="F6" s="29" t="s">
        <v>547</v>
      </c>
      <c r="G6" s="11" t="s">
        <v>20</v>
      </c>
      <c r="H6" s="31" t="s">
        <v>548</v>
      </c>
      <c r="I6" s="4" t="s">
        <v>72</v>
      </c>
      <c r="J6" s="11" t="s">
        <v>549</v>
      </c>
      <c r="K6" s="32" t="s">
        <v>297</v>
      </c>
      <c r="L6" s="33">
        <v>45901</v>
      </c>
      <c r="M6" s="34" t="s">
        <v>506</v>
      </c>
      <c r="N6" s="42" t="s">
        <v>507</v>
      </c>
      <c r="O6" s="35" t="str">
        <f>IF(M6="","",HYPERLINK(M6,B6))</f>
        <v>VINCO PHARMACEUTICAL</v>
      </c>
    </row>
    <row r="7" spans="1:15" ht="303.75">
      <c r="A7" s="3">
        <v>96</v>
      </c>
      <c r="B7" s="7" t="s">
        <v>550</v>
      </c>
      <c r="C7" s="10" t="s">
        <v>551</v>
      </c>
      <c r="D7" s="5" t="s">
        <v>552</v>
      </c>
      <c r="E7" s="6" t="s">
        <v>19</v>
      </c>
      <c r="F7" s="19" t="s">
        <v>553</v>
      </c>
      <c r="G7" s="10" t="s">
        <v>20</v>
      </c>
      <c r="H7" s="18" t="s">
        <v>554</v>
      </c>
      <c r="I7" s="4" t="s">
        <v>22</v>
      </c>
      <c r="J7" s="10" t="s">
        <v>23</v>
      </c>
      <c r="K7" s="37" t="str">
        <f>IF(I7="YES","CAPA VERIFICATION SHOULD BE SCHEDULED",IF(I7="NO","REMINDER LETTER SHOULD BE SENT",""))</f>
        <v>CAPA VERIFICATION SHOULD BE SCHEDULED</v>
      </c>
      <c r="L7" s="38">
        <v>45901</v>
      </c>
      <c r="M7" s="39" t="s">
        <v>555</v>
      </c>
      <c r="N7" s="42" t="s">
        <v>556</v>
      </c>
      <c r="O7" s="41" t="str">
        <f>IF(M7="","",HYPERLINK(M7,B7))</f>
        <v>SKY PHARMACEUTICAL</v>
      </c>
    </row>
    <row r="8" spans="1:15" ht="303.75">
      <c r="A8" s="3">
        <v>97</v>
      </c>
      <c r="B8" s="7" t="s">
        <v>557</v>
      </c>
      <c r="C8" s="10" t="s">
        <v>558</v>
      </c>
      <c r="D8" s="5" t="s">
        <v>559</v>
      </c>
      <c r="E8" s="6" t="s">
        <v>19</v>
      </c>
      <c r="F8" s="21">
        <v>45209</v>
      </c>
      <c r="G8" s="10" t="s">
        <v>560</v>
      </c>
      <c r="H8" s="18" t="s">
        <v>533</v>
      </c>
      <c r="I8" s="4" t="s">
        <v>42</v>
      </c>
      <c r="J8" s="10" t="s">
        <v>43</v>
      </c>
      <c r="K8" s="37" t="str">
        <f>IF(I8="YES","CAPA VERIFICATION SHOULD BE SCHEDULED",IF(I8="NO","REMINDER LETTER SHOULD BE SENT",""))</f>
        <v>REMINDER LETTER SHOULD BE SENT</v>
      </c>
      <c r="L8" s="38">
        <v>45901</v>
      </c>
      <c r="M8" s="68" t="s">
        <v>561</v>
      </c>
      <c r="N8" s="42" t="s">
        <v>562</v>
      </c>
      <c r="O8" s="41" t="str">
        <f>IF(M8="","",HYPERLINK(M8,B8))</f>
        <v>AJAO SAMUEL PHARMACY</v>
      </c>
    </row>
    <row r="9" spans="1:15" ht="318">
      <c r="A9" s="3">
        <v>98</v>
      </c>
      <c r="B9" s="7" t="s">
        <v>563</v>
      </c>
      <c r="C9" s="10" t="s">
        <v>564</v>
      </c>
      <c r="D9" s="5" t="s">
        <v>565</v>
      </c>
      <c r="E9" s="6" t="s">
        <v>19</v>
      </c>
      <c r="F9" s="19" t="s">
        <v>566</v>
      </c>
      <c r="G9" s="10" t="s">
        <v>35</v>
      </c>
      <c r="H9" s="18" t="s">
        <v>533</v>
      </c>
      <c r="I9" s="4" t="s">
        <v>42</v>
      </c>
      <c r="J9" s="10" t="s">
        <v>23</v>
      </c>
      <c r="K9" s="37" t="str">
        <f>IF(I9="YES","CAPA VERIFICATION SHOULD BE SCHEDULED",IF(I9="NO","REMINDER LETTER SHOULD BE SENT",""))</f>
        <v>REMINDER LETTER SHOULD BE SENT</v>
      </c>
      <c r="L9" s="38">
        <v>45536</v>
      </c>
      <c r="M9" s="39" t="s">
        <v>567</v>
      </c>
      <c r="N9" s="42" t="s">
        <v>568</v>
      </c>
      <c r="O9" s="41" t="str">
        <f>IF(M9="","",HYPERLINK(M9,B9))</f>
        <v>MALVEN MEDICS LIMITED</v>
      </c>
    </row>
    <row r="10" spans="1:15" ht="318">
      <c r="A10" s="3">
        <v>99</v>
      </c>
      <c r="B10" s="7" t="s">
        <v>569</v>
      </c>
      <c r="C10" s="10" t="s">
        <v>570</v>
      </c>
      <c r="D10" s="5" t="s">
        <v>571</v>
      </c>
      <c r="E10" s="6" t="s">
        <v>19</v>
      </c>
      <c r="F10" s="19" t="s">
        <v>553</v>
      </c>
      <c r="G10" s="10" t="s">
        <v>20</v>
      </c>
      <c r="H10" s="18" t="s">
        <v>72</v>
      </c>
      <c r="I10" s="4" t="s">
        <v>72</v>
      </c>
      <c r="J10" s="10" t="s">
        <v>572</v>
      </c>
      <c r="K10" s="37" t="s">
        <v>297</v>
      </c>
      <c r="L10" s="38">
        <v>45901</v>
      </c>
      <c r="M10" s="39" t="s">
        <v>573</v>
      </c>
      <c r="N10" s="42" t="s">
        <v>574</v>
      </c>
      <c r="O10" s="41" t="str">
        <f>IF(M10="","",HYPERLINK(M10,B10))</f>
        <v>TUM TAY COMPANY LIMITED</v>
      </c>
    </row>
    <row r="11" spans="1:15" ht="332.25">
      <c r="A11" s="3">
        <v>100</v>
      </c>
      <c r="B11" s="7" t="s">
        <v>575</v>
      </c>
      <c r="C11" s="10" t="s">
        <v>576</v>
      </c>
      <c r="D11" s="5" t="s">
        <v>521</v>
      </c>
      <c r="E11" s="6" t="s">
        <v>19</v>
      </c>
      <c r="F11" s="19" t="s">
        <v>577</v>
      </c>
      <c r="G11" s="10" t="s">
        <v>20</v>
      </c>
      <c r="H11" s="18" t="s">
        <v>72</v>
      </c>
      <c r="I11" s="4" t="s">
        <v>72</v>
      </c>
      <c r="J11" s="10" t="s">
        <v>572</v>
      </c>
      <c r="K11" s="37" t="s">
        <v>297</v>
      </c>
      <c r="L11" s="38">
        <v>45901</v>
      </c>
      <c r="M11" s="69" t="s">
        <v>578</v>
      </c>
      <c r="N11" s="42" t="s">
        <v>579</v>
      </c>
      <c r="O11" s="41" t="str">
        <f>IF(M11="","",HYPERLINK(M11,B11))</f>
        <v>VIBORATH PHARMACY</v>
      </c>
    </row>
  </sheetData>
  <mergeCells count="1">
    <mergeCell ref="A1:N1"/>
  </mergeCells>
  <conditionalFormatting sqref="I3:I6">
    <cfRule type="containsText" dxfId="19" priority="1" operator="containsText" text="NO">
      <formula>NOT(ISERROR(SEARCH("NO",I3)))</formula>
    </cfRule>
    <cfRule type="containsText" dxfId="18" priority="2" operator="containsText" text="YES">
      <formula>NOT(ISERROR(SEARCH("YES",I3)))</formula>
    </cfRule>
  </conditionalFormatting>
  <conditionalFormatting sqref="I7:I11">
    <cfRule type="containsText" dxfId="17" priority="3" operator="containsText" text="NO">
      <formula>NOT(ISERROR(SEARCH("NO",I7)))</formula>
    </cfRule>
    <cfRule type="containsText" dxfId="16" priority="4" operator="containsText" text="YES">
      <formula>NOT(ISERROR(SEARCH("YES",I7)))</formula>
    </cfRule>
  </conditionalFormatting>
  <dataValidations count="1">
    <dataValidation type="list" allowBlank="1" showInputMessage="1" showErrorMessage="1" sqref="I3:I11" xr:uid="{88723A93-B80D-4181-98CB-36B0B8240BF0}">
      <formula1>"YES,NO,N/A"</formula1>
    </dataValidation>
  </dataValidations>
  <hyperlinks>
    <hyperlink ref="M8" r:id="rId1" xr:uid="{6E017D0B-F71F-4508-B18C-810B4A30BAEF}"/>
    <hyperlink ref="N3" r:id="rId2" display="https://nafdacng.sharepoint.com/sites/PMSLAGOS/Shared Documents/GDP (GOOD DISTRIBUTION PRATICE)/GSDP COMPANY FILES\IMMACULATE CARE PHARM" xr:uid="{408F80D6-03C3-4069-8189-F4F01EA7B046}"/>
    <hyperlink ref="N4" r:id="rId3" display="https://nafdacng.sharepoint.com/sites/PMSLAGOS/Shared Documents/GDP (GOOD DISTRIBUTION PRATICE)/GSDP COMPANY FILES\COLLIBEX PHARM" xr:uid="{291838A4-D8E9-42AE-92B9-86DE3641A31F}"/>
    <hyperlink ref="N5" r:id="rId4" display="https://nafdacng.sharepoint.com/sites/PMSLAGOS/Shared Documents/GDP (GOOD DISTRIBUTION PRATICE)/GSDP COMPANY FILES\EMMASTEV PHARM" xr:uid="{F4B615B2-C55C-4EC0-A0F7-EB0246A9EE41}"/>
    <hyperlink ref="N6" r:id="rId5" display="https://nafdacng.sharepoint.com/sites/PMSLAGOS/Shared Documents/GDP (GOOD DISTRIBUTION PRATICE)/GSDP COMPANY FILES\VINCO PHARM" xr:uid="{8C0CEA3C-5D82-4540-9FD2-D5B05B6D4017}"/>
    <hyperlink ref="N7" r:id="rId6" display="https://nafdacng.sharepoint.com/sites/PMSLAGOS/Shared Documents/GDP (GOOD DISTRIBUTION PRATICE)/GSDP COMPANY FILES\SKY PHARM" xr:uid="{86E9D21C-293F-40F4-ACA6-EE4FE57657B1}"/>
    <hyperlink ref="N8" r:id="rId7" display="https://nafdacng.sharepoint.com/sites/PMSLAGOS/Shared Documents/GDP (GOOD DISTRIBUTION PRATICE)/GSDP COMPANY FILES\AJAO SAMUEL" xr:uid="{90562CA5-C730-41A4-9D2D-30D819C6451E}"/>
    <hyperlink ref="N9" r:id="rId8" display="https://nafdacng.sharepoint.com/sites/PMSLAGOS/Shared Documents/GDP (GOOD DISTRIBUTION PRATICE)/GSDP COMPANY FILES\MALVEN MEDICS LTD" xr:uid="{41BD3C8D-9AC5-42C7-A4D5-41284AA66A45}"/>
    <hyperlink ref="N10" r:id="rId9" display="https://nafdacng.sharepoint.com/sites/PMSLAGOS/Shared Documents/GDP (GOOD DISTRIBUTION PRATICE)/GSDP COMPANY FILES\TUM TAY COMPANY LTD" xr:uid="{088B3DFB-CE5C-4ADF-81B7-C1874220A7E4}"/>
    <hyperlink ref="N11" r:id="rId10" display="https://nafdacng.sharepoint.com/sites/PMSLAGOS/Shared Documents/GDP (GOOD DISTRIBUTION PRATICE)/GSDP COMPANY FILES\VITBORAH PHARMA LTD" xr:uid="{5E804277-EEE4-4C7F-BEF2-AC81328B9652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57346-C5F0-4EFF-9A30-E819B0B1CC06}">
  <dimension ref="A1:O6"/>
  <sheetViews>
    <sheetView topLeftCell="B1" workbookViewId="0">
      <selection activeCell="O4" sqref="O4"/>
    </sheetView>
  </sheetViews>
  <sheetFormatPr defaultRowHeight="15"/>
  <cols>
    <col min="2" max="2" width="27.140625" bestFit="1" customWidth="1"/>
    <col min="3" max="3" width="21.85546875" bestFit="1" customWidth="1"/>
    <col min="4" max="4" width="13" bestFit="1" customWidth="1"/>
    <col min="5" max="5" width="12" customWidth="1"/>
    <col min="6" max="6" width="27.42578125" bestFit="1" customWidth="1"/>
    <col min="7" max="7" width="12.28515625" bestFit="1" customWidth="1"/>
    <col min="8" max="8" width="20.7109375" bestFit="1" customWidth="1"/>
    <col min="9" max="9" width="19" bestFit="1" customWidth="1"/>
    <col min="10" max="10" width="15.85546875" bestFit="1" customWidth="1"/>
    <col min="11" max="11" width="12.140625" bestFit="1" customWidth="1"/>
    <col min="12" max="12" width="19" customWidth="1"/>
    <col min="13" max="13" width="21.7109375" customWidth="1"/>
    <col min="14" max="14" width="11.5703125" bestFit="1" customWidth="1"/>
  </cols>
  <sheetData>
    <row r="1" spans="1:15">
      <c r="A1" s="91" t="s">
        <v>0</v>
      </c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</row>
    <row r="2" spans="1: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618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</row>
    <row r="3" spans="1:15" ht="39.75" customHeight="1">
      <c r="A3" s="3">
        <v>101</v>
      </c>
      <c r="B3" s="10" t="s">
        <v>580</v>
      </c>
      <c r="C3" s="10" t="s">
        <v>581</v>
      </c>
      <c r="D3" s="5" t="s">
        <v>582</v>
      </c>
      <c r="E3" s="6" t="s">
        <v>19</v>
      </c>
      <c r="F3" s="21">
        <v>44937</v>
      </c>
      <c r="G3" s="10" t="s">
        <v>529</v>
      </c>
      <c r="H3" s="20">
        <v>45210</v>
      </c>
      <c r="I3" s="4" t="s">
        <v>42</v>
      </c>
      <c r="J3" s="10" t="s">
        <v>43</v>
      </c>
      <c r="K3" s="37" t="str">
        <f>IF(I3="YES","CAPA VERIFICATION SHOULD BE SCHEDULED",IF(I3="NO","REMINDER LETTER SHOULD BE SENT",""))</f>
        <v>REMINDER LETTER SHOULD BE SENT</v>
      </c>
      <c r="L3" s="38">
        <v>45962</v>
      </c>
      <c r="M3" s="39" t="s">
        <v>583</v>
      </c>
      <c r="N3" s="40" t="s">
        <v>584</v>
      </c>
      <c r="O3" s="41" t="str">
        <f>IF(M3="","",HYPERLINK(M3,B3))</f>
        <v>SAM SUNNY PHARMA &amp; STORE LIMITED</v>
      </c>
    </row>
    <row r="4" spans="1:15" ht="39.75" customHeight="1">
      <c r="A4" s="3">
        <v>102</v>
      </c>
      <c r="B4" s="10" t="s">
        <v>585</v>
      </c>
      <c r="C4" s="10" t="s">
        <v>586</v>
      </c>
      <c r="D4" s="5" t="s">
        <v>587</v>
      </c>
      <c r="E4" s="6" t="s">
        <v>19</v>
      </c>
      <c r="F4" s="21">
        <v>44937</v>
      </c>
      <c r="G4" s="10" t="s">
        <v>20</v>
      </c>
      <c r="H4" s="20">
        <v>45210</v>
      </c>
      <c r="I4" s="4" t="s">
        <v>22</v>
      </c>
      <c r="J4" s="10" t="s">
        <v>23</v>
      </c>
      <c r="K4" s="37" t="str">
        <f>IF(I4="YES","CAPA VERIFICATION SHOULD BE SCHEDULED",IF(I4="NO","REMINDER LETTER SHOULD BE SENT",""))</f>
        <v>CAPA VERIFICATION SHOULD BE SCHEDULED</v>
      </c>
      <c r="L4" s="38">
        <v>45962</v>
      </c>
      <c r="M4" s="39" t="s">
        <v>588</v>
      </c>
      <c r="N4" s="40" t="s">
        <v>589</v>
      </c>
      <c r="O4" s="41" t="str">
        <f>IF(M4="","",HYPERLINK(M4,B4))</f>
        <v>GOD SAINTS PHARMACEUTICALS LIMITED</v>
      </c>
    </row>
    <row r="5" spans="1:15" ht="39.75" customHeight="1">
      <c r="A5" s="3">
        <v>103</v>
      </c>
      <c r="B5" s="7" t="s">
        <v>590</v>
      </c>
      <c r="C5" s="10" t="s">
        <v>591</v>
      </c>
      <c r="D5" s="5" t="s">
        <v>592</v>
      </c>
      <c r="E5" s="6" t="s">
        <v>19</v>
      </c>
      <c r="F5" s="21">
        <v>44968</v>
      </c>
      <c r="G5" s="10" t="s">
        <v>20</v>
      </c>
      <c r="H5" s="20">
        <v>44968</v>
      </c>
      <c r="I5" s="4" t="s">
        <v>42</v>
      </c>
      <c r="J5" s="10" t="s">
        <v>43</v>
      </c>
      <c r="K5" s="37" t="str">
        <f>IF(I5="YES","CAPA VERIFICATION SHOULD BE SCHEDULED",IF(I5="NO","REMINDER LETTER SHOULD BE SENT",""))</f>
        <v>REMINDER LETTER SHOULD BE SENT</v>
      </c>
      <c r="L5" s="38">
        <v>45962</v>
      </c>
      <c r="M5" s="39" t="s">
        <v>593</v>
      </c>
      <c r="N5" s="42" t="s">
        <v>594</v>
      </c>
      <c r="O5" s="41" t="str">
        <f>IF(M5="","",HYPERLINK(M5,B5))</f>
        <v>JUSTINAK PHARMACY</v>
      </c>
    </row>
    <row r="6" spans="1:15" ht="39.75" customHeight="1">
      <c r="A6" s="3">
        <v>104</v>
      </c>
      <c r="B6" s="10" t="s">
        <v>595</v>
      </c>
      <c r="C6" s="10" t="s">
        <v>596</v>
      </c>
      <c r="D6" s="5" t="s">
        <v>597</v>
      </c>
      <c r="E6" s="6" t="s">
        <v>19</v>
      </c>
      <c r="F6" s="21">
        <v>44968</v>
      </c>
      <c r="G6" s="10" t="s">
        <v>20</v>
      </c>
      <c r="H6" s="20">
        <v>44968</v>
      </c>
      <c r="I6" s="4" t="s">
        <v>42</v>
      </c>
      <c r="J6" s="10" t="s">
        <v>43</v>
      </c>
      <c r="K6" s="37" t="str">
        <f>IF(I6="YES","CAPA VERIFICATION SHOULD BE SCHEDULED",IF(I6="NO","REMINDER LETTER SHOULD BE SENT",""))</f>
        <v>REMINDER LETTER SHOULD BE SENT</v>
      </c>
      <c r="L6" s="38">
        <v>45962</v>
      </c>
      <c r="M6" s="39" t="s">
        <v>598</v>
      </c>
      <c r="N6" s="42" t="s">
        <v>599</v>
      </c>
      <c r="O6" s="41" t="str">
        <f>IF(M6="","",HYPERLINK(M6,B6))</f>
        <v>INSPIRATION PHARMACY NIG.LIMITED</v>
      </c>
    </row>
  </sheetData>
  <mergeCells count="1">
    <mergeCell ref="A1:N1"/>
  </mergeCells>
  <conditionalFormatting sqref="I3:I6">
    <cfRule type="containsText" dxfId="15" priority="1" operator="containsText" text="NO">
      <formula>NOT(ISERROR(SEARCH("NO",I3)))</formula>
    </cfRule>
    <cfRule type="containsText" dxfId="14" priority="2" operator="containsText" text="YES">
      <formula>NOT(ISERROR(SEARCH("YES",I3)))</formula>
    </cfRule>
  </conditionalFormatting>
  <dataValidations count="1">
    <dataValidation type="list" allowBlank="1" showInputMessage="1" showErrorMessage="1" sqref="I3:I6" xr:uid="{B47942E1-8223-447A-814C-0E2E6D670FD4}">
      <formula1>"YES,NO,N/A"</formula1>
    </dataValidation>
  </dataValidations>
  <hyperlinks>
    <hyperlink ref="N3" r:id="rId1" xr:uid="{B264B937-70D4-4909-BB6B-44C2EEFF5066}"/>
    <hyperlink ref="N4" r:id="rId2" xr:uid="{50D1A782-5752-4D95-BDAB-218172EF79F4}"/>
    <hyperlink ref="N5" r:id="rId3" xr:uid="{D11A02DB-B8CA-44B7-9521-1F301490C6BE}"/>
    <hyperlink ref="N6" r:id="rId4" xr:uid="{4CDF2B12-5D2A-46D1-BF2E-2A246E4CBD71}"/>
  </hyperlinks>
  <pageMargins left="0.7" right="0.7" top="0.75" bottom="0.75" header="0.3" footer="0.3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63A50307184774BB7A9D49ED3BE5A05" ma:contentTypeVersion="21" ma:contentTypeDescription="Create a new document." ma:contentTypeScope="" ma:versionID="23f7b0a5d4bc6d1e0432684303cbd0cc">
  <xsd:schema xmlns:xsd="http://www.w3.org/2001/XMLSchema" xmlns:xs="http://www.w3.org/2001/XMLSchema" xmlns:p="http://schemas.microsoft.com/office/2006/metadata/properties" xmlns:ns2="b13d5edd-c324-4cc7-96f8-eb6094d850cb" xmlns:ns3="c21bd304-a54e-439b-a9ba-31413026572b" targetNamespace="http://schemas.microsoft.com/office/2006/metadata/properties" ma:root="true" ma:fieldsID="957fcf07f13de120429d3aaf4f2d4253" ns2:_="" ns3:_="">
    <xsd:import namespace="b13d5edd-c324-4cc7-96f8-eb6094d850cb"/>
    <xsd:import namespace="c21bd304-a54e-439b-a9ba-3141302657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ApprovalAssignedTo" minOccurs="0"/>
                <xsd:element ref="ns2:_ApprovalRespondedBy" minOccurs="0"/>
                <xsd:element ref="ns2:_ApprovalSentBy" minOccurs="0"/>
                <xsd:element ref="ns2:_ApprovalStatus" minOccurs="0"/>
                <xsd:element ref="ns2:MediaLengthInSeconds" minOccurs="0"/>
                <xsd:element ref="ns2:STATUS" minOccurs="0"/>
                <xsd:element ref="ns2:DATE" minOccurs="0"/>
                <xsd:element ref="ns2:GLSI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3d5edd-c324-4cc7-96f8-eb6094d85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ba725ea-f8e8-41c1-94f5-24b5de1ba3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pprovalAssignedTo" ma:index="19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0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1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2" nillable="true" ma:displayName="Approval status" ma:internalName="_ApprovalStatus" ma:readOnly="true">
      <xsd:simpleType>
        <xsd:restriction base="dms:Unknown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STATUS" ma:index="24" nillable="true" ma:displayName="STATUS" ma:format="Dropdown" ma:internalName="STATUS">
      <xsd:simpleType>
        <xsd:restriction base="dms:Choice">
          <xsd:enumeration value="Pending"/>
          <xsd:enumeration value="Approved"/>
          <xsd:enumeration value="Rejected"/>
        </xsd:restriction>
      </xsd:simpleType>
    </xsd:element>
    <xsd:element name="DATE" ma:index="25" nillable="true" ma:displayName="DATE" ma:format="DateOnly" ma:internalName="DATE">
      <xsd:simpleType>
        <xsd:restriction base="dms:DateTime"/>
      </xsd:simpleType>
    </xsd:element>
    <xsd:element name="GLSISTATUS" ma:index="26" nillable="true" ma:displayName="GLSI STATUS" ma:format="Dropdown" ma:internalName="GLSISTATUS">
      <xsd:simpleType>
        <xsd:restriction base="dms:Choice">
          <xsd:enumeration value="DISCONTINUED"/>
          <xsd:enumeration value="RECOMMENDED FOR SUSPENSION"/>
          <xsd:enumeration value="SUSPENDED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8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1bd304-a54e-439b-a9ba-31413026572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06c5e0a-eadb-46cd-89a2-074f48e70ec6}" ma:internalName="TaxCatchAll" ma:showField="CatchAllData" ma:web="c21bd304-a54e-439b-a9ba-31413026572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pprovalAssignedTo xmlns="b13d5edd-c324-4cc7-96f8-eb6094d850cb">
      <UserInfo>
        <DisplayName/>
        <AccountId xsi:nil="true"/>
        <AccountType/>
      </UserInfo>
    </_ApprovalAssignedTo>
    <_ApprovalRespondedBy xmlns="b13d5edd-c324-4cc7-96f8-eb6094d850cb">
      <UserInfo>
        <DisplayName/>
        <AccountId xsi:nil="true"/>
        <AccountType/>
      </UserInfo>
    </_ApprovalRespondedBy>
    <_ApprovalStatus xmlns="b13d5edd-c324-4cc7-96f8-eb6094d850cb">0</_ApprovalStatus>
    <STATUS xmlns="b13d5edd-c324-4cc7-96f8-eb6094d850cb" xsi:nil="true"/>
    <TaxCatchAll xmlns="c21bd304-a54e-439b-a9ba-31413026572b" xsi:nil="true"/>
    <lcf76f155ced4ddcb4097134ff3c332f xmlns="b13d5edd-c324-4cc7-96f8-eb6094d850cb">
      <Terms xmlns="http://schemas.microsoft.com/office/infopath/2007/PartnerControls"/>
    </lcf76f155ced4ddcb4097134ff3c332f>
    <_ApprovalSentBy xmlns="b13d5edd-c324-4cc7-96f8-eb6094d850cb">
      <UserInfo>
        <DisplayName/>
        <AccountId xsi:nil="true"/>
        <AccountType/>
      </UserInfo>
    </_ApprovalSentBy>
    <DATE xmlns="b13d5edd-c324-4cc7-96f8-eb6094d850cb" xsi:nil="true"/>
    <GLSISTATUS xmlns="b13d5edd-c324-4cc7-96f8-eb6094d850cb" xsi:nil="true"/>
  </documentManagement>
</p:properties>
</file>

<file path=customXml/itemProps1.xml><?xml version="1.0" encoding="utf-8"?>
<ds:datastoreItem xmlns:ds="http://schemas.openxmlformats.org/officeDocument/2006/customXml" ds:itemID="{00BAB061-5142-4CAA-88DD-4FAEBBC488F4}"/>
</file>

<file path=customXml/itemProps2.xml><?xml version="1.0" encoding="utf-8"?>
<ds:datastoreItem xmlns:ds="http://schemas.openxmlformats.org/officeDocument/2006/customXml" ds:itemID="{978611BB-AD7F-4429-BDDA-8165DCEECD9D}"/>
</file>

<file path=customXml/itemProps3.xml><?xml version="1.0" encoding="utf-8"?>
<ds:datastoreItem xmlns:ds="http://schemas.openxmlformats.org/officeDocument/2006/customXml" ds:itemID="{DB482C2F-E980-440D-8935-460A3331F0A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Enilama Oshoriamhe</cp:lastModifiedBy>
  <cp:revision/>
  <dcterms:created xsi:type="dcterms:W3CDTF">2025-12-13T14:37:34Z</dcterms:created>
  <dcterms:modified xsi:type="dcterms:W3CDTF">2026-09-14T09:46:28Z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0x010100163A50307184774BB7A9D49ED3BE5A05</vt:lpwstr>
  </property>
  <property fmtid="{D5CDD505-2E9C-101B-9397-08002B2CF9AE}" pid="3" name="MediaServiceImageTags">
    <vt:lpwstr/>
  </property>
  <property fmtid="{D5CDD505-2E9C-101B-9397-08002B2CF9AE}" pid="4" name="WorkbookGuid">
    <vt:lpwstr>5e828444-e702-410f-8497-676eb7f328f0</vt:lpwstr>
  </property>
</Properties>
</file>