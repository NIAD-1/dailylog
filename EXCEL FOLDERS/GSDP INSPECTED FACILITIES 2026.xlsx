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https://nafdacng.sharepoint.com/sites/PMSLAGOS/Shared Documents/GSDP (GOOD STORAGE AND DISTRIBUTION PRACTICE)/2026/"/>
    </mc:Choice>
  </mc:AlternateContent>
  <xr:revisionPtr revIDLastSave="800" documentId="11_9173D355E439D35F7E13C661AEC68E2766008DEF" xr6:coauthVersionLast="47" xr6:coauthVersionMax="47" xr10:uidLastSave="{B6F94AE4-F2F9-41C8-BB5B-9C8496991D1F}"/>
  <bookViews>
    <workbookView minimized="1" xWindow="6108" yWindow="5256" windowWidth="17280" windowHeight="7404" xr2:uid="{00000000-000D-0000-FFFF-FFFF00000000}"/>
  </bookViews>
  <sheets>
    <sheet name="INSPECTED FACILITIES 2026" sheetId="2" r:id="rId1"/>
    <sheet name="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B3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J6" i="2"/>
  <c r="J9" i="2"/>
  <c r="J4" i="2"/>
  <c r="J5" i="2"/>
  <c r="D3" i="3"/>
  <c r="G3" i="3"/>
  <c r="K4" i="2"/>
  <c r="K5" i="2"/>
  <c r="K6" i="2"/>
  <c r="K9" i="2"/>
  <c r="J10" i="2"/>
  <c r="K10" i="2"/>
  <c r="J11" i="2"/>
  <c r="K11" i="2"/>
  <c r="J12" i="2"/>
  <c r="K12" i="2"/>
  <c r="J13" i="2"/>
  <c r="K13" i="2"/>
  <c r="J15" i="2"/>
  <c r="K15" i="2"/>
  <c r="J17" i="2"/>
  <c r="K17" i="2"/>
  <c r="J19" i="2"/>
  <c r="K19" i="2"/>
  <c r="J22" i="2"/>
  <c r="K22" i="2"/>
  <c r="J23" i="2"/>
  <c r="K23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L4" i="2"/>
  <c r="L5" i="2"/>
  <c r="L6" i="2"/>
  <c r="L7" i="2"/>
  <c r="L8" i="2"/>
  <c r="L9" i="2"/>
  <c r="L10" i="2"/>
  <c r="L11" i="2"/>
  <c r="L12" i="2"/>
  <c r="L13" i="2"/>
  <c r="L14" i="2"/>
  <c r="L15" i="2"/>
  <c r="L17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L3" i="2"/>
  <c r="G4" i="3"/>
  <c r="G5" i="3"/>
  <c r="G6" i="3"/>
  <c r="G7" i="3"/>
  <c r="G8" i="3"/>
  <c r="G9" i="3"/>
  <c r="G10" i="3"/>
  <c r="G11" i="3"/>
  <c r="G12" i="3"/>
  <c r="G13" i="3"/>
  <c r="G14" i="3"/>
  <c r="F5" i="3"/>
  <c r="F6" i="3"/>
  <c r="F7" i="3"/>
  <c r="F8" i="3"/>
  <c r="F9" i="3"/>
  <c r="F10" i="3"/>
  <c r="F11" i="3"/>
  <c r="F12" i="3"/>
  <c r="F13" i="3"/>
  <c r="F14" i="3"/>
  <c r="F3" i="3"/>
  <c r="E4" i="3"/>
  <c r="E5" i="3"/>
  <c r="E6" i="3"/>
  <c r="E7" i="3"/>
  <c r="E8" i="3"/>
  <c r="E9" i="3"/>
  <c r="E10" i="3"/>
  <c r="E11" i="3"/>
  <c r="E12" i="3"/>
  <c r="E13" i="3"/>
  <c r="E14" i="3"/>
  <c r="E3" i="3"/>
  <c r="D4" i="3"/>
  <c r="D5" i="3"/>
  <c r="D6" i="3"/>
  <c r="D7" i="3"/>
  <c r="D8" i="3"/>
  <c r="D9" i="3"/>
  <c r="D10" i="3"/>
  <c r="D11" i="3"/>
  <c r="D12" i="3"/>
  <c r="D13" i="3"/>
  <c r="D14" i="3"/>
  <c r="C4" i="3"/>
  <c r="C5" i="3"/>
  <c r="C6" i="3"/>
  <c r="C7" i="3"/>
  <c r="C8" i="3"/>
  <c r="C9" i="3"/>
  <c r="C10" i="3"/>
  <c r="C11" i="3"/>
  <c r="C12" i="3"/>
  <c r="C13" i="3"/>
  <c r="C14" i="3"/>
  <c r="C3" i="3"/>
  <c r="B4" i="3"/>
  <c r="B5" i="3"/>
  <c r="B6" i="3"/>
  <c r="B7" i="3"/>
  <c r="B8" i="3"/>
  <c r="B9" i="3"/>
  <c r="B10" i="3"/>
  <c r="B11" i="3"/>
  <c r="B12" i="3"/>
  <c r="B13" i="3"/>
  <c r="B14" i="3"/>
</calcChain>
</file>

<file path=xl/sharedStrings.xml><?xml version="1.0" encoding="utf-8"?>
<sst xmlns="http://schemas.openxmlformats.org/spreadsheetml/2006/main" count="189" uniqueCount="106">
  <si>
    <t>GDP INSPECTION CLASSIFICATION DATA BASE AS AT 2026</t>
  </si>
  <si>
    <t>S/N</t>
  </si>
  <si>
    <t>NAME OF MANUFACTURER</t>
  </si>
  <si>
    <t>LOCATION ADDRESS</t>
  </si>
  <si>
    <t>CONTACT</t>
  </si>
  <si>
    <t>TYPE OF LAST INSPECTION</t>
  </si>
  <si>
    <t>DATE OF LAST INSPECTION</t>
  </si>
  <si>
    <t>FINDINGS</t>
  </si>
  <si>
    <t>DATE CAPA ISSUED</t>
  </si>
  <si>
    <t>CAPA SUBMITTED</t>
  </si>
  <si>
    <t>CONCLUSION</t>
  </si>
  <si>
    <t>REMARKS</t>
  </si>
  <si>
    <t>EXPECTED DATE OF INSPECTION</t>
  </si>
  <si>
    <t>COMPANY FILE</t>
  </si>
  <si>
    <t>JAWA NIG LTD</t>
  </si>
  <si>
    <t>PLOT 6, ABIMBOLA WAY, ISOLO IND ESTATE</t>
  </si>
  <si>
    <t>CEVI</t>
  </si>
  <si>
    <t>Low Risk (A)</t>
  </si>
  <si>
    <t>N/A</t>
  </si>
  <si>
    <t>CAPA CLOSED</t>
  </si>
  <si>
    <t>CONTINOUS MONITORING TO ENSURE COMPLIANCE</t>
  </si>
  <si>
    <t>SATISFACTORY</t>
  </si>
  <si>
    <t>Jawa Int;l Nig Ltd</t>
  </si>
  <si>
    <t>PANGENE BIOTECH PVT LTD</t>
  </si>
  <si>
    <t>64, BAYO OYEWALE STREET, AGO PALACE</t>
  </si>
  <si>
    <t>Medium Risk(B)</t>
  </si>
  <si>
    <t>NO</t>
  </si>
  <si>
    <t>Pangene Biotech PVT Ltd</t>
  </si>
  <si>
    <t>EMINENT DRUGS</t>
  </si>
  <si>
    <t>36, ODOGBOLU STREET, OFF ADETOLA STREET, AGUDA SURULERE LAGOS</t>
  </si>
  <si>
    <t>High Risk(C)</t>
  </si>
  <si>
    <t>EMINENT DRUGS PHARMACEUTICALS LTD</t>
  </si>
  <si>
    <t>ZIFAM PINNACLE NIG LTD</t>
  </si>
  <si>
    <t>30,ILUPEJU BY-PASS, BESIDE 1ST BANK , ILUPEJU</t>
  </si>
  <si>
    <t>ZIFAM PINNACLE NIGERIA LTD</t>
  </si>
  <si>
    <t>CHARTERHOUSE PHARM</t>
  </si>
  <si>
    <t>HSE PLOT 9, BLK C,CBD, NERDC STREET, ALAUSA IKEJA ,LAGOS</t>
  </si>
  <si>
    <t>CHARTERHOUSE</t>
  </si>
  <si>
    <t>NEIMETH INTERNATIONAL PHARMACEUTICALS PLC</t>
  </si>
  <si>
    <t>PLOT 16, AKANI DOHERTY LAYOUT, BILLINGS WAY, INDUSTRIAL ROAD, OREGUN,IKEJA</t>
  </si>
  <si>
    <t>NEIMETH</t>
  </si>
  <si>
    <t>EUROMED LTD</t>
  </si>
  <si>
    <t>16T,RAMAT CRESENT, OGUDU</t>
  </si>
  <si>
    <t>EUROMED</t>
  </si>
  <si>
    <t>HILLY PHARM LTD</t>
  </si>
  <si>
    <t>2, ODO STREET, OBALENDE, LAGOS STATE</t>
  </si>
  <si>
    <t>S &amp; S DUKE PHARM CO. LTD</t>
  </si>
  <si>
    <t>3, ADEBA ROAD,LAKOWE, IBEJU-LEKKI, LAGOS</t>
  </si>
  <si>
    <t>S&amp;S DUKE PHARMACEUTICALSCOLTD</t>
  </si>
  <si>
    <t>BENPAT PHARMACY</t>
  </si>
  <si>
    <t>32, LAGOS ROAD,EPE LAGOS</t>
  </si>
  <si>
    <t>KORLYNS PHARMACEUTICALS</t>
  </si>
  <si>
    <t>31B,ADEYEMI ADEOYE STREET, WASIMI PEACE ESTATE,OPPOSITE HEALTHCETER MARYLAND</t>
  </si>
  <si>
    <t>GSDP</t>
  </si>
  <si>
    <t>Korlyns Pharmacy</t>
  </si>
  <si>
    <t>BOLUKE PHARMACY</t>
  </si>
  <si>
    <t>69,OLD ABEOKUTA MOTOR ROAD, AGEGE,LAGOS</t>
  </si>
  <si>
    <t>Boluke Pharmacy</t>
  </si>
  <si>
    <t>HERBINCO PHARMACY LTD</t>
  </si>
  <si>
    <t>410,IKORODU ROAD, OJOTA,LAGOS</t>
  </si>
  <si>
    <t>Herbinco Pharmacy</t>
  </si>
  <si>
    <t>LINCO STAR PHARMACY</t>
  </si>
  <si>
    <t>7/29, OLUBUNMI ALONGE STREET, PAKO AGUDA B/STOP, SURULERE</t>
  </si>
  <si>
    <t>CONVERTED TO RETAIL PHARMACY</t>
  </si>
  <si>
    <t>MEMO SHOULD BE WRITTEN TO PCN</t>
  </si>
  <si>
    <t>ONWUADI AND SONS LTD</t>
  </si>
  <si>
    <t>11, ACHAKPO STREET, AJEGUNLE, LAGOS</t>
  </si>
  <si>
    <t>08028642459/08134148891</t>
  </si>
  <si>
    <t>ONWUADI AND SONS LIMITED</t>
  </si>
  <si>
    <t>DE-LAW PHARMACY</t>
  </si>
  <si>
    <t>67, ISHAGA ROAD, OPP LUTH, SURULERE,LAGOS</t>
  </si>
  <si>
    <t>SAM-SUNNY PHARMA AND STORE LTD</t>
  </si>
  <si>
    <t>183, OJO IGBEDE ROAD, AJANGBADI, LAGOS</t>
  </si>
  <si>
    <t>Sam Sunny Pharmacy &amp; Stores</t>
  </si>
  <si>
    <t>EVANS THERAPEUTICS</t>
  </si>
  <si>
    <t>24, ABIMBOLA STREET, ISOLO LAGOS</t>
  </si>
  <si>
    <t>Evans Therapeutics Limited</t>
  </si>
  <si>
    <t>ESTYBEE PHARM LTD</t>
  </si>
  <si>
    <t>AJARA VETHO, CHIEF POT JUNCTION,BADAGRY</t>
  </si>
  <si>
    <t>Estybee Pharma Ltd</t>
  </si>
  <si>
    <t>CHIDO PHARMACY</t>
  </si>
  <si>
    <t>37, ISOLO ROAD, MUSHIN LAGOS</t>
  </si>
  <si>
    <t>FAMOUS NIG CHEMIST</t>
  </si>
  <si>
    <t>1, OLORUNSOGO STREET, VIA AYANTUGA STREET, MUSHIN, LAGOS</t>
  </si>
  <si>
    <t>FAMOUS PHARMACY</t>
  </si>
  <si>
    <t>CHEV INTERNATIONAL LTD</t>
  </si>
  <si>
    <t>13, ADEYEMI STREET, OSHODI, LAGOS</t>
  </si>
  <si>
    <t>CHEV PHARMACY</t>
  </si>
  <si>
    <t>GSDP INSPECTIONS</t>
  </si>
  <si>
    <t>CEVI INSPECTIONS</t>
  </si>
  <si>
    <t xml:space="preserve">CAPA SUBMITTED </t>
  </si>
  <si>
    <t>LOW RISK</t>
  </si>
  <si>
    <t>MEDIUM RISK</t>
  </si>
  <si>
    <t>HIGH RISK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</si>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</sst>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sz val="11"/>
      <name val="Arial"/>
      <family val="2"/>
    </font>
    <font>
      <sz val="12"/>
      <color rgb="FF000000"/>
      <name val="Times New Roman"/>
      <charset val="1"/>
    </font>
    <font>
      <sz val="12"/>
      <color rgb="FF000000"/>
      <name val="Aptos Display"/>
      <charset val="1"/>
    </font>
    <font>
      <b/>
      <sz val="12"/>
      <color theme="0"/>
      <name val="Times New Roman"/>
      <family val="1"/>
    </font>
    <font>
      <sz val="11"/>
      <color theme="0"/>
      <name val="Aptos Narrow"/>
      <family val="2"/>
      <scheme val="minor"/>
    </font>
    <font>
      <sz val="12"/>
      <color rgb="FF000000"/>
      <name val="Times New Roman"/>
      <family val="1"/>
      <charset val="1"/>
    </font>
    <font>
      <sz val="11"/>
      <color rgb="FF000000"/>
      <name val="Arial"/>
      <family val="2"/>
      <charset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17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6" xfId="0" applyFont="1" applyBorder="1" applyAlignment="1">
      <alignment horizontal="left" vertical="top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0" fillId="0" borderId="7" xfId="0" applyNumberFormat="1" applyBorder="1" applyAlignment="1">
      <alignment horizontal="right" vertical="center"/>
    </xf>
    <xf numFmtId="0" fontId="1" fillId="0" borderId="6" xfId="1" applyBorder="1" applyAlignment="1">
      <alignment vertical="center"/>
    </xf>
    <xf numFmtId="0" fontId="3" fillId="0" borderId="6" xfId="0" applyFont="1" applyBorder="1" applyAlignment="1">
      <alignment vertical="center"/>
    </xf>
    <xf numFmtId="0" fontId="6" fillId="0" borderId="6" xfId="0" applyFont="1" applyBorder="1" applyAlignment="1">
      <alignment horizontal="left" vertical="top"/>
    </xf>
    <xf numFmtId="0" fontId="6" fillId="0" borderId="6" xfId="0" applyFont="1" applyBorder="1" applyAlignment="1">
      <alignment vertical="center"/>
    </xf>
    <xf numFmtId="0" fontId="0" fillId="0" borderId="6" xfId="0" applyBorder="1" applyAlignment="1">
      <alignment horizontal="left" vertical="top"/>
    </xf>
    <xf numFmtId="14" fontId="0" fillId="0" borderId="6" xfId="0" applyNumberFormat="1" applyBorder="1" applyAlignment="1">
      <alignment vertical="center"/>
    </xf>
    <xf numFmtId="0" fontId="5" fillId="0" borderId="6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1" fillId="0" borderId="6" xfId="1" applyFill="1" applyBorder="1" applyAlignment="1">
      <alignment vertical="center"/>
    </xf>
    <xf numFmtId="0" fontId="3" fillId="0" borderId="6" xfId="0" applyFont="1" applyBorder="1" applyAlignment="1">
      <alignment vertical="center" readingOrder="1"/>
    </xf>
    <xf numFmtId="0" fontId="3" fillId="0" borderId="6" xfId="0" applyFont="1" applyBorder="1" applyAlignment="1">
      <alignment horizontal="left" vertical="top" readingOrder="1"/>
    </xf>
    <xf numFmtId="0" fontId="6" fillId="0" borderId="6" xfId="0" applyFont="1" applyBorder="1" applyAlignment="1">
      <alignment vertical="center" readingOrder="1"/>
    </xf>
    <xf numFmtId="0" fontId="6" fillId="0" borderId="6" xfId="0" applyFont="1" applyBorder="1" applyAlignment="1">
      <alignment horizontal="left" vertical="top" readingOrder="1"/>
    </xf>
    <xf numFmtId="0" fontId="8" fillId="0" borderId="6" xfId="0" applyFont="1" applyBorder="1" applyAlignment="1">
      <alignment horizontal="left" vertical="top"/>
    </xf>
    <xf numFmtId="0" fontId="8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5" fillId="0" borderId="6" xfId="0" applyNumberFormat="1" applyFont="1" applyBorder="1" applyAlignment="1">
      <alignment horizontal="left" vertical="center"/>
    </xf>
    <xf numFmtId="164" fontId="0" fillId="0" borderId="8" xfId="0" applyNumberFormat="1" applyBorder="1" applyAlignment="1">
      <alignment vertical="center"/>
    </xf>
    <xf numFmtId="164" fontId="0" fillId="0" borderId="0" xfId="0" applyNumberFormat="1" applyAlignment="1">
      <alignment vertical="center" wrapText="1"/>
    </xf>
    <xf numFmtId="164" fontId="14" fillId="0" borderId="6" xfId="0" applyNumberFormat="1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 wrapText="1"/>
    </xf>
    <xf numFmtId="164" fontId="0" fillId="0" borderId="7" xfId="0" applyNumberFormat="1" applyBorder="1" applyAlignment="1">
      <alignment horizontal="right" vertical="center" wrapText="1"/>
    </xf>
    <xf numFmtId="0" fontId="1" fillId="0" borderId="0" xfId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vertical="center" wrapText="1"/>
    </xf>
    <xf numFmtId="0" fontId="1" fillId="0" borderId="6" xfId="1" applyBorder="1" applyAlignment="1">
      <alignment vertical="center" wrapText="1"/>
    </xf>
    <xf numFmtId="14" fontId="0" fillId="0" borderId="6" xfId="0" applyNumberForma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0" xfId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0" xfId="1" applyAlignment="1">
      <alignment vertical="center" wrapText="1"/>
    </xf>
    <xf numFmtId="0" fontId="0" fillId="0" borderId="5" xfId="0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14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8">
    <dxf>
      <numFmt numFmtId="0" formatCode="General"/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[$-F800]dddd\,\ mmmm\ dd\,\ yyyy"/>
      <fill>
        <patternFill patternType="none"/>
      </fill>
      <alignment horizontal="right" wrapText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[$-F800]dddd\,\ mmmm\ dd\,\ yyyy"/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top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wrapText="0"/>
    </dxf>
    <dxf>
      <font>
        <color theme="0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Of GSDP division Activities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GSDP INSPECTIONS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Data!$B$3:$B$14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8-40BA-953B-914DCD16BD46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CEVI INSPECTIONS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Data!$C$3:$C$14</c:f>
              <c:numCache>
                <c:formatCode>General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8-40BA-953B-914DCD16BD46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CAPA SUBMITTED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Data!$D$3:$D$14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E8-40BA-953B-914DCD16BD46}"/>
            </c:ext>
          </c:extLst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Data!$A$3:$A$14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Data!$E$3:$E$14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E8-40BA-953B-914DCD16BD46}"/>
            </c:ext>
          </c:extLst>
        </c:ser>
        <c:ser>
          <c:idx val="4"/>
          <c:order val="4"/>
          <c:tx>
            <c:strRef>
              <c:f>Data!$F$2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Data!$F$3:$F$14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E8-40BA-953B-914DCD16BD46}"/>
            </c:ext>
          </c:extLst>
        </c:ser>
        <c:ser>
          <c:idx val="5"/>
          <c:order val="5"/>
          <c:tx>
            <c:strRef>
              <c:f>Data!$G$2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Data!$G$3:$G$14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E8-40BA-953B-914DCD16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653767"/>
        <c:axId val="697655815"/>
      </c:barChart>
      <c:catAx>
        <c:axId val="697653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55815"/>
        <c:crosses val="autoZero"/>
        <c:auto val="1"/>
        <c:lblAlgn val="ctr"/>
        <c:lblOffset val="100"/>
        <c:noMultiLvlLbl val="0"/>
      </c:catAx>
      <c:valAx>
        <c:axId val="697655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53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16</xdr:row>
      <xdr:rowOff>161925</xdr:rowOff>
    </xdr:from>
    <xdr:to>
      <xdr:col>27</xdr:col>
      <xdr:colOff>342900</xdr:colOff>
      <xdr:row>39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65AC5-345D-B873-08DF-EEC15C1BD6FA}"/>
            </a:ext>
            <a:ext uri="{147F2762-F138-4A5C-976F-8EAC2B608ADB}">
              <a16:predDERef xmlns:a16="http://schemas.microsoft.com/office/drawing/2014/main" pred="{FCEA2161-23A8-1A2A-7677-43316FBC1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E20B0-70D7-4C6C-B50E-C5343B51A17C}" name="Table4" displayName="Table4" ref="A2:M108" totalsRowShown="0" headerRowDxfId="17" dataDxfId="16" headerRowBorderDxfId="14" tableBorderDxfId="15" totalsRowBorderDxfId="13">
  <autoFilter ref="A2:M108" xr:uid="{5F2E20B0-70D7-4C6C-B50E-C5343B51A17C}"/>
  <tableColumns count="13">
    <tableColumn id="1" xr3:uid="{ED41AC0B-275E-4881-B1A4-41A74FD44D8A}" name="S/N" dataDxfId="12">
      <calculatedColumnFormula>ROW() - ROW(Table4[[#Headers],[S/N]])</calculatedColumnFormula>
    </tableColumn>
    <tableColumn id="2" xr3:uid="{B3481321-8B8F-4FC3-8622-69FF4A78F2DD}" name="NAME OF MANUFACTURER" dataDxfId="11"/>
    <tableColumn id="3" xr3:uid="{E4CCB2E4-6A73-472D-80CB-20034C5EF9DE}" name="LOCATION ADDRESS" dataDxfId="10"/>
    <tableColumn id="4" xr3:uid="{000B7CCB-684F-4777-9558-9332A1BB616A}" name="CONTACT" dataDxfId="9"/>
    <tableColumn id="5" xr3:uid="{B1C36388-402B-4771-A7CC-BF84809B53AF}" name="TYPE OF LAST INSPECTION" dataDxfId="8"/>
    <tableColumn id="6" xr3:uid="{FC8186A7-311D-4625-A796-5ABDEE286B13}" name="DATE OF LAST INSPECTION" dataDxfId="7"/>
    <tableColumn id="7" xr3:uid="{E555EFED-D67D-44B7-8351-CAD5F1F7E8E0}" name="FINDINGS" dataDxfId="6"/>
    <tableColumn id="8" xr3:uid="{D9AE249C-72E5-44BE-A6F3-210708EF03B5}" name="DATE CAPA ISSUED" dataDxfId="5"/>
    <tableColumn id="9" xr3:uid="{92296A52-AC8F-4558-B077-EDABA7CB71C5}" name="CAPA SUBMITTED" dataDxfId="4"/>
    <tableColumn id="10" xr3:uid="{FA4B370D-2BB5-4BCA-AD3A-364DEAB81EB0}" name="CONCLUSION" dataDxfId="3">
      <calculatedColumnFormula>IF(I3="YES","CAPA VERIFICATION SHOULD BE SCHEDULED",IF(I3="NO","REMINDER LETTER SHOULD BE SENT",""))</calculatedColumnFormula>
    </tableColumn>
    <tableColumn id="11" xr3:uid="{52C9194E-FE44-4F32-9E6E-53F302E1022E}" name="REMARKS" dataDxfId="2">
      <calculatedColumnFormula>IF(I3="YES","CAPA SUBMITTED",IF(I3="NO","CAPA YET TO BE SUBMITTED",""))</calculatedColumnFormula>
    </tableColumn>
    <tableColumn id="12" xr3:uid="{5EE4E2DE-2C0B-4993-BAB8-7951984DB6DB}" name="EXPECTED DATE OF INSPECTION" dataDxfId="1">
      <calculatedColumnFormula>IF(G3="Low Risk (A)",EDATE(F3,24),
IF(G3="Medium Risk(B)",EDATE(F3,12),
IF(G3="High Risk(C)",EDATE(F3,6),"")))</calculatedColumnFormula>
    </tableColumn>
    <tableColumn id="15" xr3:uid="{F13C69B0-74C0-4E7F-BCD8-1EA2A24977A0}" name="COMPANY FIL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f:/s/PMSLAGOS/IgAgg73ofN5WR7389kH2yFG8AcSqFUfkFHyjnJg-lcYVWRQ?e=t8sFHv" TargetMode="External"/><Relationship Id="rId13" Type="http://schemas.openxmlformats.org/officeDocument/2006/relationships/hyperlink" Target="../../../../../:f:/s/PMSLAGOS/IgD_7HIxb70uTamWwinVmUzXAVobPcucp_7jRXs0LsWU6Ug?e=MdJ4Pl" TargetMode="External"/><Relationship Id="rId18" Type="http://schemas.openxmlformats.org/officeDocument/2006/relationships/hyperlink" Target="../../../../../:f:/s/PMSLAGOS/IgC-PDWnpcM-QYUuwl9Ep0IPASzZhJ-9s88DJg6WknOpxzc?e=4ilKA8" TargetMode="External"/><Relationship Id="rId3" Type="http://schemas.openxmlformats.org/officeDocument/2006/relationships/hyperlink" Target="../../../../../:f:/s/PMSLAGOS/IgDxrtercoevR56HmLKQ4XSEAT1-5JhbuUOwpBjMtdGZCYM?e=JXHTNU" TargetMode="External"/><Relationship Id="rId21" Type="http://schemas.openxmlformats.org/officeDocument/2006/relationships/hyperlink" Target="../../../../../:f:/s/PMSLAGOS/IgBK8SOvQmwuTIY7OlTCsKMfAYXH2hDaKVsoEhhnX5pAyjI?e=y1VeWt" TargetMode="External"/><Relationship Id="rId7" Type="http://schemas.openxmlformats.org/officeDocument/2006/relationships/hyperlink" Target="../../../../../:f:/s/PMSLAGOS/IgBcDJDTiS_0RaajjFPxnnWGAYeyCHy3nbvVG8IRsOGcuAc?e=poO3mF" TargetMode="External"/><Relationship Id="rId12" Type="http://schemas.openxmlformats.org/officeDocument/2006/relationships/hyperlink" Target="../../../../../:f:/s/PMSLAGOS/IgDlImsxd92oRJe3sw9BrNkEAWb3aq-6QOLq393OcVX5Qy4?e=L9bkxm" TargetMode="External"/><Relationship Id="rId17" Type="http://schemas.openxmlformats.org/officeDocument/2006/relationships/hyperlink" Target="../../../../../:f:/s/PMSLAGOS/IgBKhCDHGwtSRJpzkECwMYanARqRPjcW6tjPqsac9pjTWXI?e=qz4giL" TargetMode="External"/><Relationship Id="rId2" Type="http://schemas.openxmlformats.org/officeDocument/2006/relationships/hyperlink" Target="../../../../../:f:/s/PMSLAGOS/IgBnsKO2JD10SbgSHgy4U7LAAfW8F_s0gZdBVZ83Hvmxs10?e=CH3cBw" TargetMode="External"/><Relationship Id="rId16" Type="http://schemas.openxmlformats.org/officeDocument/2006/relationships/hyperlink" Target="../../../../../:f:/s/PMSLAGOS/IgCzq5CPFKpcQ6BhhL4t_YFyAY7BPqsb4xEOwm2eZKjBlOo?e=Saj7sh" TargetMode="External"/><Relationship Id="rId20" Type="http://schemas.openxmlformats.org/officeDocument/2006/relationships/hyperlink" Target="../../../../../:f:/s/PMSLAGOS/IgBNTrE7avRDR4mPGHl70TJVAYxgHs82sC33fxQJB8yr2TY?e=ORHboT" TargetMode="External"/><Relationship Id="rId1" Type="http://schemas.openxmlformats.org/officeDocument/2006/relationships/hyperlink" Target="../../../../../:f:/s/PMSLAGOS/IgDhopYhtQRrRZZbPpAo_ttfAWGQNnWdseLqtEM1fFTvaDM?e=adT0jr" TargetMode="External"/><Relationship Id="rId6" Type="http://schemas.openxmlformats.org/officeDocument/2006/relationships/hyperlink" Target="../../../../../:f:/s/PMSLAGOS/IgAKnGm86g5tR6sQAhIer8kYAR0B5pgJHizuzcF8neRD_08?e=s5qA9P" TargetMode="External"/><Relationship Id="rId11" Type="http://schemas.openxmlformats.org/officeDocument/2006/relationships/hyperlink" Target="../../../../../:f:/s/PMSLAGOS/IgBwrhwoG-roSrCxbgeSY4MAAUMMwkiV2GkLhiyK0S9M6gA?e=zNF52k" TargetMode="External"/><Relationship Id="rId5" Type="http://schemas.openxmlformats.org/officeDocument/2006/relationships/hyperlink" Target="../../../../../:f:/s/PMSLAGOS/IgAZCIq_FW9YQY_NzxoPSh3BAVuSsUq5a08TjuWokIGr0Vs?e=3exKdN" TargetMode="External"/><Relationship Id="rId15" Type="http://schemas.openxmlformats.org/officeDocument/2006/relationships/hyperlink" Target="../../../../../:f:/s/PMSLAGOS/IgCc9LqamzVWRJHknXriph_WAZiaFWnmwFbIltu1D1vkUN4?e=46kzzz" TargetMode="External"/><Relationship Id="rId10" Type="http://schemas.openxmlformats.org/officeDocument/2006/relationships/hyperlink" Target="../../../../../:f:/s/PMSLAGOS/IgAHRE_ahEHAQoC2uXtRQ4mXAXzYyVj_lYcswKvVon99dzs?e=OjWUWY" TargetMode="External"/><Relationship Id="rId19" Type="http://schemas.openxmlformats.org/officeDocument/2006/relationships/hyperlink" Target="../../../../../:f:/s/PMSLAGOS/IgAZyThYmTc2TZMbh952xMjGAULmhhxY9jTKkFjLyYi6iog?e=yAzYqQ" TargetMode="External"/><Relationship Id="rId4" Type="http://schemas.openxmlformats.org/officeDocument/2006/relationships/hyperlink" Target="../../../../../:f:/s/PMSLAGOS/IgBDYXDXyUpTQYYIK7RzvfmJAVWeged0tDi2YvKMwpDysPc?e=mmJ2D5" TargetMode="External"/><Relationship Id="rId9" Type="http://schemas.openxmlformats.org/officeDocument/2006/relationships/hyperlink" Target="../../../../../:f:/s/PMSLAGOS/IgCZRHq-Zef7TbU8Pc68H5eyAesZNcFK-Scntftol8qHfFg?e=i8aaD4" TargetMode="External"/><Relationship Id="rId14" Type="http://schemas.openxmlformats.org/officeDocument/2006/relationships/hyperlink" Target="../../../../../:f:/s/PMSLAGOS/IgCCiWcGVrfxSbkuWLudqIlzAZIIkU1CWhYfsL6U10neX58?e=IaEyoo" TargetMode="External"/><Relationship Id="rId2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8B09-192F-4B07-A3FB-83303724A79B}">
  <dimension ref="A1:N108"/>
  <sheetViews>
    <sheetView tabSelected="1" workbookViewId="0">
      <selection activeCell="B3" sqref="B3"/>
    </sheetView>
  </sheetViews>
  <sheetFormatPr defaultColWidth="8.85546875" defaultRowHeight="14.45"/>
  <cols>
    <col min="1" max="1" width="7" style="1" customWidth="1"/>
    <col min="2" max="2" width="28.5703125" style="5" customWidth="1"/>
    <col min="3" max="3" width="23.140625" style="6" customWidth="1"/>
    <col min="4" max="4" width="15" style="6" customWidth="1"/>
    <col min="5" max="5" width="9.42578125" style="6" customWidth="1"/>
    <col min="6" max="6" width="15.7109375" style="68" customWidth="1"/>
    <col min="7" max="7" width="20.5703125" style="6" customWidth="1"/>
    <col min="8" max="8" width="27.5703125" style="41" customWidth="1"/>
    <col min="9" max="9" width="17.42578125" style="6" customWidth="1"/>
    <col min="10" max="10" width="22.42578125" style="6" customWidth="1"/>
    <col min="11" max="11" width="35.42578125" style="6" customWidth="1"/>
    <col min="12" max="12" width="33.5703125" style="7" customWidth="1"/>
    <col min="13" max="13" width="49" style="6" customWidth="1"/>
    <col min="14" max="14" width="32.7109375" style="1" customWidth="1"/>
    <col min="15" max="16384" width="8.85546875" style="1"/>
  </cols>
  <sheetData>
    <row r="1" spans="1:14" ht="17.4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</row>
    <row r="2" spans="1:14" s="37" customFormat="1" ht="78">
      <c r="A2" s="32" t="s">
        <v>1</v>
      </c>
      <c r="B2" s="33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4" t="s">
        <v>10</v>
      </c>
      <c r="K2" s="35" t="s">
        <v>11</v>
      </c>
      <c r="L2" s="36" t="s">
        <v>12</v>
      </c>
      <c r="M2" s="35" t="s">
        <v>13</v>
      </c>
    </row>
    <row r="3" spans="1:14" ht="49.5" customHeight="1">
      <c r="A3" s="2">
        <f>ROW() - ROW(Table4[[#Headers],[S/N]])</f>
        <v>1</v>
      </c>
      <c r="B3" s="44" t="s">
        <v>14</v>
      </c>
      <c r="C3" s="45" t="s">
        <v>15</v>
      </c>
      <c r="D3" s="43">
        <v>9138839644</v>
      </c>
      <c r="E3" s="43" t="s">
        <v>16</v>
      </c>
      <c r="F3" s="55">
        <v>46041</v>
      </c>
      <c r="G3" s="47" t="s">
        <v>17</v>
      </c>
      <c r="H3" s="48" t="s">
        <v>18</v>
      </c>
      <c r="I3" s="47" t="s">
        <v>19</v>
      </c>
      <c r="J3" s="43" t="s">
        <v>20</v>
      </c>
      <c r="K3" s="43" t="s">
        <v>21</v>
      </c>
      <c r="L3" s="49">
        <f t="shared" ref="L3:L15" si="0">IF(G3="Low Risk (A)",EDATE(F3,24),
IF(G3="Medium Risk(B)",EDATE(F3,12),
IF(G3="High Risk(C)",EDATE(F3,6),"")))</f>
        <v>46771</v>
      </c>
      <c r="M3" s="50" t="s">
        <v>22</v>
      </c>
      <c r="N3" s="3"/>
    </row>
    <row r="4" spans="1:14" ht="59.25" customHeight="1">
      <c r="A4" s="2">
        <f>ROW() - ROW(Table4[[#Headers],[S/N]])</f>
        <v>2</v>
      </c>
      <c r="B4" s="44" t="s">
        <v>23</v>
      </c>
      <c r="C4" s="51" t="s">
        <v>24</v>
      </c>
      <c r="D4" s="43">
        <v>7030942842</v>
      </c>
      <c r="E4" s="43" t="s">
        <v>16</v>
      </c>
      <c r="F4" s="55">
        <v>46041</v>
      </c>
      <c r="G4" s="47" t="s">
        <v>25</v>
      </c>
      <c r="H4" s="48">
        <v>46065</v>
      </c>
      <c r="I4" s="47" t="s">
        <v>26</v>
      </c>
      <c r="J4" s="43" t="str">
        <f>IF(I4="YES","CAPA VERIFICATION SHOULD BE SCHEDULED",IF(I4="NO","REMINDER LETTER SHOULD BE SENT",""))</f>
        <v>REMINDER LETTER SHOULD BE SENT</v>
      </c>
      <c r="K4" s="43" t="str">
        <f>IF(I4="YES","CAPA SUBMITTED",IF(I4="NO","CAPA YET TO BE SUBMITTED",""))</f>
        <v>CAPA YET TO BE SUBMITTED</v>
      </c>
      <c r="L4" s="49">
        <f t="shared" si="0"/>
        <v>46406</v>
      </c>
      <c r="M4" s="50" t="s">
        <v>27</v>
      </c>
      <c r="N4" s="3"/>
    </row>
    <row r="5" spans="1:14" ht="78">
      <c r="A5" s="2">
        <f>ROW() - ROW(Table4[[#Headers],[S/N]])</f>
        <v>3</v>
      </c>
      <c r="B5" s="56" t="s">
        <v>28</v>
      </c>
      <c r="C5" s="53" t="s">
        <v>29</v>
      </c>
      <c r="D5" s="43">
        <v>8162446323</v>
      </c>
      <c r="E5" s="43" t="s">
        <v>16</v>
      </c>
      <c r="F5" s="55">
        <v>46042</v>
      </c>
      <c r="G5" s="47" t="s">
        <v>30</v>
      </c>
      <c r="H5" s="48">
        <v>46065</v>
      </c>
      <c r="I5" s="47" t="s">
        <v>26</v>
      </c>
      <c r="J5" s="43" t="str">
        <f>IF(I5="YES","CAPA VERIFICATION SHOULD BE SCHEDULED",IF(I5="NO","REMINDER LETTER SHOULD BE SENT",""))</f>
        <v>REMINDER LETTER SHOULD BE SENT</v>
      </c>
      <c r="K5" s="43" t="str">
        <f>IF(I5="YES","CAPA SUBMITTED",IF(I5="NO","CAPA YET TO BE SUBMITTED",""))</f>
        <v>CAPA YET TO BE SUBMITTED</v>
      </c>
      <c r="L5" s="49">
        <f t="shared" si="0"/>
        <v>46223</v>
      </c>
      <c r="M5" s="50" t="s">
        <v>31</v>
      </c>
    </row>
    <row r="6" spans="1:14" ht="46.9">
      <c r="A6" s="2">
        <f>ROW() - ROW(Table4[[#Headers],[S/N]])</f>
        <v>4</v>
      </c>
      <c r="B6" s="56" t="s">
        <v>32</v>
      </c>
      <c r="C6" s="51" t="s">
        <v>33</v>
      </c>
      <c r="D6" s="43">
        <v>8142406202</v>
      </c>
      <c r="E6" s="43" t="s">
        <v>16</v>
      </c>
      <c r="F6" s="55">
        <v>46042</v>
      </c>
      <c r="G6" s="47" t="s">
        <v>17</v>
      </c>
      <c r="H6" s="48" t="s">
        <v>18</v>
      </c>
      <c r="I6" s="47"/>
      <c r="J6" s="43" t="str">
        <f>IF(I6="YES","CAPA VERIFICATION SHOULD BE SCHEDULED",IF(I6="NO","REMINDER LETTER SHOULD BE SENT",""))</f>
        <v/>
      </c>
      <c r="K6" s="43" t="str">
        <f>IF(I6="YES","CAPA SUBMITTED",IF(I6="NO","CAPA YET TO BE SUBMITTED",""))</f>
        <v/>
      </c>
      <c r="L6" s="49">
        <f t="shared" si="0"/>
        <v>46772</v>
      </c>
      <c r="M6" s="57" t="s">
        <v>34</v>
      </c>
    </row>
    <row r="7" spans="1:14" ht="62.45">
      <c r="A7" s="2">
        <f>ROW() - ROW(Table4[[#Headers],[S/N]])</f>
        <v>5</v>
      </c>
      <c r="B7" s="58" t="s">
        <v>35</v>
      </c>
      <c r="C7" s="51" t="s">
        <v>36</v>
      </c>
      <c r="D7" s="43">
        <v>8068951913</v>
      </c>
      <c r="E7" s="43" t="s">
        <v>16</v>
      </c>
      <c r="F7" s="55">
        <v>46043</v>
      </c>
      <c r="G7" s="47" t="s">
        <v>25</v>
      </c>
      <c r="H7" s="48" t="s">
        <v>18</v>
      </c>
      <c r="I7" s="47" t="s">
        <v>19</v>
      </c>
      <c r="J7" s="43" t="s">
        <v>20</v>
      </c>
      <c r="K7" s="43" t="s">
        <v>21</v>
      </c>
      <c r="L7" s="49">
        <f t="shared" si="0"/>
        <v>46408</v>
      </c>
      <c r="M7" s="59" t="s">
        <v>37</v>
      </c>
      <c r="N7" s="3"/>
    </row>
    <row r="8" spans="1:14" ht="78">
      <c r="A8" s="2">
        <f>ROW() - ROW(Table4[[#Headers],[S/N]])</f>
        <v>6</v>
      </c>
      <c r="B8" s="56" t="s">
        <v>38</v>
      </c>
      <c r="C8" s="51" t="s">
        <v>39</v>
      </c>
      <c r="D8" s="43">
        <v>8068261772</v>
      </c>
      <c r="E8" s="43" t="s">
        <v>16</v>
      </c>
      <c r="F8" s="55">
        <v>46043</v>
      </c>
      <c r="G8" s="47" t="s">
        <v>25</v>
      </c>
      <c r="H8" s="48" t="s">
        <v>18</v>
      </c>
      <c r="I8" s="47" t="s">
        <v>19</v>
      </c>
      <c r="J8" s="43" t="s">
        <v>20</v>
      </c>
      <c r="K8" s="43" t="s">
        <v>21</v>
      </c>
      <c r="L8" s="49">
        <f t="shared" si="0"/>
        <v>46408</v>
      </c>
      <c r="M8" s="59" t="s">
        <v>40</v>
      </c>
      <c r="N8" s="4"/>
    </row>
    <row r="9" spans="1:14" ht="31.15">
      <c r="A9" s="2">
        <f>ROW() - ROW(Table4[[#Headers],[S/N]])</f>
        <v>7</v>
      </c>
      <c r="B9" s="56" t="s">
        <v>41</v>
      </c>
      <c r="C9" s="51" t="s">
        <v>42</v>
      </c>
      <c r="D9" s="43">
        <v>7030980082</v>
      </c>
      <c r="E9" s="43" t="s">
        <v>16</v>
      </c>
      <c r="F9" s="55">
        <v>46043</v>
      </c>
      <c r="G9" s="47" t="s">
        <v>25</v>
      </c>
      <c r="H9" s="46">
        <v>46065</v>
      </c>
      <c r="I9" s="43" t="s">
        <v>26</v>
      </c>
      <c r="J9" s="43" t="str">
        <f>IF(I9="YES","CAPA VERIFICATION SHOULD BE SCHEDULED",IF(I9="NO","REMINDER LETTER SHOULD BE SENT",""))</f>
        <v>REMINDER LETTER SHOULD BE SENT</v>
      </c>
      <c r="K9" s="43" t="str">
        <f>IF(I9="YES","CAPA SUBMITTED",IF(I9="NO","CAPA YET TO BE SUBMITTED",""))</f>
        <v>CAPA YET TO BE SUBMITTED</v>
      </c>
      <c r="L9" s="49">
        <f t="shared" si="0"/>
        <v>46408</v>
      </c>
      <c r="M9" s="59" t="s">
        <v>43</v>
      </c>
      <c r="N9" s="3"/>
    </row>
    <row r="10" spans="1:14" s="6" customFormat="1" ht="46.9">
      <c r="A10" s="60">
        <f>ROW() - ROW(Table4[[#Headers],[S/N]])</f>
        <v>8</v>
      </c>
      <c r="B10" s="52" t="s">
        <v>44</v>
      </c>
      <c r="C10" s="51" t="s">
        <v>45</v>
      </c>
      <c r="D10" s="43">
        <v>7071894534</v>
      </c>
      <c r="E10" s="43" t="s">
        <v>16</v>
      </c>
      <c r="F10" s="55">
        <v>46044</v>
      </c>
      <c r="G10" s="47" t="s">
        <v>30</v>
      </c>
      <c r="H10" s="48">
        <v>46065</v>
      </c>
      <c r="I10" s="43" t="s">
        <v>26</v>
      </c>
      <c r="J10" s="43" t="str">
        <f>IF(I10="YES","CAPA VERIFICATION SHOULD BE SCHEDULED",IF(I10="NO","REMINDER LETTER SHOULD BE SENT",""))</f>
        <v>REMINDER LETTER SHOULD BE SENT</v>
      </c>
      <c r="K10" s="43" t="str">
        <f>IF(I10="YES","CAPA SUBMITTED",IF(I10="NO","CAPA YET TO BE SUBMITTED",""))</f>
        <v>CAPA YET TO BE SUBMITTED</v>
      </c>
      <c r="L10" s="49">
        <f t="shared" si="0"/>
        <v>46225</v>
      </c>
      <c r="M10" s="54"/>
    </row>
    <row r="11" spans="1:14" ht="46.9">
      <c r="A11" s="2">
        <f>ROW() - ROW(Table4[[#Headers],[S/N]])</f>
        <v>9</v>
      </c>
      <c r="B11" s="61" t="s">
        <v>46</v>
      </c>
      <c r="C11" s="61" t="s">
        <v>47</v>
      </c>
      <c r="D11" s="62">
        <v>8099000436</v>
      </c>
      <c r="E11" s="43" t="s">
        <v>16</v>
      </c>
      <c r="F11" s="55">
        <v>46069</v>
      </c>
      <c r="G11" s="47" t="s">
        <v>25</v>
      </c>
      <c r="H11" s="48">
        <v>46090</v>
      </c>
      <c r="I11" s="43" t="s">
        <v>26</v>
      </c>
      <c r="J11" s="43" t="str">
        <f>IF(I11="YES","CAPA VERIFICATION SHOULD BE SCHEDULED",IF(I11="NO","REMINDER LETTER SHOULD BE SENT",""))</f>
        <v>REMINDER LETTER SHOULD BE SENT</v>
      </c>
      <c r="K11" s="43" t="str">
        <f>IF(I11="YES","CAPA SUBMITTED",IF(I11="NO","CAPA YET TO BE SUBMITTED",""))</f>
        <v>CAPA YET TO BE SUBMITTED</v>
      </c>
      <c r="L11" s="49">
        <f t="shared" si="0"/>
        <v>46434</v>
      </c>
      <c r="M11" s="59" t="s">
        <v>48</v>
      </c>
      <c r="N11" s="3"/>
    </row>
    <row r="12" spans="1:14" ht="31.15">
      <c r="A12" s="2">
        <f>ROW() - ROW(Table4[[#Headers],[S/N]])</f>
        <v>10</v>
      </c>
      <c r="B12" s="61" t="s">
        <v>49</v>
      </c>
      <c r="C12" s="61" t="s">
        <v>50</v>
      </c>
      <c r="D12" s="43">
        <v>7040511193</v>
      </c>
      <c r="E12" s="43" t="s">
        <v>16</v>
      </c>
      <c r="F12" s="55">
        <v>46069</v>
      </c>
      <c r="G12" s="47" t="s">
        <v>25</v>
      </c>
      <c r="H12" s="48">
        <v>46090</v>
      </c>
      <c r="I12" s="43" t="s">
        <v>26</v>
      </c>
      <c r="J12" s="43" t="str">
        <f>IF(I12="YES","CAPA VERIFICATION SHOULD BE SCHEDULED",IF(I12="NO","REMINDER LETTER SHOULD BE SENT",""))</f>
        <v>REMINDER LETTER SHOULD BE SENT</v>
      </c>
      <c r="K12" s="43" t="str">
        <f>IF(I12="YES","CAPA SUBMITTED",IF(I12="NO","CAPA YET TO BE SUBMITTED",""))</f>
        <v>CAPA YET TO BE SUBMITTED</v>
      </c>
      <c r="L12" s="49">
        <f t="shared" si="0"/>
        <v>46434</v>
      </c>
      <c r="M12" s="59" t="s">
        <v>49</v>
      </c>
      <c r="N12" s="4"/>
    </row>
    <row r="13" spans="1:14" ht="93.6">
      <c r="A13" s="2">
        <f>ROW() - ROW(Table4[[#Headers],[S/N]])</f>
        <v>11</v>
      </c>
      <c r="B13" s="61" t="s">
        <v>51</v>
      </c>
      <c r="C13" s="61" t="s">
        <v>52</v>
      </c>
      <c r="D13" s="43">
        <v>8123173544</v>
      </c>
      <c r="E13" s="43" t="s">
        <v>53</v>
      </c>
      <c r="F13" s="55">
        <v>46069</v>
      </c>
      <c r="G13" s="47" t="s">
        <v>17</v>
      </c>
      <c r="H13" s="48">
        <v>46090</v>
      </c>
      <c r="I13" s="43" t="s">
        <v>26</v>
      </c>
      <c r="J13" s="43" t="str">
        <f>IF(I13="YES","CAPA VERIFICATION SHOULD BE SCHEDULED",IF(I13="NO","REMINDER LETTER SHOULD BE SENT",""))</f>
        <v>REMINDER LETTER SHOULD BE SENT</v>
      </c>
      <c r="K13" s="43" t="str">
        <f>IF(I13="YES","CAPA SUBMITTED",IF(I13="NO","CAPA YET TO BE SUBMITTED",""))</f>
        <v>CAPA YET TO BE SUBMITTED</v>
      </c>
      <c r="L13" s="49">
        <f t="shared" si="0"/>
        <v>46799</v>
      </c>
      <c r="M13" s="59" t="s">
        <v>54</v>
      </c>
      <c r="N13" s="4"/>
    </row>
    <row r="14" spans="1:14" ht="46.9">
      <c r="A14" s="2">
        <f>ROW() - ROW(Table4[[#Headers],[S/N]])</f>
        <v>12</v>
      </c>
      <c r="B14" s="56" t="s">
        <v>55</v>
      </c>
      <c r="C14" s="53" t="s">
        <v>56</v>
      </c>
      <c r="D14" s="43">
        <v>8151312824</v>
      </c>
      <c r="E14" s="43" t="s">
        <v>16</v>
      </c>
      <c r="F14" s="55">
        <v>46069</v>
      </c>
      <c r="G14" s="47" t="s">
        <v>17</v>
      </c>
      <c r="H14" s="48" t="s">
        <v>18</v>
      </c>
      <c r="I14" s="47" t="s">
        <v>19</v>
      </c>
      <c r="J14" s="43" t="s">
        <v>20</v>
      </c>
      <c r="K14" s="43" t="s">
        <v>21</v>
      </c>
      <c r="L14" s="49">
        <f t="shared" si="0"/>
        <v>46799</v>
      </c>
      <c r="M14" s="59" t="s">
        <v>57</v>
      </c>
    </row>
    <row r="15" spans="1:14" ht="31.15">
      <c r="A15" s="2">
        <f>ROW() - ROW(Table4[[#Headers],[S/N]])</f>
        <v>13</v>
      </c>
      <c r="B15" s="56" t="s">
        <v>58</v>
      </c>
      <c r="C15" s="53" t="s">
        <v>59</v>
      </c>
      <c r="D15" s="43">
        <v>8034973192</v>
      </c>
      <c r="E15" s="43" t="s">
        <v>16</v>
      </c>
      <c r="F15" s="55">
        <v>46069</v>
      </c>
      <c r="G15" s="47" t="s">
        <v>30</v>
      </c>
      <c r="H15" s="48"/>
      <c r="I15" s="43"/>
      <c r="J15" s="43" t="str">
        <f>IF(I15="YES","CAPA VERIFICATION SHOULD BE SCHEDULED",IF(I15="NO","REMINDER LETTER SHOULD BE SENT",""))</f>
        <v/>
      </c>
      <c r="K15" s="43" t="str">
        <f>IF(I15="YES","CAPA SUBMITTED",IF(I15="NO","CAPA YET TO BE SUBMITTED",""))</f>
        <v/>
      </c>
      <c r="L15" s="49">
        <f t="shared" si="0"/>
        <v>46250</v>
      </c>
      <c r="M15" s="59" t="s">
        <v>60</v>
      </c>
    </row>
    <row r="16" spans="1:14" ht="62.45">
      <c r="A16" s="2">
        <f>ROW() - ROW(Table4[[#Headers],[S/N]])</f>
        <v>14</v>
      </c>
      <c r="B16" s="56" t="s">
        <v>61</v>
      </c>
      <c r="C16" s="53" t="s">
        <v>62</v>
      </c>
      <c r="D16" s="43">
        <v>9045568856</v>
      </c>
      <c r="E16" s="43" t="s">
        <v>16</v>
      </c>
      <c r="F16" s="55">
        <v>46070</v>
      </c>
      <c r="G16" s="48" t="s">
        <v>18</v>
      </c>
      <c r="H16" s="42" t="s">
        <v>63</v>
      </c>
      <c r="I16" s="43" t="s">
        <v>18</v>
      </c>
      <c r="J16" s="43" t="s">
        <v>64</v>
      </c>
      <c r="K16" s="43" t="s">
        <v>21</v>
      </c>
      <c r="L16" s="49" t="s">
        <v>18</v>
      </c>
      <c r="M16" s="59" t="s">
        <v>61</v>
      </c>
      <c r="N16" s="3"/>
    </row>
    <row r="17" spans="1:14" ht="46.9">
      <c r="A17" s="2">
        <f>ROW() - ROW(Table4[[#Headers],[S/N]])</f>
        <v>15</v>
      </c>
      <c r="B17" s="56" t="s">
        <v>65</v>
      </c>
      <c r="C17" s="53" t="s">
        <v>66</v>
      </c>
      <c r="D17" s="43" t="s">
        <v>67</v>
      </c>
      <c r="E17" s="43" t="s">
        <v>16</v>
      </c>
      <c r="F17" s="55">
        <v>46070</v>
      </c>
      <c r="G17" s="47" t="s">
        <v>30</v>
      </c>
      <c r="H17" s="42" t="s">
        <v>63</v>
      </c>
      <c r="I17" s="43"/>
      <c r="J17" s="43" t="str">
        <f>IF(I17="YES","CAPA VERIFICATION SHOULD BE SCHEDULED",IF(I17="NO","REMINDER LETTER SHOULD BE SENT",""))</f>
        <v/>
      </c>
      <c r="K17" s="43" t="str">
        <f>IF(I17="YES","CAPA SUBMITTED",IF(I17="NO","CAPA YET TO BE SUBMITTED",""))</f>
        <v/>
      </c>
      <c r="L17" s="49">
        <f>IF(G17="Low Risk (A)",EDATE(F17,24),
IF(G17="Medium Risk(B)",EDATE(F17,12),
IF(G17="High Risk(C)",EDATE(F17,6),"")))</f>
        <v>46251</v>
      </c>
      <c r="M17" s="59" t="s">
        <v>68</v>
      </c>
    </row>
    <row r="18" spans="1:14" ht="46.9">
      <c r="A18" s="2">
        <f>ROW() - ROW(Table4[[#Headers],[S/N]])</f>
        <v>16</v>
      </c>
      <c r="B18" s="58" t="s">
        <v>69</v>
      </c>
      <c r="C18" s="51" t="s">
        <v>70</v>
      </c>
      <c r="D18" s="43">
        <v>7018687107</v>
      </c>
      <c r="E18" s="43" t="s">
        <v>16</v>
      </c>
      <c r="F18" s="55">
        <v>46070</v>
      </c>
      <c r="G18" s="48" t="s">
        <v>18</v>
      </c>
      <c r="H18" s="42" t="s">
        <v>63</v>
      </c>
      <c r="I18" s="43" t="s">
        <v>18</v>
      </c>
      <c r="J18" s="43" t="s">
        <v>64</v>
      </c>
      <c r="K18" s="43" t="s">
        <v>21</v>
      </c>
      <c r="L18" s="49" t="s">
        <v>18</v>
      </c>
      <c r="M18" s="59" t="s">
        <v>69</v>
      </c>
    </row>
    <row r="19" spans="1:14" ht="46.9">
      <c r="A19" s="2">
        <f>ROW() - ROW(Table4[[#Headers],[S/N]])</f>
        <v>17</v>
      </c>
      <c r="B19" s="56" t="s">
        <v>71</v>
      </c>
      <c r="C19" s="53" t="s">
        <v>72</v>
      </c>
      <c r="D19" s="43">
        <v>8167258446</v>
      </c>
      <c r="E19" s="43" t="s">
        <v>16</v>
      </c>
      <c r="F19" s="55">
        <v>46070</v>
      </c>
      <c r="G19" s="47" t="s">
        <v>25</v>
      </c>
      <c r="H19" s="48"/>
      <c r="I19" s="43"/>
      <c r="J19" s="43" t="str">
        <f>IF(I19="YES","CAPA VERIFICATION SHOULD BE SCHEDULED",IF(I19="NO","REMINDER LETTER SHOULD BE SENT",""))</f>
        <v/>
      </c>
      <c r="K19" s="43" t="str">
        <f>IF(I19="YES","CAPA SUBMITTED",IF(I19="NO","CAPA YET TO BE SUBMITTED",""))</f>
        <v/>
      </c>
      <c r="L19" s="49">
        <f t="shared" ref="L19:L50" si="1">IF(G19="Low Risk (A)",EDATE(F19,24),
IF(G19="Medium Risk(B)",EDATE(F19,12),
IF(G19="High Risk(C)",EDATE(F19,6),"")))</f>
        <v>46435</v>
      </c>
      <c r="M19" s="59" t="s">
        <v>73</v>
      </c>
      <c r="N19" s="4"/>
    </row>
    <row r="20" spans="1:14" ht="46.9">
      <c r="A20" s="2">
        <f>ROW() - ROW(Table4[[#Headers],[S/N]])</f>
        <v>18</v>
      </c>
      <c r="B20" s="56" t="s">
        <v>74</v>
      </c>
      <c r="C20" s="53" t="s">
        <v>75</v>
      </c>
      <c r="D20" s="43">
        <v>8054090612</v>
      </c>
      <c r="E20" s="43" t="s">
        <v>16</v>
      </c>
      <c r="F20" s="55">
        <v>46071</v>
      </c>
      <c r="G20" s="47" t="s">
        <v>17</v>
      </c>
      <c r="H20" s="48" t="s">
        <v>18</v>
      </c>
      <c r="I20" s="47" t="s">
        <v>19</v>
      </c>
      <c r="J20" s="43" t="s">
        <v>20</v>
      </c>
      <c r="K20" s="43" t="s">
        <v>21</v>
      </c>
      <c r="L20" s="49">
        <f t="shared" si="1"/>
        <v>46801</v>
      </c>
      <c r="M20" s="59" t="s">
        <v>76</v>
      </c>
      <c r="N20" s="4"/>
    </row>
    <row r="21" spans="1:14" ht="46.9">
      <c r="A21" s="2">
        <f>ROW() - ROW(Table4[[#Headers],[S/N]])</f>
        <v>19</v>
      </c>
      <c r="B21" s="58" t="s">
        <v>77</v>
      </c>
      <c r="C21" s="51" t="s">
        <v>78</v>
      </c>
      <c r="D21" s="43">
        <v>8067371578</v>
      </c>
      <c r="E21" s="43" t="s">
        <v>16</v>
      </c>
      <c r="F21" s="55">
        <v>46071</v>
      </c>
      <c r="G21" s="47" t="s">
        <v>17</v>
      </c>
      <c r="H21" s="48" t="s">
        <v>18</v>
      </c>
      <c r="I21" s="47" t="s">
        <v>19</v>
      </c>
      <c r="J21" s="43" t="s">
        <v>20</v>
      </c>
      <c r="K21" s="43" t="s">
        <v>21</v>
      </c>
      <c r="L21" s="49">
        <f t="shared" si="1"/>
        <v>46801</v>
      </c>
      <c r="M21" s="59" t="s">
        <v>79</v>
      </c>
    </row>
    <row r="22" spans="1:14" ht="31.15">
      <c r="A22" s="2">
        <f>ROW() - ROW(Table4[[#Headers],[S/N]])</f>
        <v>20</v>
      </c>
      <c r="B22" s="63" t="s">
        <v>80</v>
      </c>
      <c r="C22" s="53" t="s">
        <v>81</v>
      </c>
      <c r="D22" s="43">
        <v>8039204856</v>
      </c>
      <c r="E22" s="43" t="s">
        <v>16</v>
      </c>
      <c r="F22" s="55">
        <v>46071</v>
      </c>
      <c r="G22" s="47" t="s">
        <v>25</v>
      </c>
      <c r="H22" s="48"/>
      <c r="I22" s="43"/>
      <c r="J22" s="43" t="str">
        <f>IF(I22="YES","CAPA VERIFICATION SHOULD BE SCHEDULED",IF(I22="NO","REMINDER LETTER SHOULD BE SENT",""))</f>
        <v/>
      </c>
      <c r="K22" s="43" t="str">
        <f>IF(I22="YES","CAPA SUBMITTED",IF(I22="NO","CAPA YET TO BE SUBMITTED",""))</f>
        <v/>
      </c>
      <c r="L22" s="49">
        <f t="shared" si="1"/>
        <v>46436</v>
      </c>
      <c r="M22" s="59" t="s">
        <v>80</v>
      </c>
    </row>
    <row r="23" spans="1:14" ht="62.45">
      <c r="A23" s="2">
        <f>ROW() - ROW(Table4[[#Headers],[S/N]])</f>
        <v>21</v>
      </c>
      <c r="B23" s="58" t="s">
        <v>82</v>
      </c>
      <c r="C23" s="53" t="s">
        <v>83</v>
      </c>
      <c r="D23" s="43">
        <v>8069568448</v>
      </c>
      <c r="E23" s="43" t="s">
        <v>16</v>
      </c>
      <c r="F23" s="55">
        <v>46071</v>
      </c>
      <c r="G23" s="47" t="s">
        <v>25</v>
      </c>
      <c r="H23" s="48"/>
      <c r="I23" s="43"/>
      <c r="J23" s="43" t="str">
        <f>IF(I23="YES","CAPA VERIFICATION SHOULD BE SCHEDULED",IF(I23="NO","REMINDER LETTER SHOULD BE SENT",""))</f>
        <v/>
      </c>
      <c r="K23" s="43" t="str">
        <f>IF(I23="YES","CAPA SUBMITTED",IF(I23="NO","CAPA YET TO BE SUBMITTED",""))</f>
        <v/>
      </c>
      <c r="L23" s="49">
        <f t="shared" si="1"/>
        <v>46436</v>
      </c>
      <c r="M23" s="59" t="s">
        <v>84</v>
      </c>
    </row>
    <row r="24" spans="1:14" ht="46.9">
      <c r="A24" s="2">
        <f>ROW() - ROW(Table4[[#Headers],[S/N]])</f>
        <v>22</v>
      </c>
      <c r="B24" s="56" t="s">
        <v>85</v>
      </c>
      <c r="C24" s="53" t="s">
        <v>86</v>
      </c>
      <c r="D24" s="43">
        <v>8057930829</v>
      </c>
      <c r="E24" s="43" t="s">
        <v>16</v>
      </c>
      <c r="F24" s="55">
        <v>46071</v>
      </c>
      <c r="G24" s="47" t="s">
        <v>17</v>
      </c>
      <c r="H24" s="48" t="s">
        <v>18</v>
      </c>
      <c r="I24" s="47" t="s">
        <v>19</v>
      </c>
      <c r="J24" s="43" t="s">
        <v>20</v>
      </c>
      <c r="K24" s="43" t="s">
        <v>21</v>
      </c>
      <c r="L24" s="49">
        <f t="shared" si="1"/>
        <v>46801</v>
      </c>
      <c r="M24" s="59" t="s">
        <v>87</v>
      </c>
      <c r="N24" s="4"/>
    </row>
    <row r="25" spans="1:14" ht="15.6">
      <c r="A25" s="2">
        <f>ROW() - ROW(Table4[[#Headers],[S/N]])</f>
        <v>23</v>
      </c>
      <c r="B25" s="64"/>
      <c r="C25" s="14"/>
      <c r="D25" s="9"/>
      <c r="E25" s="9"/>
      <c r="F25" s="18"/>
      <c r="G25" s="11"/>
      <c r="H25" s="39"/>
      <c r="I25" s="9"/>
      <c r="J25" s="9" t="str">
        <f t="shared" ref="J25:J56" si="2">IF(I25="YES","CAPA VERIFICATION SHOULD BE SCHEDULED",IF(I25="NO","REMINDER LETTER SHOULD BE SENT",""))</f>
        <v/>
      </c>
      <c r="K25" s="9" t="str">
        <f t="shared" ref="K25:K56" si="3">IF(I25="YES","CAPA SUBMITTED",IF(I25="NO","CAPA YET TO BE SUBMITTED",""))</f>
        <v/>
      </c>
      <c r="L25" s="12" t="str">
        <f t="shared" si="1"/>
        <v/>
      </c>
      <c r="M25" s="13"/>
    </row>
    <row r="26" spans="1:14" ht="15.6">
      <c r="A26" s="2">
        <f>ROW() - ROW(Table4[[#Headers],[S/N]])</f>
        <v>24</v>
      </c>
      <c r="B26" s="65"/>
      <c r="C26" s="9"/>
      <c r="D26" s="9"/>
      <c r="E26" s="9"/>
      <c r="F26" s="18"/>
      <c r="G26" s="11"/>
      <c r="H26" s="39"/>
      <c r="I26" s="9"/>
      <c r="J26" s="9" t="str">
        <f t="shared" si="2"/>
        <v/>
      </c>
      <c r="K26" s="9" t="str">
        <f t="shared" si="3"/>
        <v/>
      </c>
      <c r="L26" s="12" t="str">
        <f t="shared" si="1"/>
        <v/>
      </c>
      <c r="M26" s="13"/>
    </row>
    <row r="27" spans="1:14" ht="15.6">
      <c r="A27" s="2">
        <f>ROW() - ROW(Table4[[#Headers],[S/N]])</f>
        <v>25</v>
      </c>
      <c r="B27" s="64"/>
      <c r="C27" s="16"/>
      <c r="D27" s="9"/>
      <c r="E27" s="9"/>
      <c r="F27" s="18"/>
      <c r="G27" s="11"/>
      <c r="H27" s="39"/>
      <c r="I27" s="9"/>
      <c r="J27" s="9" t="str">
        <f t="shared" si="2"/>
        <v/>
      </c>
      <c r="K27" s="9" t="str">
        <f t="shared" si="3"/>
        <v/>
      </c>
      <c r="L27" s="12" t="str">
        <f t="shared" si="1"/>
        <v/>
      </c>
      <c r="M27" s="13"/>
    </row>
    <row r="28" spans="1:14" ht="15.6">
      <c r="A28" s="2">
        <f>ROW() - ROW(Table4[[#Headers],[S/N]])</f>
        <v>26</v>
      </c>
      <c r="B28" s="64"/>
      <c r="C28" s="16"/>
      <c r="D28" s="9"/>
      <c r="E28" s="9"/>
      <c r="F28" s="18"/>
      <c r="G28" s="11"/>
      <c r="H28" s="39"/>
      <c r="I28" s="9"/>
      <c r="J28" s="9" t="str">
        <f t="shared" si="2"/>
        <v/>
      </c>
      <c r="K28" s="9" t="str">
        <f t="shared" si="3"/>
        <v/>
      </c>
      <c r="L28" s="12" t="str">
        <f t="shared" si="1"/>
        <v/>
      </c>
      <c r="M28" s="13"/>
    </row>
    <row r="29" spans="1:14" ht="15.6">
      <c r="A29" s="2">
        <f>ROW() - ROW(Table4[[#Headers],[S/N]])</f>
        <v>27</v>
      </c>
      <c r="B29" s="65"/>
      <c r="C29" s="16"/>
      <c r="D29" s="9"/>
      <c r="E29" s="9"/>
      <c r="F29" s="18"/>
      <c r="G29" s="11"/>
      <c r="H29" s="39"/>
      <c r="I29" s="9"/>
      <c r="J29" s="9" t="str">
        <f t="shared" si="2"/>
        <v/>
      </c>
      <c r="K29" s="9" t="str">
        <f t="shared" si="3"/>
        <v/>
      </c>
      <c r="L29" s="12" t="str">
        <f t="shared" si="1"/>
        <v/>
      </c>
      <c r="M29" s="13"/>
    </row>
    <row r="30" spans="1:14" ht="15.6">
      <c r="A30" s="2">
        <f>ROW() - ROW(Table4[[#Headers],[S/N]])</f>
        <v>28</v>
      </c>
      <c r="B30" s="64"/>
      <c r="C30" s="16"/>
      <c r="D30" s="9"/>
      <c r="E30" s="9"/>
      <c r="F30" s="18"/>
      <c r="G30" s="11"/>
      <c r="H30" s="39"/>
      <c r="I30" s="9"/>
      <c r="J30" s="9" t="str">
        <f t="shared" si="2"/>
        <v/>
      </c>
      <c r="K30" s="9" t="str">
        <f t="shared" si="3"/>
        <v/>
      </c>
      <c r="L30" s="12" t="str">
        <f t="shared" si="1"/>
        <v/>
      </c>
      <c r="M30" s="13"/>
    </row>
    <row r="31" spans="1:14" ht="15.6">
      <c r="A31" s="2">
        <f>ROW() - ROW(Table4[[#Headers],[S/N]])</f>
        <v>29</v>
      </c>
      <c r="B31" s="65"/>
      <c r="C31" s="16"/>
      <c r="D31" s="9"/>
      <c r="E31" s="9"/>
      <c r="F31" s="18"/>
      <c r="G31" s="11"/>
      <c r="H31" s="39"/>
      <c r="I31" s="9"/>
      <c r="J31" s="9" t="str">
        <f t="shared" si="2"/>
        <v/>
      </c>
      <c r="K31" s="9" t="str">
        <f t="shared" si="3"/>
        <v/>
      </c>
      <c r="L31" s="12" t="str">
        <f t="shared" si="1"/>
        <v/>
      </c>
      <c r="M31" s="13"/>
    </row>
    <row r="32" spans="1:14" ht="15.6">
      <c r="A32" s="2">
        <f>ROW() - ROW(Table4[[#Headers],[S/N]])</f>
        <v>30</v>
      </c>
      <c r="B32" s="65"/>
      <c r="C32" s="16"/>
      <c r="D32" s="9"/>
      <c r="E32" s="9"/>
      <c r="F32" s="18"/>
      <c r="G32" s="11"/>
      <c r="H32" s="39"/>
      <c r="I32" s="9"/>
      <c r="J32" s="9" t="str">
        <f t="shared" si="2"/>
        <v/>
      </c>
      <c r="K32" s="9" t="str">
        <f t="shared" si="3"/>
        <v/>
      </c>
      <c r="L32" s="12" t="str">
        <f t="shared" si="1"/>
        <v/>
      </c>
      <c r="M32" s="13"/>
      <c r="N32" s="4"/>
    </row>
    <row r="33" spans="1:14" ht="15.6">
      <c r="A33" s="2">
        <f>ROW() - ROW(Table4[[#Headers],[S/N]])</f>
        <v>31</v>
      </c>
      <c r="B33" s="66"/>
      <c r="C33" s="16"/>
      <c r="D33" s="16"/>
      <c r="E33" s="9"/>
      <c r="F33" s="18"/>
      <c r="G33" s="11"/>
      <c r="H33" s="39"/>
      <c r="I33" s="9"/>
      <c r="J33" s="9" t="str">
        <f t="shared" si="2"/>
        <v/>
      </c>
      <c r="K33" s="9" t="str">
        <f t="shared" si="3"/>
        <v/>
      </c>
      <c r="L33" s="12" t="str">
        <f t="shared" si="1"/>
        <v/>
      </c>
      <c r="M33" s="13"/>
    </row>
    <row r="34" spans="1:14" ht="15.6">
      <c r="A34" s="2">
        <f>ROW() - ROW(Table4[[#Headers],[S/N]])</f>
        <v>32</v>
      </c>
      <c r="B34" s="66"/>
      <c r="C34" s="16"/>
      <c r="D34" s="9"/>
      <c r="E34" s="9"/>
      <c r="F34" s="18"/>
      <c r="G34" s="11"/>
      <c r="H34" s="39"/>
      <c r="I34" s="9"/>
      <c r="J34" s="9" t="str">
        <f t="shared" si="2"/>
        <v/>
      </c>
      <c r="K34" s="9" t="str">
        <f t="shared" si="3"/>
        <v/>
      </c>
      <c r="L34" s="12" t="str">
        <f t="shared" si="1"/>
        <v/>
      </c>
      <c r="M34" s="13"/>
      <c r="N34" s="3"/>
    </row>
    <row r="35" spans="1:14" ht="15.6">
      <c r="A35" s="2">
        <f>ROW() - ROW(Table4[[#Headers],[S/N]])</f>
        <v>33</v>
      </c>
      <c r="B35" s="66"/>
      <c r="C35" s="16"/>
      <c r="D35" s="9"/>
      <c r="E35" s="9"/>
      <c r="F35" s="18"/>
      <c r="G35" s="11"/>
      <c r="H35" s="39"/>
      <c r="I35" s="9"/>
      <c r="J35" s="9" t="str">
        <f t="shared" si="2"/>
        <v/>
      </c>
      <c r="K35" s="9" t="str">
        <f t="shared" si="3"/>
        <v/>
      </c>
      <c r="L35" s="12" t="str">
        <f t="shared" si="1"/>
        <v/>
      </c>
      <c r="M35" s="13"/>
    </row>
    <row r="36" spans="1:14" ht="15.6">
      <c r="A36" s="2">
        <f>ROW() - ROW(Table4[[#Headers],[S/N]])</f>
        <v>34</v>
      </c>
      <c r="B36" s="66"/>
      <c r="C36" s="16"/>
      <c r="D36" s="9"/>
      <c r="E36" s="9"/>
      <c r="F36" s="18"/>
      <c r="G36" s="11"/>
      <c r="H36" s="39"/>
      <c r="I36" s="9"/>
      <c r="J36" s="9" t="str">
        <f t="shared" si="2"/>
        <v/>
      </c>
      <c r="K36" s="9" t="str">
        <f t="shared" si="3"/>
        <v/>
      </c>
      <c r="L36" s="12" t="str">
        <f t="shared" si="1"/>
        <v/>
      </c>
      <c r="M36" s="13"/>
    </row>
    <row r="37" spans="1:14" ht="15.6">
      <c r="A37" s="2">
        <f>ROW() - ROW(Table4[[#Headers],[S/N]])</f>
        <v>35</v>
      </c>
      <c r="B37" s="64"/>
      <c r="C37" s="16"/>
      <c r="D37" s="9"/>
      <c r="E37" s="9"/>
      <c r="F37" s="18"/>
      <c r="G37" s="11"/>
      <c r="H37" s="39"/>
      <c r="I37" s="9"/>
      <c r="J37" s="9" t="str">
        <f t="shared" si="2"/>
        <v/>
      </c>
      <c r="K37" s="9" t="str">
        <f t="shared" si="3"/>
        <v/>
      </c>
      <c r="L37" s="12" t="str">
        <f t="shared" si="1"/>
        <v/>
      </c>
      <c r="M37" s="13"/>
    </row>
    <row r="38" spans="1:14" ht="15.6">
      <c r="A38" s="2">
        <f>ROW() - ROW(Table4[[#Headers],[S/N]])</f>
        <v>36</v>
      </c>
      <c r="B38" s="64"/>
      <c r="C38" s="16"/>
      <c r="D38" s="9"/>
      <c r="E38" s="9"/>
      <c r="F38" s="18"/>
      <c r="G38" s="11"/>
      <c r="H38" s="39"/>
      <c r="I38" s="9"/>
      <c r="J38" s="9" t="str">
        <f t="shared" si="2"/>
        <v/>
      </c>
      <c r="K38" s="9" t="str">
        <f t="shared" si="3"/>
        <v/>
      </c>
      <c r="L38" s="12" t="str">
        <f t="shared" si="1"/>
        <v/>
      </c>
      <c r="M38" s="13"/>
    </row>
    <row r="39" spans="1:14" ht="15.6">
      <c r="A39" s="2">
        <f>ROW() - ROW(Table4[[#Headers],[S/N]])</f>
        <v>37</v>
      </c>
      <c r="B39" s="65"/>
      <c r="C39" s="16"/>
      <c r="D39" s="9"/>
      <c r="E39" s="9"/>
      <c r="F39" s="18"/>
      <c r="G39" s="11"/>
      <c r="H39" s="39"/>
      <c r="I39" s="9"/>
      <c r="J39" s="9" t="str">
        <f t="shared" si="2"/>
        <v/>
      </c>
      <c r="K39" s="9" t="str">
        <f t="shared" si="3"/>
        <v/>
      </c>
      <c r="L39" s="12" t="str">
        <f t="shared" si="1"/>
        <v/>
      </c>
      <c r="M39" s="13"/>
    </row>
    <row r="40" spans="1:14" ht="15.6">
      <c r="A40" s="2">
        <f>ROW() - ROW(Table4[[#Headers],[S/N]])</f>
        <v>38</v>
      </c>
      <c r="B40" s="65"/>
      <c r="C40" s="16"/>
      <c r="D40" s="9"/>
      <c r="E40" s="9"/>
      <c r="F40" s="18"/>
      <c r="G40" s="11"/>
      <c r="H40" s="39"/>
      <c r="I40" s="9"/>
      <c r="J40" s="9" t="str">
        <f t="shared" si="2"/>
        <v/>
      </c>
      <c r="K40" s="9" t="str">
        <f t="shared" si="3"/>
        <v/>
      </c>
      <c r="L40" s="12" t="str">
        <f t="shared" si="1"/>
        <v/>
      </c>
      <c r="M40" s="13"/>
    </row>
    <row r="41" spans="1:14" ht="15.75" customHeight="1">
      <c r="A41" s="2">
        <f>ROW() - ROW(Table4[[#Headers],[S/N]])</f>
        <v>39</v>
      </c>
      <c r="B41" s="65"/>
      <c r="C41" s="16"/>
      <c r="D41" s="9"/>
      <c r="E41" s="9"/>
      <c r="F41" s="18"/>
      <c r="G41" s="11"/>
      <c r="H41" s="39"/>
      <c r="I41" s="9"/>
      <c r="J41" s="9" t="str">
        <f t="shared" si="2"/>
        <v/>
      </c>
      <c r="K41" s="9" t="str">
        <f t="shared" si="3"/>
        <v/>
      </c>
      <c r="L41" s="12" t="str">
        <f t="shared" si="1"/>
        <v/>
      </c>
      <c r="M41" s="13"/>
      <c r="N41" s="3"/>
    </row>
    <row r="42" spans="1:14" ht="15.75" customHeight="1">
      <c r="A42" s="2">
        <f>ROW() - ROW(Table4[[#Headers],[S/N]])</f>
        <v>40</v>
      </c>
      <c r="B42" s="65"/>
      <c r="C42" s="16"/>
      <c r="D42" s="9"/>
      <c r="E42" s="9"/>
      <c r="F42" s="18"/>
      <c r="G42" s="11"/>
      <c r="H42" s="39"/>
      <c r="I42" s="9"/>
      <c r="J42" s="9" t="str">
        <f t="shared" si="2"/>
        <v/>
      </c>
      <c r="K42" s="9" t="str">
        <f t="shared" si="3"/>
        <v/>
      </c>
      <c r="L42" s="12" t="str">
        <f t="shared" si="1"/>
        <v/>
      </c>
      <c r="M42" s="13"/>
    </row>
    <row r="43" spans="1:14" ht="15.6">
      <c r="A43" s="2">
        <f>ROW() - ROW(Table4[[#Headers],[S/N]])</f>
        <v>41</v>
      </c>
      <c r="B43" s="65"/>
      <c r="C43" s="16"/>
      <c r="D43" s="9"/>
      <c r="E43" s="9"/>
      <c r="F43" s="18"/>
      <c r="G43" s="11"/>
      <c r="H43" s="39"/>
      <c r="I43" s="9"/>
      <c r="J43" s="9" t="str">
        <f t="shared" si="2"/>
        <v/>
      </c>
      <c r="K43" s="9" t="str">
        <f t="shared" si="3"/>
        <v/>
      </c>
      <c r="L43" s="12" t="str">
        <f t="shared" si="1"/>
        <v/>
      </c>
      <c r="M43" s="13"/>
    </row>
    <row r="44" spans="1:14" ht="15.6">
      <c r="A44" s="2">
        <f>ROW() - ROW(Table4[[#Headers],[S/N]])</f>
        <v>42</v>
      </c>
      <c r="B44" s="65"/>
      <c r="C44" s="16"/>
      <c r="D44" s="9"/>
      <c r="E44" s="9"/>
      <c r="F44" s="18"/>
      <c r="G44" s="11"/>
      <c r="H44" s="39"/>
      <c r="I44" s="9"/>
      <c r="J44" s="9" t="str">
        <f t="shared" si="2"/>
        <v/>
      </c>
      <c r="K44" s="9" t="str">
        <f t="shared" si="3"/>
        <v/>
      </c>
      <c r="L44" s="12" t="str">
        <f t="shared" si="1"/>
        <v/>
      </c>
      <c r="M44" s="13"/>
    </row>
    <row r="45" spans="1:14" ht="15.6">
      <c r="A45" s="2">
        <f>ROW() - ROW(Table4[[#Headers],[S/N]])</f>
        <v>43</v>
      </c>
      <c r="B45" s="64"/>
      <c r="C45" s="16"/>
      <c r="D45" s="9"/>
      <c r="E45" s="9"/>
      <c r="F45" s="18"/>
      <c r="G45" s="11"/>
      <c r="H45" s="39"/>
      <c r="I45" s="9"/>
      <c r="J45" s="9" t="str">
        <f t="shared" si="2"/>
        <v/>
      </c>
      <c r="K45" s="9" t="str">
        <f t="shared" si="3"/>
        <v/>
      </c>
      <c r="L45" s="12" t="str">
        <f t="shared" si="1"/>
        <v/>
      </c>
      <c r="M45" s="13"/>
    </row>
    <row r="46" spans="1:14">
      <c r="A46" s="2">
        <f>ROW() - ROW(Table4[[#Headers],[S/N]])</f>
        <v>44</v>
      </c>
      <c r="B46" s="67"/>
      <c r="C46" s="9"/>
      <c r="D46" s="9"/>
      <c r="E46" s="9"/>
      <c r="F46" s="18"/>
      <c r="G46" s="11"/>
      <c r="H46" s="39"/>
      <c r="I46" s="9"/>
      <c r="J46" s="9" t="str">
        <f t="shared" si="2"/>
        <v/>
      </c>
      <c r="K46" s="9" t="str">
        <f t="shared" si="3"/>
        <v/>
      </c>
      <c r="L46" s="12" t="str">
        <f t="shared" si="1"/>
        <v/>
      </c>
      <c r="M46" s="13"/>
    </row>
    <row r="47" spans="1:14">
      <c r="A47" s="2">
        <f>ROW() - ROW(Table4[[#Headers],[S/N]])</f>
        <v>45</v>
      </c>
      <c r="B47" s="67"/>
      <c r="C47" s="9"/>
      <c r="D47" s="9"/>
      <c r="E47" s="9"/>
      <c r="F47" s="18"/>
      <c r="G47" s="11"/>
      <c r="H47" s="39"/>
      <c r="I47" s="9"/>
      <c r="J47" s="9" t="str">
        <f t="shared" si="2"/>
        <v/>
      </c>
      <c r="K47" s="9" t="str">
        <f t="shared" si="3"/>
        <v/>
      </c>
      <c r="L47" s="12" t="str">
        <f t="shared" si="1"/>
        <v/>
      </c>
      <c r="M47" s="13"/>
    </row>
    <row r="48" spans="1:14">
      <c r="A48" s="2">
        <f>ROW() - ROW(Table4[[#Headers],[S/N]])</f>
        <v>46</v>
      </c>
      <c r="B48" s="66"/>
      <c r="C48" s="9"/>
      <c r="D48" s="9"/>
      <c r="E48" s="9"/>
      <c r="F48" s="18"/>
      <c r="G48" s="11"/>
      <c r="H48" s="39"/>
      <c r="I48" s="9"/>
      <c r="J48" s="9" t="str">
        <f t="shared" si="2"/>
        <v/>
      </c>
      <c r="K48" s="9" t="str">
        <f t="shared" si="3"/>
        <v/>
      </c>
      <c r="L48" s="12" t="str">
        <f t="shared" si="1"/>
        <v/>
      </c>
      <c r="M48" s="13"/>
    </row>
    <row r="49" spans="1:14">
      <c r="A49" s="2">
        <f>ROW() - ROW(Table4[[#Headers],[S/N]])</f>
        <v>47</v>
      </c>
      <c r="B49" s="67"/>
      <c r="C49" s="9"/>
      <c r="D49" s="9"/>
      <c r="E49" s="9"/>
      <c r="F49" s="18"/>
      <c r="G49" s="11"/>
      <c r="H49" s="10"/>
      <c r="I49" s="9"/>
      <c r="J49" s="9" t="str">
        <f t="shared" si="2"/>
        <v/>
      </c>
      <c r="K49" s="9" t="str">
        <f t="shared" si="3"/>
        <v/>
      </c>
      <c r="L49" s="12" t="str">
        <f t="shared" si="1"/>
        <v/>
      </c>
      <c r="M49" s="13"/>
    </row>
    <row r="50" spans="1:14">
      <c r="A50" s="2">
        <f>ROW() - ROW(Table4[[#Headers],[S/N]])</f>
        <v>48</v>
      </c>
      <c r="B50" s="67"/>
      <c r="C50" s="9"/>
      <c r="D50" s="9"/>
      <c r="E50" s="9"/>
      <c r="F50" s="18"/>
      <c r="G50" s="11"/>
      <c r="H50" s="39"/>
      <c r="I50" s="9"/>
      <c r="J50" s="9" t="str">
        <f t="shared" si="2"/>
        <v/>
      </c>
      <c r="K50" s="9" t="str">
        <f t="shared" si="3"/>
        <v/>
      </c>
      <c r="L50" s="12" t="str">
        <f t="shared" si="1"/>
        <v/>
      </c>
      <c r="M50" s="13"/>
    </row>
    <row r="51" spans="1:14">
      <c r="A51" s="2">
        <f>ROW() - ROW(Table4[[#Headers],[S/N]])</f>
        <v>49</v>
      </c>
      <c r="B51" s="67"/>
      <c r="C51" s="9"/>
      <c r="D51" s="9"/>
      <c r="E51" s="9"/>
      <c r="F51" s="18"/>
      <c r="G51" s="11"/>
      <c r="H51" s="39"/>
      <c r="I51" s="9"/>
      <c r="J51" s="9" t="str">
        <f t="shared" si="2"/>
        <v/>
      </c>
      <c r="K51" s="9" t="str">
        <f t="shared" si="3"/>
        <v/>
      </c>
      <c r="L51" s="12" t="str">
        <f t="shared" ref="L51:L82" si="4">IF(G51="Low Risk (A)",EDATE(F51,24),
IF(G51="Medium Risk(B)",EDATE(F51,12),
IF(G51="High Risk(C)",EDATE(F51,6),"")))</f>
        <v/>
      </c>
      <c r="M51" s="13"/>
    </row>
    <row r="52" spans="1:14">
      <c r="A52" s="2">
        <f>ROW() - ROW(Table4[[#Headers],[S/N]])</f>
        <v>50</v>
      </c>
      <c r="B52" s="67"/>
      <c r="C52" s="9"/>
      <c r="D52" s="9"/>
      <c r="E52" s="9"/>
      <c r="F52" s="18"/>
      <c r="G52" s="11"/>
      <c r="H52" s="39"/>
      <c r="I52" s="9"/>
      <c r="J52" s="9" t="str">
        <f t="shared" si="2"/>
        <v/>
      </c>
      <c r="K52" s="9" t="str">
        <f t="shared" si="3"/>
        <v/>
      </c>
      <c r="L52" s="12" t="str">
        <f t="shared" si="4"/>
        <v/>
      </c>
      <c r="M52" s="13"/>
    </row>
    <row r="53" spans="1:14">
      <c r="A53" s="2">
        <f>ROW() - ROW(Table4[[#Headers],[S/N]])</f>
        <v>51</v>
      </c>
      <c r="B53" s="67"/>
      <c r="C53" s="9"/>
      <c r="D53" s="9"/>
      <c r="E53" s="9"/>
      <c r="F53" s="18"/>
      <c r="G53" s="11"/>
      <c r="H53" s="39"/>
      <c r="I53" s="9"/>
      <c r="J53" s="9" t="str">
        <f t="shared" si="2"/>
        <v/>
      </c>
      <c r="K53" s="9" t="str">
        <f t="shared" si="3"/>
        <v/>
      </c>
      <c r="L53" s="12" t="str">
        <f t="shared" si="4"/>
        <v/>
      </c>
      <c r="M53" s="13"/>
    </row>
    <row r="54" spans="1:14">
      <c r="A54" s="2">
        <f>ROW() - ROW(Table4[[#Headers],[S/N]])</f>
        <v>52</v>
      </c>
      <c r="B54" s="67"/>
      <c r="C54" s="9"/>
      <c r="D54" s="9"/>
      <c r="E54" s="9"/>
      <c r="F54" s="18"/>
      <c r="G54" s="11"/>
      <c r="H54" s="39"/>
      <c r="I54" s="9"/>
      <c r="J54" s="9" t="str">
        <f t="shared" si="2"/>
        <v/>
      </c>
      <c r="K54" s="9" t="str">
        <f t="shared" si="3"/>
        <v/>
      </c>
      <c r="L54" s="12" t="str">
        <f t="shared" si="4"/>
        <v/>
      </c>
      <c r="M54" s="13"/>
    </row>
    <row r="55" spans="1:14">
      <c r="A55" s="2">
        <f>ROW() - ROW(Table4[[#Headers],[S/N]])</f>
        <v>53</v>
      </c>
      <c r="B55" s="67"/>
      <c r="C55" s="9"/>
      <c r="D55" s="9"/>
      <c r="E55" s="9"/>
      <c r="F55" s="18"/>
      <c r="G55" s="11"/>
      <c r="H55" s="39"/>
      <c r="I55" s="9"/>
      <c r="J55" s="9" t="str">
        <f t="shared" si="2"/>
        <v/>
      </c>
      <c r="K55" s="9" t="str">
        <f t="shared" si="3"/>
        <v/>
      </c>
      <c r="L55" s="12" t="str">
        <f t="shared" si="4"/>
        <v/>
      </c>
      <c r="M55" s="13"/>
    </row>
    <row r="56" spans="1:14">
      <c r="A56" s="2">
        <f>ROW() - ROW(Table4[[#Headers],[S/N]])</f>
        <v>54</v>
      </c>
      <c r="B56" s="67"/>
      <c r="C56" s="9"/>
      <c r="D56" s="9"/>
      <c r="E56" s="9"/>
      <c r="F56" s="18"/>
      <c r="G56" s="11"/>
      <c r="H56" s="39"/>
      <c r="I56" s="9"/>
      <c r="J56" s="9" t="str">
        <f t="shared" si="2"/>
        <v/>
      </c>
      <c r="K56" s="9" t="str">
        <f t="shared" si="3"/>
        <v/>
      </c>
      <c r="L56" s="12" t="str">
        <f t="shared" si="4"/>
        <v/>
      </c>
      <c r="M56" s="13"/>
    </row>
    <row r="57" spans="1:14">
      <c r="A57" s="2">
        <f>ROW() - ROW(Table4[[#Headers],[S/N]])</f>
        <v>55</v>
      </c>
      <c r="B57" s="67"/>
      <c r="C57" s="9"/>
      <c r="D57" s="9"/>
      <c r="E57" s="9"/>
      <c r="F57" s="18"/>
      <c r="G57" s="11"/>
      <c r="H57" s="39"/>
      <c r="I57" s="9"/>
      <c r="J57" s="9" t="str">
        <f t="shared" ref="J57:J88" si="5">IF(I57="YES","CAPA VERIFICATION SHOULD BE SCHEDULED",IF(I57="NO","REMINDER LETTER SHOULD BE SENT",""))</f>
        <v/>
      </c>
      <c r="K57" s="9" t="str">
        <f t="shared" ref="K57:K88" si="6">IF(I57="YES","CAPA SUBMITTED",IF(I57="NO","CAPA YET TO BE SUBMITTED",""))</f>
        <v/>
      </c>
      <c r="L57" s="12" t="str">
        <f t="shared" si="4"/>
        <v/>
      </c>
      <c r="M57" s="13"/>
    </row>
    <row r="58" spans="1:14">
      <c r="A58" s="2">
        <f>ROW() - ROW(Table4[[#Headers],[S/N]])</f>
        <v>56</v>
      </c>
      <c r="B58" s="67"/>
      <c r="C58" s="9"/>
      <c r="D58" s="9"/>
      <c r="E58" s="9"/>
      <c r="F58" s="18"/>
      <c r="G58" s="11"/>
      <c r="H58" s="39"/>
      <c r="I58" s="9"/>
      <c r="J58" s="9" t="str">
        <f t="shared" si="5"/>
        <v/>
      </c>
      <c r="K58" s="9" t="str">
        <f t="shared" si="6"/>
        <v/>
      </c>
      <c r="L58" s="12" t="str">
        <f t="shared" si="4"/>
        <v/>
      </c>
      <c r="M58" s="13"/>
    </row>
    <row r="59" spans="1:14">
      <c r="A59" s="2">
        <f>ROW() - ROW(Table4[[#Headers],[S/N]])</f>
        <v>57</v>
      </c>
      <c r="B59" s="67"/>
      <c r="C59" s="9"/>
      <c r="D59" s="9"/>
      <c r="E59" s="9"/>
      <c r="F59" s="18"/>
      <c r="G59" s="11"/>
      <c r="H59" s="39"/>
      <c r="I59" s="9"/>
      <c r="J59" s="9" t="str">
        <f t="shared" si="5"/>
        <v/>
      </c>
      <c r="K59" s="9" t="str">
        <f t="shared" si="6"/>
        <v/>
      </c>
      <c r="L59" s="12" t="str">
        <f t="shared" si="4"/>
        <v/>
      </c>
      <c r="M59" s="13"/>
      <c r="N59" s="3"/>
    </row>
    <row r="60" spans="1:14">
      <c r="A60" s="2">
        <f>ROW() - ROW(Table4[[#Headers],[S/N]])</f>
        <v>58</v>
      </c>
      <c r="B60" s="67"/>
      <c r="C60" s="9"/>
      <c r="D60" s="9"/>
      <c r="E60" s="9"/>
      <c r="F60" s="18"/>
      <c r="G60" s="11"/>
      <c r="H60" s="39"/>
      <c r="I60" s="9"/>
      <c r="J60" s="9" t="str">
        <f t="shared" si="5"/>
        <v/>
      </c>
      <c r="K60" s="9" t="str">
        <f t="shared" si="6"/>
        <v/>
      </c>
      <c r="L60" s="12" t="str">
        <f t="shared" si="4"/>
        <v/>
      </c>
      <c r="M60" s="13"/>
      <c r="N60" s="3"/>
    </row>
    <row r="61" spans="1:14">
      <c r="A61" s="2">
        <f>ROW() - ROW(Table4[[#Headers],[S/N]])</f>
        <v>59</v>
      </c>
      <c r="B61" s="67"/>
      <c r="C61" s="9"/>
      <c r="D61" s="9"/>
      <c r="E61" s="9"/>
      <c r="F61" s="18"/>
      <c r="G61" s="11"/>
      <c r="H61" s="39"/>
      <c r="I61" s="9"/>
      <c r="J61" s="9" t="str">
        <f t="shared" si="5"/>
        <v/>
      </c>
      <c r="K61" s="9" t="str">
        <f t="shared" si="6"/>
        <v/>
      </c>
      <c r="L61" s="12" t="str">
        <f t="shared" si="4"/>
        <v/>
      </c>
      <c r="M61" s="13"/>
    </row>
    <row r="62" spans="1:14">
      <c r="A62" s="2">
        <f>ROW() - ROW(Table4[[#Headers],[S/N]])</f>
        <v>60</v>
      </c>
      <c r="B62" s="67"/>
      <c r="C62" s="9"/>
      <c r="D62" s="9"/>
      <c r="E62" s="9"/>
      <c r="F62" s="18"/>
      <c r="G62" s="11"/>
      <c r="H62" s="39"/>
      <c r="I62" s="9"/>
      <c r="J62" s="9" t="str">
        <f t="shared" si="5"/>
        <v/>
      </c>
      <c r="K62" s="9" t="str">
        <f t="shared" si="6"/>
        <v/>
      </c>
      <c r="L62" s="12" t="str">
        <f t="shared" si="4"/>
        <v/>
      </c>
      <c r="M62" s="21"/>
    </row>
    <row r="63" spans="1:14">
      <c r="A63" s="2">
        <f>ROW() - ROW(Table4[[#Headers],[S/N]])</f>
        <v>61</v>
      </c>
      <c r="B63" s="67"/>
      <c r="C63" s="9"/>
      <c r="D63" s="9"/>
      <c r="E63" s="9"/>
      <c r="F63" s="18"/>
      <c r="G63" s="11"/>
      <c r="H63" s="39"/>
      <c r="I63" s="9"/>
      <c r="J63" s="9" t="str">
        <f t="shared" si="5"/>
        <v/>
      </c>
      <c r="K63" s="9" t="str">
        <f t="shared" si="6"/>
        <v/>
      </c>
      <c r="L63" s="12" t="str">
        <f t="shared" si="4"/>
        <v/>
      </c>
      <c r="M63" s="13"/>
    </row>
    <row r="64" spans="1:14">
      <c r="A64" s="2">
        <f>ROW() - ROW(Table4[[#Headers],[S/N]])</f>
        <v>62</v>
      </c>
      <c r="B64" s="67"/>
      <c r="C64" s="9"/>
      <c r="D64" s="9"/>
      <c r="E64" s="9"/>
      <c r="F64" s="18"/>
      <c r="G64" s="11"/>
      <c r="H64" s="39"/>
      <c r="I64" s="9"/>
      <c r="J64" s="9" t="str">
        <f t="shared" si="5"/>
        <v/>
      </c>
      <c r="K64" s="9" t="str">
        <f t="shared" si="6"/>
        <v/>
      </c>
      <c r="L64" s="12" t="str">
        <f t="shared" si="4"/>
        <v/>
      </c>
      <c r="M64" s="13"/>
    </row>
    <row r="65" spans="1:14">
      <c r="A65" s="2">
        <f>ROW() - ROW(Table4[[#Headers],[S/N]])</f>
        <v>63</v>
      </c>
      <c r="B65" s="67"/>
      <c r="C65" s="9"/>
      <c r="D65" s="9"/>
      <c r="E65" s="9"/>
      <c r="F65" s="18"/>
      <c r="G65" s="11"/>
      <c r="H65" s="39"/>
      <c r="I65" s="9"/>
      <c r="J65" s="9" t="str">
        <f t="shared" si="5"/>
        <v/>
      </c>
      <c r="K65" s="9" t="str">
        <f t="shared" si="6"/>
        <v/>
      </c>
      <c r="L65" s="12" t="str">
        <f t="shared" si="4"/>
        <v/>
      </c>
      <c r="M65" s="13"/>
    </row>
    <row r="66" spans="1:14">
      <c r="A66" s="2">
        <f>ROW() - ROW(Table4[[#Headers],[S/N]])</f>
        <v>64</v>
      </c>
      <c r="B66" s="67"/>
      <c r="C66" s="9"/>
      <c r="D66" s="9"/>
      <c r="E66" s="9"/>
      <c r="F66" s="18"/>
      <c r="G66" s="11"/>
      <c r="H66" s="39"/>
      <c r="I66" s="9"/>
      <c r="J66" s="9" t="str">
        <f t="shared" si="5"/>
        <v/>
      </c>
      <c r="K66" s="9" t="str">
        <f t="shared" si="6"/>
        <v/>
      </c>
      <c r="L66" s="12" t="str">
        <f t="shared" si="4"/>
        <v/>
      </c>
      <c r="M66" s="13"/>
      <c r="N66" s="4"/>
    </row>
    <row r="67" spans="1:14">
      <c r="A67" s="2">
        <f>ROW() - ROW(Table4[[#Headers],[S/N]])</f>
        <v>65</v>
      </c>
      <c r="B67" s="20"/>
      <c r="C67" s="9"/>
      <c r="D67" s="9"/>
      <c r="E67" s="9"/>
      <c r="F67" s="18"/>
      <c r="G67" s="11"/>
      <c r="H67" s="39"/>
      <c r="I67" s="9"/>
      <c r="J67" s="9" t="str">
        <f t="shared" si="5"/>
        <v/>
      </c>
      <c r="K67" s="9" t="str">
        <f t="shared" si="6"/>
        <v/>
      </c>
      <c r="L67" s="12" t="str">
        <f t="shared" si="4"/>
        <v/>
      </c>
      <c r="M67" s="13"/>
    </row>
    <row r="68" spans="1:14">
      <c r="A68" s="2">
        <f>ROW() - ROW(Table4[[#Headers],[S/N]])</f>
        <v>66</v>
      </c>
      <c r="B68" s="20"/>
      <c r="C68" s="9"/>
      <c r="D68" s="9"/>
      <c r="E68" s="9"/>
      <c r="F68" s="18"/>
      <c r="G68" s="11"/>
      <c r="H68" s="39"/>
      <c r="I68" s="9"/>
      <c r="J68" s="9" t="str">
        <f t="shared" si="5"/>
        <v/>
      </c>
      <c r="K68" s="9" t="str">
        <f t="shared" si="6"/>
        <v/>
      </c>
      <c r="L68" s="12" t="str">
        <f t="shared" si="4"/>
        <v/>
      </c>
      <c r="M68" s="13"/>
    </row>
    <row r="69" spans="1:14">
      <c r="A69" s="2">
        <f>ROW() - ROW(Table4[[#Headers],[S/N]])</f>
        <v>67</v>
      </c>
      <c r="B69" s="20"/>
      <c r="C69" s="9"/>
      <c r="D69" s="9"/>
      <c r="E69" s="9"/>
      <c r="F69" s="18"/>
      <c r="G69" s="11"/>
      <c r="H69" s="39"/>
      <c r="I69" s="9"/>
      <c r="J69" s="9" t="str">
        <f t="shared" si="5"/>
        <v/>
      </c>
      <c r="K69" s="9" t="str">
        <f t="shared" si="6"/>
        <v/>
      </c>
      <c r="L69" s="12" t="str">
        <f t="shared" si="4"/>
        <v/>
      </c>
      <c r="M69" s="13"/>
    </row>
    <row r="70" spans="1:14">
      <c r="A70" s="2">
        <f>ROW() - ROW(Table4[[#Headers],[S/N]])</f>
        <v>68</v>
      </c>
      <c r="B70" s="20"/>
      <c r="C70" s="9"/>
      <c r="D70" s="9"/>
      <c r="E70" s="9"/>
      <c r="F70" s="18"/>
      <c r="G70" s="11"/>
      <c r="H70" s="39"/>
      <c r="I70" s="9"/>
      <c r="J70" s="9" t="str">
        <f t="shared" si="5"/>
        <v/>
      </c>
      <c r="K70" s="9" t="str">
        <f t="shared" si="6"/>
        <v/>
      </c>
      <c r="L70" s="12" t="str">
        <f t="shared" si="4"/>
        <v/>
      </c>
      <c r="M70" s="13"/>
    </row>
    <row r="71" spans="1:14">
      <c r="A71" s="2">
        <f>ROW() - ROW(Table4[[#Headers],[S/N]])</f>
        <v>69</v>
      </c>
      <c r="B71" s="20"/>
      <c r="C71" s="9"/>
      <c r="D71" s="9"/>
      <c r="E71" s="9"/>
      <c r="F71" s="18"/>
      <c r="G71" s="11"/>
      <c r="H71" s="39"/>
      <c r="I71" s="9"/>
      <c r="J71" s="9" t="str">
        <f t="shared" si="5"/>
        <v/>
      </c>
      <c r="K71" s="9" t="str">
        <f t="shared" si="6"/>
        <v/>
      </c>
      <c r="L71" s="12" t="str">
        <f t="shared" si="4"/>
        <v/>
      </c>
      <c r="M71" s="13"/>
    </row>
    <row r="72" spans="1:14">
      <c r="A72" s="2">
        <f>ROW() - ROW(Table4[[#Headers],[S/N]])</f>
        <v>70</v>
      </c>
      <c r="B72" s="20"/>
      <c r="C72" s="9"/>
      <c r="D72" s="9"/>
      <c r="E72" s="9"/>
      <c r="F72" s="18"/>
      <c r="G72" s="11"/>
      <c r="H72" s="39"/>
      <c r="I72" s="9"/>
      <c r="J72" s="9" t="str">
        <f t="shared" si="5"/>
        <v/>
      </c>
      <c r="K72" s="9" t="str">
        <f t="shared" si="6"/>
        <v/>
      </c>
      <c r="L72" s="12" t="str">
        <f t="shared" si="4"/>
        <v/>
      </c>
      <c r="M72" s="13"/>
    </row>
    <row r="73" spans="1:14">
      <c r="A73" s="2">
        <f>ROW() - ROW(Table4[[#Headers],[S/N]])</f>
        <v>71</v>
      </c>
      <c r="B73" s="20"/>
      <c r="C73" s="9"/>
      <c r="D73" s="9"/>
      <c r="E73" s="9"/>
      <c r="F73" s="18"/>
      <c r="G73" s="11"/>
      <c r="H73" s="39"/>
      <c r="I73" s="9"/>
      <c r="J73" s="9" t="str">
        <f t="shared" si="5"/>
        <v/>
      </c>
      <c r="K73" s="9" t="str">
        <f t="shared" si="6"/>
        <v/>
      </c>
      <c r="L73" s="12" t="str">
        <f t="shared" si="4"/>
        <v/>
      </c>
      <c r="M73" s="13"/>
    </row>
    <row r="74" spans="1:14">
      <c r="A74" s="2">
        <f>ROW() - ROW(Table4[[#Headers],[S/N]])</f>
        <v>72</v>
      </c>
      <c r="B74" s="20"/>
      <c r="C74" s="9"/>
      <c r="D74" s="9"/>
      <c r="E74" s="9"/>
      <c r="F74" s="18"/>
      <c r="G74" s="11"/>
      <c r="H74" s="10"/>
      <c r="I74" s="9"/>
      <c r="J74" s="9" t="str">
        <f t="shared" si="5"/>
        <v/>
      </c>
      <c r="K74" s="9" t="str">
        <f t="shared" si="6"/>
        <v/>
      </c>
      <c r="L74" s="12" t="str">
        <f t="shared" si="4"/>
        <v/>
      </c>
      <c r="M74" s="13"/>
    </row>
    <row r="75" spans="1:14">
      <c r="A75" s="2">
        <f>ROW() - ROW(Table4[[#Headers],[S/N]])</f>
        <v>73</v>
      </c>
      <c r="B75" s="20"/>
      <c r="C75" s="9"/>
      <c r="D75" s="9"/>
      <c r="E75" s="9"/>
      <c r="F75" s="18"/>
      <c r="G75" s="11"/>
      <c r="H75" s="10"/>
      <c r="I75" s="9"/>
      <c r="J75" s="9" t="str">
        <f t="shared" si="5"/>
        <v/>
      </c>
      <c r="K75" s="9" t="str">
        <f t="shared" si="6"/>
        <v/>
      </c>
      <c r="L75" s="12" t="str">
        <f t="shared" si="4"/>
        <v/>
      </c>
      <c r="M75" s="13"/>
    </row>
    <row r="76" spans="1:14" ht="15.6">
      <c r="A76" s="2">
        <f>ROW() - ROW(Table4[[#Headers],[S/N]])</f>
        <v>74</v>
      </c>
      <c r="B76" s="8"/>
      <c r="C76" s="14"/>
      <c r="D76" s="22"/>
      <c r="E76" s="9"/>
      <c r="F76" s="18"/>
      <c r="G76" s="11"/>
      <c r="H76" s="10"/>
      <c r="I76" s="9"/>
      <c r="J76" s="9" t="str">
        <f t="shared" si="5"/>
        <v/>
      </c>
      <c r="K76" s="9" t="str">
        <f t="shared" si="6"/>
        <v/>
      </c>
      <c r="L76" s="12" t="str">
        <f t="shared" si="4"/>
        <v/>
      </c>
      <c r="M76" s="13"/>
    </row>
    <row r="77" spans="1:14" ht="15.6">
      <c r="A77" s="2">
        <f>ROW() - ROW(Table4[[#Headers],[S/N]])</f>
        <v>75</v>
      </c>
      <c r="B77" s="23"/>
      <c r="C77" s="24"/>
      <c r="D77" s="22"/>
      <c r="E77" s="9"/>
      <c r="F77" s="18"/>
      <c r="G77" s="11"/>
      <c r="H77" s="10"/>
      <c r="I77" s="9"/>
      <c r="J77" s="9" t="str">
        <f t="shared" si="5"/>
        <v/>
      </c>
      <c r="K77" s="9" t="str">
        <f t="shared" si="6"/>
        <v/>
      </c>
      <c r="L77" s="12" t="str">
        <f t="shared" si="4"/>
        <v/>
      </c>
      <c r="M77" s="13"/>
    </row>
    <row r="78" spans="1:14" ht="15.6">
      <c r="A78" s="2">
        <f>ROW() - ROW(Table4[[#Headers],[S/N]])</f>
        <v>76</v>
      </c>
      <c r="B78" s="19"/>
      <c r="C78" s="14"/>
      <c r="D78" s="22"/>
      <c r="E78" s="9"/>
      <c r="F78" s="18"/>
      <c r="G78" s="11"/>
      <c r="H78" s="10"/>
      <c r="I78" s="9"/>
      <c r="J78" s="9" t="str">
        <f t="shared" si="5"/>
        <v/>
      </c>
      <c r="K78" s="9" t="str">
        <f t="shared" si="6"/>
        <v/>
      </c>
      <c r="L78" s="12" t="str">
        <f t="shared" si="4"/>
        <v/>
      </c>
      <c r="M78" s="13"/>
    </row>
    <row r="79" spans="1:14" ht="26.25" customHeight="1">
      <c r="A79" s="2">
        <f>ROW() - ROW(Table4[[#Headers],[S/N]])</f>
        <v>77</v>
      </c>
      <c r="B79" s="19"/>
      <c r="C79" s="24"/>
      <c r="D79" s="22"/>
      <c r="E79" s="9"/>
      <c r="F79" s="18"/>
      <c r="G79" s="11"/>
      <c r="H79" s="10"/>
      <c r="I79" s="9"/>
      <c r="J79" s="9" t="str">
        <f t="shared" si="5"/>
        <v/>
      </c>
      <c r="K79" s="9" t="str">
        <f t="shared" si="6"/>
        <v/>
      </c>
      <c r="L79" s="12" t="str">
        <f t="shared" si="4"/>
        <v/>
      </c>
      <c r="M79" s="13"/>
    </row>
    <row r="80" spans="1:14" ht="15.6">
      <c r="A80" s="2">
        <f>ROW() - ROW(Table4[[#Headers],[S/N]])</f>
        <v>78</v>
      </c>
      <c r="B80" s="8"/>
      <c r="C80" s="14"/>
      <c r="D80" s="22"/>
      <c r="E80" s="9"/>
      <c r="F80" s="18"/>
      <c r="G80" s="11"/>
      <c r="H80" s="10"/>
      <c r="I80" s="9"/>
      <c r="J80" s="9" t="str">
        <f t="shared" si="5"/>
        <v/>
      </c>
      <c r="K80" s="9" t="str">
        <f t="shared" si="6"/>
        <v/>
      </c>
      <c r="L80" s="12" t="str">
        <f t="shared" si="4"/>
        <v/>
      </c>
      <c r="M80" s="21"/>
    </row>
    <row r="81" spans="1:13" ht="15.6">
      <c r="A81" s="2">
        <f>ROW() - ROW(Table4[[#Headers],[S/N]])</f>
        <v>79</v>
      </c>
      <c r="B81" s="25"/>
      <c r="C81" s="24"/>
      <c r="D81" s="22"/>
      <c r="E81" s="9"/>
      <c r="F81" s="18"/>
      <c r="G81" s="11"/>
      <c r="H81" s="10"/>
      <c r="I81" s="9"/>
      <c r="J81" s="9" t="str">
        <f t="shared" si="5"/>
        <v/>
      </c>
      <c r="K81" s="9" t="str">
        <f t="shared" si="6"/>
        <v/>
      </c>
      <c r="L81" s="12" t="str">
        <f t="shared" si="4"/>
        <v/>
      </c>
      <c r="M81" s="13"/>
    </row>
    <row r="82" spans="1:13" ht="15.6">
      <c r="A82" s="2">
        <f>ROW() - ROW(Table4[[#Headers],[S/N]])</f>
        <v>80</v>
      </c>
      <c r="B82" s="15"/>
      <c r="C82" s="24"/>
      <c r="D82" s="22"/>
      <c r="E82" s="9"/>
      <c r="F82" s="18"/>
      <c r="G82" s="11"/>
      <c r="H82" s="10"/>
      <c r="I82" s="9"/>
      <c r="J82" s="9" t="str">
        <f t="shared" si="5"/>
        <v/>
      </c>
      <c r="K82" s="9" t="str">
        <f t="shared" si="6"/>
        <v/>
      </c>
      <c r="L82" s="12" t="str">
        <f t="shared" si="4"/>
        <v/>
      </c>
      <c r="M82" s="13"/>
    </row>
    <row r="83" spans="1:13" ht="15.6">
      <c r="A83" s="2">
        <f>ROW() - ROW(Table4[[#Headers],[S/N]])</f>
        <v>81</v>
      </c>
      <c r="B83" s="25"/>
      <c r="C83" s="24"/>
      <c r="D83" s="22"/>
      <c r="E83" s="9"/>
      <c r="F83" s="18"/>
      <c r="G83" s="11"/>
      <c r="H83" s="10"/>
      <c r="I83" s="9"/>
      <c r="J83" s="9" t="str">
        <f t="shared" si="5"/>
        <v/>
      </c>
      <c r="K83" s="9" t="str">
        <f t="shared" si="6"/>
        <v/>
      </c>
      <c r="L83" s="12" t="str">
        <f t="shared" ref="L83:L108" si="7">IF(G83="Low Risk (A)",EDATE(F83,24),
IF(G83="Medium Risk(B)",EDATE(F83,12),
IF(G83="High Risk(C)",EDATE(F83,6),"")))</f>
        <v/>
      </c>
      <c r="M83" s="13"/>
    </row>
    <row r="84" spans="1:13" ht="15.6">
      <c r="A84" s="2">
        <f>ROW() - ROW(Table4[[#Headers],[S/N]])</f>
        <v>82</v>
      </c>
      <c r="B84" s="25"/>
      <c r="C84" s="24"/>
      <c r="D84" s="22"/>
      <c r="E84" s="9"/>
      <c r="F84" s="18"/>
      <c r="G84" s="11"/>
      <c r="H84" s="10"/>
      <c r="I84" s="9"/>
      <c r="J84" s="9" t="str">
        <f t="shared" si="5"/>
        <v/>
      </c>
      <c r="K84" s="9" t="str">
        <f t="shared" si="6"/>
        <v/>
      </c>
      <c r="L84" s="12" t="str">
        <f t="shared" si="7"/>
        <v/>
      </c>
      <c r="M84" s="13"/>
    </row>
    <row r="85" spans="1:13">
      <c r="A85" s="2">
        <f>ROW() - ROW(Table4[[#Headers],[S/N]])</f>
        <v>83</v>
      </c>
      <c r="B85" s="17"/>
      <c r="C85" s="9"/>
      <c r="D85" s="9"/>
      <c r="E85" s="9"/>
      <c r="F85" s="18"/>
      <c r="G85" s="11"/>
      <c r="H85" s="10"/>
      <c r="I85" s="9"/>
      <c r="J85" s="9" t="str">
        <f t="shared" si="5"/>
        <v/>
      </c>
      <c r="K85" s="9" t="str">
        <f t="shared" si="6"/>
        <v/>
      </c>
      <c r="L85" s="12" t="str">
        <f t="shared" si="7"/>
        <v/>
      </c>
      <c r="M85" s="13"/>
    </row>
    <row r="86" spans="1:13" ht="15.6">
      <c r="A86" s="2">
        <f>ROW() - ROW(Table4[[#Headers],[S/N]])</f>
        <v>84</v>
      </c>
      <c r="B86" s="26"/>
      <c r="C86" s="27"/>
      <c r="D86" s="28"/>
      <c r="E86" s="9"/>
      <c r="F86" s="18"/>
      <c r="G86" s="11"/>
      <c r="H86" s="10"/>
      <c r="I86" s="9"/>
      <c r="J86" s="9" t="str">
        <f t="shared" si="5"/>
        <v/>
      </c>
      <c r="K86" s="9" t="str">
        <f t="shared" si="6"/>
        <v/>
      </c>
      <c r="L86" s="12" t="str">
        <f t="shared" si="7"/>
        <v/>
      </c>
      <c r="M86" s="13"/>
    </row>
    <row r="87" spans="1:13" ht="15.6">
      <c r="A87" s="2">
        <f>ROW() - ROW(Table4[[#Headers],[S/N]])</f>
        <v>85</v>
      </c>
      <c r="B87" s="29"/>
      <c r="C87" s="28"/>
      <c r="D87" s="28"/>
      <c r="E87" s="9"/>
      <c r="F87" s="18"/>
      <c r="G87" s="11"/>
      <c r="H87" s="10"/>
      <c r="I87" s="9"/>
      <c r="J87" s="9" t="str">
        <f t="shared" si="5"/>
        <v/>
      </c>
      <c r="K87" s="9" t="str">
        <f t="shared" si="6"/>
        <v/>
      </c>
      <c r="L87" s="12" t="str">
        <f t="shared" si="7"/>
        <v/>
      </c>
      <c r="M87" s="13"/>
    </row>
    <row r="88" spans="1:13" ht="15.6">
      <c r="A88" s="2">
        <f>ROW() - ROW(Table4[[#Headers],[S/N]])</f>
        <v>86</v>
      </c>
      <c r="B88" s="29"/>
      <c r="C88" s="28"/>
      <c r="D88" s="28"/>
      <c r="E88" s="9"/>
      <c r="F88" s="18"/>
      <c r="G88" s="11"/>
      <c r="H88" s="10"/>
      <c r="I88" s="9"/>
      <c r="J88" s="9" t="str">
        <f t="shared" si="5"/>
        <v/>
      </c>
      <c r="K88" s="9" t="str">
        <f t="shared" si="6"/>
        <v/>
      </c>
      <c r="L88" s="12" t="str">
        <f t="shared" si="7"/>
        <v/>
      </c>
      <c r="M88" s="21"/>
    </row>
    <row r="89" spans="1:13" ht="15.6">
      <c r="A89" s="2">
        <f>ROW() - ROW(Table4[[#Headers],[S/N]])</f>
        <v>87</v>
      </c>
      <c r="B89" s="26"/>
      <c r="C89" s="27"/>
      <c r="D89" s="28"/>
      <c r="E89" s="9"/>
      <c r="F89" s="18"/>
      <c r="G89" s="11"/>
      <c r="H89" s="10"/>
      <c r="I89" s="9"/>
      <c r="J89" s="9" t="str">
        <f t="shared" ref="J89:J120" si="8">IF(I89="YES","CAPA VERIFICATION SHOULD BE SCHEDULED",IF(I89="NO","REMINDER LETTER SHOULD BE SENT",""))</f>
        <v/>
      </c>
      <c r="K89" s="9" t="str">
        <f t="shared" ref="K89:K108" si="9">IF(I89="YES","CAPA SUBMITTED",IF(I89="NO","CAPA YET TO BE SUBMITTED",""))</f>
        <v/>
      </c>
      <c r="L89" s="12" t="str">
        <f t="shared" si="7"/>
        <v/>
      </c>
      <c r="M89" s="13"/>
    </row>
    <row r="90" spans="1:13" ht="15.6">
      <c r="A90" s="2">
        <f>ROW() - ROW(Table4[[#Headers],[S/N]])</f>
        <v>88</v>
      </c>
      <c r="B90" s="26"/>
      <c r="C90" s="27"/>
      <c r="D90" s="28"/>
      <c r="E90" s="9"/>
      <c r="F90" s="18"/>
      <c r="G90" s="11"/>
      <c r="H90" s="10"/>
      <c r="I90" s="9"/>
      <c r="J90" s="9" t="str">
        <f t="shared" si="8"/>
        <v/>
      </c>
      <c r="K90" s="9" t="str">
        <f t="shared" si="9"/>
        <v/>
      </c>
      <c r="L90" s="12" t="str">
        <f t="shared" si="7"/>
        <v/>
      </c>
      <c r="M90" s="13"/>
    </row>
    <row r="91" spans="1:13" ht="15.6">
      <c r="A91" s="2">
        <f>ROW() - ROW(Table4[[#Headers],[S/N]])</f>
        <v>89</v>
      </c>
      <c r="B91" s="26"/>
      <c r="C91" s="27"/>
      <c r="D91" s="28"/>
      <c r="E91" s="9"/>
      <c r="F91" s="18"/>
      <c r="G91" s="11"/>
      <c r="H91" s="10"/>
      <c r="I91" s="9"/>
      <c r="J91" s="9" t="str">
        <f t="shared" si="8"/>
        <v/>
      </c>
      <c r="K91" s="9" t="str">
        <f t="shared" si="9"/>
        <v/>
      </c>
      <c r="L91" s="12" t="str">
        <f t="shared" si="7"/>
        <v/>
      </c>
      <c r="M91" s="13"/>
    </row>
    <row r="92" spans="1:13" ht="15.6">
      <c r="A92" s="2">
        <f>ROW() - ROW(Table4[[#Headers],[S/N]])</f>
        <v>90</v>
      </c>
      <c r="B92" s="26"/>
      <c r="C92" s="27"/>
      <c r="D92" s="28"/>
      <c r="E92" s="9"/>
      <c r="F92" s="18"/>
      <c r="G92" s="11"/>
      <c r="H92" s="10"/>
      <c r="I92" s="9"/>
      <c r="J92" s="9" t="str">
        <f t="shared" si="8"/>
        <v/>
      </c>
      <c r="K92" s="9" t="str">
        <f t="shared" si="9"/>
        <v/>
      </c>
      <c r="L92" s="12" t="str">
        <f t="shared" si="7"/>
        <v/>
      </c>
      <c r="M92" s="13"/>
    </row>
    <row r="93" spans="1:13" ht="15.6">
      <c r="A93" s="2">
        <f>ROW() - ROW(Table4[[#Headers],[S/N]])</f>
        <v>91</v>
      </c>
      <c r="B93" s="26"/>
      <c r="C93" s="28"/>
      <c r="D93" s="28"/>
      <c r="E93" s="9"/>
      <c r="F93" s="18"/>
      <c r="G93" s="11"/>
      <c r="H93" s="10"/>
      <c r="I93" s="9"/>
      <c r="J93" s="9" t="str">
        <f t="shared" si="8"/>
        <v/>
      </c>
      <c r="K93" s="9" t="str">
        <f t="shared" si="9"/>
        <v/>
      </c>
      <c r="L93" s="12" t="str">
        <f t="shared" si="7"/>
        <v/>
      </c>
      <c r="M93" s="13"/>
    </row>
    <row r="94" spans="1:13" ht="15.6">
      <c r="A94" s="2">
        <f>ROW() - ROW(Table4[[#Headers],[S/N]])</f>
        <v>92</v>
      </c>
      <c r="B94" s="29"/>
      <c r="C94" s="28"/>
      <c r="D94" s="28"/>
      <c r="E94" s="9"/>
      <c r="F94" s="18"/>
      <c r="G94" s="11"/>
      <c r="H94" s="10"/>
      <c r="I94" s="9"/>
      <c r="J94" s="9" t="str">
        <f t="shared" si="8"/>
        <v/>
      </c>
      <c r="K94" s="9" t="str">
        <f t="shared" si="9"/>
        <v/>
      </c>
      <c r="L94" s="12" t="str">
        <f t="shared" si="7"/>
        <v/>
      </c>
      <c r="M94" s="13"/>
    </row>
    <row r="95" spans="1:13" ht="15.6">
      <c r="A95" s="2">
        <f>ROW() - ROW(Table4[[#Headers],[S/N]])</f>
        <v>93</v>
      </c>
      <c r="B95" s="26"/>
      <c r="C95" s="27"/>
      <c r="D95" s="28"/>
      <c r="E95" s="9"/>
      <c r="F95" s="18"/>
      <c r="G95" s="11"/>
      <c r="H95" s="10"/>
      <c r="I95" s="9"/>
      <c r="J95" s="9" t="str">
        <f t="shared" si="8"/>
        <v/>
      </c>
      <c r="K95" s="9" t="str">
        <f t="shared" si="9"/>
        <v/>
      </c>
      <c r="L95" s="12" t="str">
        <f t="shared" si="7"/>
        <v/>
      </c>
      <c r="M95" s="13"/>
    </row>
    <row r="96" spans="1:13" ht="15.6">
      <c r="A96" s="2">
        <f>ROW() - ROW(Table4[[#Headers],[S/N]])</f>
        <v>94</v>
      </c>
      <c r="B96" s="26"/>
      <c r="C96" s="27"/>
      <c r="D96" s="27"/>
      <c r="E96" s="9"/>
      <c r="F96" s="18"/>
      <c r="G96" s="11"/>
      <c r="H96" s="10"/>
      <c r="I96" s="9"/>
      <c r="J96" s="9" t="str">
        <f t="shared" si="8"/>
        <v/>
      </c>
      <c r="K96" s="9" t="str">
        <f t="shared" si="9"/>
        <v/>
      </c>
      <c r="L96" s="12" t="str">
        <f t="shared" si="7"/>
        <v/>
      </c>
      <c r="M96" s="13"/>
    </row>
    <row r="97" spans="1:13" ht="15.6">
      <c r="A97" s="2">
        <f>ROW() - ROW(Table4[[#Headers],[S/N]])</f>
        <v>95</v>
      </c>
      <c r="B97" s="26"/>
      <c r="C97" s="27"/>
      <c r="D97" s="28"/>
      <c r="E97" s="9"/>
      <c r="F97" s="18"/>
      <c r="G97" s="11"/>
      <c r="H97" s="10"/>
      <c r="I97" s="9"/>
      <c r="J97" s="9" t="str">
        <f t="shared" si="8"/>
        <v/>
      </c>
      <c r="K97" s="9" t="str">
        <f t="shared" si="9"/>
        <v/>
      </c>
      <c r="L97" s="12" t="str">
        <f t="shared" si="7"/>
        <v/>
      </c>
      <c r="M97" s="13"/>
    </row>
    <row r="98" spans="1:13">
      <c r="A98" s="2">
        <f>ROW() - ROW(Table4[[#Headers],[S/N]])</f>
        <v>96</v>
      </c>
      <c r="B98" s="17"/>
      <c r="C98" s="9"/>
      <c r="D98" s="9"/>
      <c r="E98" s="9"/>
      <c r="F98" s="18"/>
      <c r="G98" s="11"/>
      <c r="H98" s="10"/>
      <c r="I98" s="9"/>
      <c r="J98" s="9" t="str">
        <f t="shared" si="8"/>
        <v/>
      </c>
      <c r="K98" s="9" t="str">
        <f t="shared" si="9"/>
        <v/>
      </c>
      <c r="L98" s="12" t="str">
        <f t="shared" si="7"/>
        <v/>
      </c>
      <c r="M98" s="13"/>
    </row>
    <row r="99" spans="1:13">
      <c r="A99" s="2">
        <f>ROW() - ROW(Table4[[#Headers],[S/N]])</f>
        <v>97</v>
      </c>
      <c r="B99" s="17"/>
      <c r="C99" s="9"/>
      <c r="D99" s="9"/>
      <c r="E99" s="9"/>
      <c r="F99" s="18"/>
      <c r="G99" s="11"/>
      <c r="H99" s="10"/>
      <c r="I99" s="9"/>
      <c r="J99" s="9" t="str">
        <f t="shared" si="8"/>
        <v/>
      </c>
      <c r="K99" s="9" t="str">
        <f t="shared" si="9"/>
        <v/>
      </c>
      <c r="L99" s="12" t="str">
        <f t="shared" si="7"/>
        <v/>
      </c>
      <c r="M99" s="21"/>
    </row>
    <row r="100" spans="1:13">
      <c r="A100" s="2">
        <f>ROW() - ROW(Table4[[#Headers],[S/N]])</f>
        <v>98</v>
      </c>
      <c r="B100" s="17"/>
      <c r="C100" s="9"/>
      <c r="D100" s="9"/>
      <c r="E100" s="9"/>
      <c r="F100" s="18"/>
      <c r="G100" s="11"/>
      <c r="H100" s="10"/>
      <c r="I100" s="9"/>
      <c r="J100" s="9" t="str">
        <f t="shared" si="8"/>
        <v/>
      </c>
      <c r="K100" s="9" t="str">
        <f t="shared" si="9"/>
        <v/>
      </c>
      <c r="L100" s="12" t="str">
        <f t="shared" si="7"/>
        <v/>
      </c>
      <c r="M100" s="13"/>
    </row>
    <row r="101" spans="1:13">
      <c r="A101" s="2">
        <f>ROW() - ROW(Table4[[#Headers],[S/N]])</f>
        <v>99</v>
      </c>
      <c r="B101" s="17"/>
      <c r="C101" s="9"/>
      <c r="D101" s="9"/>
      <c r="E101" s="9"/>
      <c r="F101" s="18"/>
      <c r="G101" s="11"/>
      <c r="H101" s="10"/>
      <c r="I101" s="9"/>
      <c r="J101" s="9" t="str">
        <f t="shared" si="8"/>
        <v/>
      </c>
      <c r="K101" s="9" t="str">
        <f t="shared" si="9"/>
        <v/>
      </c>
      <c r="L101" s="12" t="str">
        <f t="shared" si="7"/>
        <v/>
      </c>
      <c r="M101" s="13"/>
    </row>
    <row r="102" spans="1:13">
      <c r="A102" s="2">
        <f>ROW() - ROW(Table4[[#Headers],[S/N]])</f>
        <v>100</v>
      </c>
      <c r="B102" s="17"/>
      <c r="C102" s="9"/>
      <c r="D102" s="9"/>
      <c r="E102" s="9"/>
      <c r="F102" s="18"/>
      <c r="G102" s="11"/>
      <c r="H102" s="10"/>
      <c r="I102" s="9"/>
      <c r="J102" s="9" t="str">
        <f t="shared" si="8"/>
        <v/>
      </c>
      <c r="K102" s="9" t="str">
        <f t="shared" si="9"/>
        <v/>
      </c>
      <c r="L102" s="12" t="str">
        <f t="shared" si="7"/>
        <v/>
      </c>
      <c r="M102" s="13"/>
    </row>
    <row r="103" spans="1:13">
      <c r="A103" s="2">
        <f>ROW() - ROW(Table4[[#Headers],[S/N]])</f>
        <v>101</v>
      </c>
      <c r="B103" s="17"/>
      <c r="C103" s="9"/>
      <c r="D103" s="9"/>
      <c r="E103" s="9"/>
      <c r="F103" s="18"/>
      <c r="G103" s="11"/>
      <c r="H103" s="10"/>
      <c r="I103" s="9"/>
      <c r="J103" s="9" t="str">
        <f t="shared" si="8"/>
        <v/>
      </c>
      <c r="K103" s="9" t="str">
        <f t="shared" si="9"/>
        <v/>
      </c>
      <c r="L103" s="12" t="str">
        <f t="shared" si="7"/>
        <v/>
      </c>
      <c r="M103" s="21"/>
    </row>
    <row r="104" spans="1:13">
      <c r="A104" s="2">
        <f>ROW() - ROW(Table4[[#Headers],[S/N]])</f>
        <v>102</v>
      </c>
      <c r="B104" s="17"/>
      <c r="C104" s="9"/>
      <c r="D104" s="9"/>
      <c r="E104" s="9"/>
      <c r="F104" s="18"/>
      <c r="G104" s="11"/>
      <c r="H104" s="10"/>
      <c r="I104" s="9"/>
      <c r="J104" s="9" t="str">
        <f t="shared" si="8"/>
        <v/>
      </c>
      <c r="K104" s="9" t="str">
        <f t="shared" si="9"/>
        <v/>
      </c>
      <c r="L104" s="12" t="str">
        <f t="shared" si="7"/>
        <v/>
      </c>
      <c r="M104" s="13"/>
    </row>
    <row r="105" spans="1:13">
      <c r="A105" s="2">
        <f>ROW() - ROW(Table4[[#Headers],[S/N]])</f>
        <v>103</v>
      </c>
      <c r="B105" s="17"/>
      <c r="C105" s="9"/>
      <c r="D105" s="9"/>
      <c r="E105" s="9"/>
      <c r="F105" s="18"/>
      <c r="G105" s="11"/>
      <c r="H105" s="10"/>
      <c r="I105" s="9"/>
      <c r="J105" s="9" t="str">
        <f t="shared" si="8"/>
        <v/>
      </c>
      <c r="K105" s="9" t="str">
        <f t="shared" si="9"/>
        <v/>
      </c>
      <c r="L105" s="12" t="str">
        <f t="shared" si="7"/>
        <v/>
      </c>
      <c r="M105" s="13"/>
    </row>
    <row r="106" spans="1:13">
      <c r="A106" s="2">
        <f>ROW() - ROW(Table4[[#Headers],[S/N]])</f>
        <v>104</v>
      </c>
      <c r="B106" s="17"/>
      <c r="C106" s="9"/>
      <c r="D106" s="9"/>
      <c r="E106" s="9"/>
      <c r="F106" s="18"/>
      <c r="G106" s="11"/>
      <c r="H106" s="10"/>
      <c r="I106" s="9"/>
      <c r="J106" s="9" t="str">
        <f t="shared" si="8"/>
        <v/>
      </c>
      <c r="K106" s="9" t="str">
        <f t="shared" si="9"/>
        <v/>
      </c>
      <c r="L106" s="12" t="str">
        <f t="shared" si="7"/>
        <v/>
      </c>
      <c r="M106" s="13"/>
    </row>
    <row r="107" spans="1:13">
      <c r="A107" s="2">
        <f>ROW() - ROW(Table4[[#Headers],[S/N]])</f>
        <v>105</v>
      </c>
      <c r="B107" s="17"/>
      <c r="C107" s="9"/>
      <c r="D107" s="9"/>
      <c r="E107" s="9"/>
      <c r="F107" s="18"/>
      <c r="G107" s="11"/>
      <c r="H107" s="10"/>
      <c r="I107" s="9"/>
      <c r="J107" s="9" t="str">
        <f t="shared" si="8"/>
        <v/>
      </c>
      <c r="K107" s="9" t="str">
        <f t="shared" si="9"/>
        <v/>
      </c>
      <c r="L107" s="12" t="str">
        <f t="shared" si="7"/>
        <v/>
      </c>
      <c r="M107" s="13"/>
    </row>
    <row r="108" spans="1:13">
      <c r="A108" s="2">
        <f>ROW() - ROW(Table4[[#Headers],[S/N]])</f>
        <v>106</v>
      </c>
      <c r="B108" s="30"/>
      <c r="C108" s="31"/>
      <c r="D108" s="31"/>
      <c r="E108" s="9"/>
      <c r="F108" s="18"/>
      <c r="G108" s="11"/>
      <c r="H108" s="40"/>
      <c r="I108" s="31"/>
      <c r="J108" s="31" t="str">
        <f t="shared" si="8"/>
        <v/>
      </c>
      <c r="K108" s="31" t="str">
        <f t="shared" si="9"/>
        <v/>
      </c>
      <c r="L108" s="12" t="str">
        <f t="shared" si="7"/>
        <v/>
      </c>
      <c r="M108" s="13"/>
    </row>
  </sheetData>
  <mergeCells count="1">
    <mergeCell ref="A1:J1"/>
  </mergeCells>
  <dataValidations count="3">
    <dataValidation type="list" allowBlank="1" showInputMessage="1" showErrorMessage="1" sqref="I19:I1048576 I3:I15 I17" xr:uid="{95712C72-EB7F-4E57-8F8E-93162747BDB0}">
      <formula1>"YES,NO,CAPA CLOSED"</formula1>
    </dataValidation>
    <dataValidation type="list" allowBlank="1" showInputMessage="1" showErrorMessage="1" sqref="G3:G15 G17 G19:G108" xr:uid="{A760B9C7-5046-4F22-8206-33682097706B}">
      <formula1>"Low Risk (A),Medium Risk(B),High Risk(C)"</formula1>
    </dataValidation>
    <dataValidation type="list" allowBlank="1" showInputMessage="1" showErrorMessage="1" sqref="E3:E108" xr:uid="{FE06D0FF-B351-485C-A0F9-BE9BBF6843D3}">
      <formula1>"GSDP,CEVI"</formula1>
    </dataValidation>
  </dataValidations>
  <hyperlinks>
    <hyperlink ref="M5" r:id="rId1" xr:uid="{A293FE77-C2DE-4B3A-AF92-42AE07CA782B}"/>
    <hyperlink ref="M3" r:id="rId2" xr:uid="{0D5A0489-2942-4BD3-8BE4-087F8A566452}"/>
    <hyperlink ref="M4" r:id="rId3" xr:uid="{4612BA50-30BC-471D-BA4A-437C51F5D8D4}"/>
    <hyperlink ref="M6" r:id="rId4" xr:uid="{E33908F2-047E-4118-8E48-8BC6B721EE55}"/>
    <hyperlink ref="M12" r:id="rId5" xr:uid="{1DCA3500-2437-4227-8E23-217F8D768B57}"/>
    <hyperlink ref="M14" r:id="rId6" xr:uid="{81C9366E-0368-43B1-8722-1A1BEF9CA034}"/>
    <hyperlink ref="M24" r:id="rId7" xr:uid="{715AFDD8-0985-4E0B-935E-B64AD1C00884}"/>
    <hyperlink ref="M22" r:id="rId8" xr:uid="{13E9A248-E08A-4EAA-9592-A6AA9C37C70A}"/>
    <hyperlink ref="M18" r:id="rId9" xr:uid="{E88D5A97-74BB-4799-99C8-286EB5D7A1B8}"/>
    <hyperlink ref="M21" r:id="rId10" xr:uid="{0FD970E6-5F0F-4A89-8EAC-DAEFE2EA57C5}"/>
    <hyperlink ref="M20" r:id="rId11" xr:uid="{A50E6214-C71C-4D13-89A5-73F054A45686}"/>
    <hyperlink ref="M23" r:id="rId12" xr:uid="{0194E166-18E3-405E-B12E-292A18C17212}"/>
    <hyperlink ref="M15" r:id="rId13" xr:uid="{64A091B6-0062-4997-BE33-B7135A50F5A8}"/>
    <hyperlink ref="M13" r:id="rId14" xr:uid="{9D44FFC8-9F44-4FAE-94F1-D00DF814EE1D}"/>
    <hyperlink ref="M16" r:id="rId15" xr:uid="{E060464E-81AA-469D-8633-F452B6BB5088}"/>
    <hyperlink ref="M17" r:id="rId16" xr:uid="{0DDBF8EB-6C3D-4072-AD8C-9FFBB483F89A}"/>
    <hyperlink ref="M11" r:id="rId17" xr:uid="{8BEB48D6-750E-49BD-BDD9-3674BD141B4F}"/>
    <hyperlink ref="M19" r:id="rId18" xr:uid="{56997FC2-74E5-4B95-AEFC-8F25E36A3AA3}"/>
    <hyperlink ref="M7" r:id="rId19" xr:uid="{AA40589D-81B7-42BF-AD84-9B69F0999881}"/>
    <hyperlink ref="M8" r:id="rId20" xr:uid="{966D59F5-4FB4-42ED-B555-D4F1C0A18E91}"/>
    <hyperlink ref="M9" r:id="rId21" xr:uid="{74273BBA-A7FB-4539-8153-11BD444590AD}"/>
  </hyperlinks>
  <pageMargins left="0.7" right="0.7" top="0.75" bottom="0.75" header="0.3" footer="0.3"/>
  <pageSetup orientation="portrait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597D-2FB7-4B81-83BC-917D9C7B0043}">
  <dimension ref="A2:G14"/>
  <sheetViews>
    <sheetView workbookViewId="0">
      <selection activeCell="J10" sqref="J10"/>
    </sheetView>
  </sheetViews>
  <sheetFormatPr defaultRowHeight="14.45"/>
  <cols>
    <col min="1" max="1" width="13.42578125" customWidth="1"/>
    <col min="2" max="2" width="14.5703125" customWidth="1"/>
    <col min="3" max="3" width="13.140625" customWidth="1"/>
    <col min="4" max="4" width="12.5703125" customWidth="1"/>
    <col min="6" max="6" width="13.5703125" customWidth="1"/>
    <col min="7" max="7" width="13.42578125" customWidth="1"/>
  </cols>
  <sheetData>
    <row r="2" spans="1:7" s="38" customFormat="1" ht="28.9">
      <c r="B2" s="38" t="s">
        <v>88</v>
      </c>
      <c r="C2" s="38" t="s">
        <v>89</v>
      </c>
      <c r="D2" s="38" t="s">
        <v>90</v>
      </c>
      <c r="E2" s="38" t="s">
        <v>91</v>
      </c>
      <c r="F2" s="38" t="s">
        <v>92</v>
      </c>
      <c r="G2" s="38" t="s">
        <v>93</v>
      </c>
    </row>
    <row r="3" spans="1:7">
      <c r="A3" t="s">
        <v>94</v>
      </c>
      <c r="B3">
        <f>COUNTIFS(
'INSPECTED FACILITIES 2026'!E:E,"GSDP",
'INSPECTED FACILITIES 2026'!F:F,"&gt;="&amp;DATE(2026,MONTH(DATEVALUE(A3&amp;" 1")),1),
'INSPECTED FACILITIES 2026'!F:F,"&lt;"&amp;EOMONTH(DATE(2026,MONTH(DATEVALUE(A3&amp;" 1")),1),0)+1
)</f>
        <v>0</v>
      </c>
      <c r="C3">
        <f>COUNTIFS(
'INSPECTED FACILITIES 2026'!E:E,"CEVI",
'INSPECTED FACILITIES 2026'!F:F,"&gt;="&amp;DATE(2026,MONTH(DATEVALUE(A3&amp;" 1")),1),
'INSPECTED FACILITIES 2026'!F:F,"&lt;"&amp;EOMONTH(DATE(2026,MONTH(DATEVALUE(A3&amp;" 1")),1),0)+1
)</f>
        <v>8</v>
      </c>
      <c r="D3">
        <f>COUNTIFS(
'INSPECTED FACILITIES 2026'!I:I,"YES",
'INSPECTED FACILITIES 2026'!F:F,"&gt;="&amp;DATE(2026,MONTH(DATEVALUE(A3&amp;" 1")),1),
'INSPECTED FACILITIES 2026'!F:F,"&lt;"&amp;EOMONTH(DATE(2026,MONTH(DATEVALUE(A3&amp;" 1")),1),0)+1
)</f>
        <v>0</v>
      </c>
      <c r="E3">
        <f>COUNTIFS(
'INSPECTED FACILITIES 2026'!G:G,"Low Risk (A)",
'INSPECTED FACILITIES 2026'!F:F,"&gt;="&amp;DATE(2026,MONTH(DATEVALUE(A3&amp;" 1")),1),
'INSPECTED FACILITIES 2026'!F:F,"&lt;"&amp;EOMONTH(DATE(2026,MONTH(DATEVALUE(A3&amp;" 1")),1),0)+1
)</f>
        <v>2</v>
      </c>
      <c r="F3">
        <f>COUNTIFS(
'INSPECTED FACILITIES 2026'!G:G,"Medium Risk(B)",
'INSPECTED FACILITIES 2026'!F:F,"&gt;="&amp;DATE(2026,MONTH(DATEVALUE(A3&amp;" 1")),1),
'INSPECTED FACILITIES 2026'!F:F,"&lt;"&amp;EOMONTH(DATE(2026,MONTH(DATEVALUE(A3&amp;" 1")),1),0)+1
)</f>
        <v>4</v>
      </c>
      <c r="G3">
        <f>COUNTIFS(
'INSPECTED FACILITIES 2026'!G:G,"High Risk(C)",
'INSPECTED FACILITIES 2026'!F:F,"&gt;="&amp;DATE(2026,MONTH(DATEVALUE(A3&amp;" 1")),1),
'INSPECTED FACILITIES 2026'!F:F,"&lt;"&amp;EOMONTH(DATE(2026,MONTH(DATEVALUE(A3&amp;" 1")),1),0)+1
)</f>
        <v>2</v>
      </c>
    </row>
    <row r="4" spans="1:7">
      <c r="A4" t="s">
        <v>95</v>
      </c>
      <c r="B4">
        <f>COUNTIFS(
'INSPECTED FACILITIES 2026'!E:E,"GSDP",
'INSPECTED FACILITIES 2026'!F:F,"&gt;="&amp;DATE(2026,MONTH(DATEVALUE(A4&amp;" 1")),1),
'INSPECTED FACILITIES 2026'!F:F,"&lt;"&amp;EOMONTH(DATE(2026,MONTH(DATEVALUE(A4&amp;" 1")),1),0)+1
)</f>
        <v>1</v>
      </c>
      <c r="C4">
        <f>COUNTIFS(
'INSPECTED FACILITIES 2026'!E:E,"CEVI",
'INSPECTED FACILITIES 2026'!F:F,"&gt;="&amp;DATE(2026,MONTH(DATEVALUE(A4&amp;" 1")),1),
'INSPECTED FACILITIES 2026'!F:F,"&lt;"&amp;EOMONTH(DATE(2026,MONTH(DATEVALUE(A4&amp;" 1")),1),0)+1
)</f>
        <v>13</v>
      </c>
      <c r="D4">
        <f>COUNTIFS(
'INSPECTED FACILITIES 2026'!I:I,"YES",
'INSPECTED FACILITIES 2026'!F:F,"&gt;="&amp;DATE(2026,MONTH(DATEVALUE(A4&amp;" 1")),1),
'INSPECTED FACILITIES 2026'!F:F,"&lt;"&amp;EOMONTH(DATE(2026,MONTH(DATEVALUE(A4&amp;" 1")),1),0)+1
)</f>
        <v>0</v>
      </c>
      <c r="E4">
        <f>COUNTIFS(
'INSPECTED FACILITIES 2026'!G:G,"Low Risk (A)",
'INSPECTED FACILITIES 2026'!F:F,"&gt;="&amp;DATE(2026,MONTH(DATEVALUE(A4&amp;" 1")),1),
'INSPECTED FACILITIES 2026'!F:F,"&lt;"&amp;EOMONTH(DATE(2026,MONTH(DATEVALUE(A4&amp;" 1")),1),0)+1
)</f>
        <v>5</v>
      </c>
      <c r="F4">
        <f>COUNTIFS(
'INSPECTED FACILITIES 2026'!G:G,"Medium Risk(B)",
'INSPECTED FACILITIES 2026'!F:F,"&gt;="&amp;DATE(2026,MONTH(DATEVALUE(A4&amp;" 1")),1),
'INSPECTED FACILITIES 2026'!F:F,"&lt;"&amp;EOMONTH(DATE(2026,MONTH(DATEVALUE(A4&amp;" 1")),1),0)+1
)</f>
        <v>5</v>
      </c>
      <c r="G4">
        <f>COUNTIFS(
'INSPECTED FACILITIES 2026'!G:G,"High Risk(C)",
'INSPECTED FACILITIES 2026'!F:F,"&gt;="&amp;DATE(2026,MONTH(DATEVALUE(A4&amp;" 1")),1),
'INSPECTED FACILITIES 2026'!F:F,"&lt;"&amp;EOMONTH(DATE(2026,MONTH(DATEVALUE(A4&amp;" 1")),1),0)+1
)</f>
        <v>2</v>
      </c>
    </row>
    <row r="5" spans="1:7">
      <c r="A5" t="s">
        <v>96</v>
      </c>
      <c r="B5">
        <f>COUNTIFS(
'INSPECTED FACILITIES 2026'!E:E,"GSDP",
'INSPECTED FACILITIES 2026'!F:F,"&gt;="&amp;DATE(2026,MONTH(DATEVALUE(A5&amp;" 1")),1),
'INSPECTED FACILITIES 2026'!F:F,"&lt;"&amp;EOMONTH(DATE(2026,MONTH(DATEVALUE(A5&amp;" 1")),1),0)+1
)</f>
        <v>0</v>
      </c>
      <c r="C5">
        <f>COUNTIFS(
'INSPECTED FACILITIES 2026'!E:E,"CEVI",
'INSPECTED FACILITIES 2026'!F:F,"&gt;="&amp;DATE(2026,MONTH(DATEVALUE(A5&amp;" 1")),1),
'INSPECTED FACILITIES 2026'!F:F,"&lt;"&amp;EOMONTH(DATE(2026,MONTH(DATEVALUE(A5&amp;" 1")),1),0)+1
)</f>
        <v>0</v>
      </c>
      <c r="D5">
        <f>COUNTIFS(
'INSPECTED FACILITIES 2026'!I:I,"YES",
'INSPECTED FACILITIES 2026'!F:F,"&gt;="&amp;DATE(2026,MONTH(DATEVALUE(A5&amp;" 1")),1),
'INSPECTED FACILITIES 2026'!F:F,"&lt;"&amp;EOMONTH(DATE(2026,MONTH(DATEVALUE(A5&amp;" 1")),1),0)+1
)</f>
        <v>0</v>
      </c>
      <c r="E5">
        <f>COUNTIFS(
'INSPECTED FACILITIES 2026'!G:G,"Low Risk (A)",
'INSPECTED FACILITIES 2026'!F:F,"&gt;="&amp;DATE(2026,MONTH(DATEVALUE(A5&amp;" 1")),1),
'INSPECTED FACILITIES 2026'!F:F,"&lt;"&amp;EOMONTH(DATE(2026,MONTH(DATEVALUE(A5&amp;" 1")),1),0)+1
)</f>
        <v>0</v>
      </c>
      <c r="F5">
        <f>COUNTIFS(
'INSPECTED FACILITIES 2026'!G:G,"Medium Risk(B)",
'INSPECTED FACILITIES 2026'!F:F,"&gt;="&amp;DATE(2026,MONTH(DATEVALUE(A5&amp;" 1")),1),
'INSPECTED FACILITIES 2026'!F:F,"&lt;"&amp;EOMONTH(DATE(2026,MONTH(DATEVALUE(A5&amp;" 1")),1),0)+1
)</f>
        <v>0</v>
      </c>
      <c r="G5">
        <f>COUNTIFS(
'INSPECTED FACILITIES 2026'!G:G,"High Risk(C)",
'INSPECTED FACILITIES 2026'!F:F,"&gt;="&amp;DATE(2026,MONTH(DATEVALUE(A5&amp;" 1")),1),
'INSPECTED FACILITIES 2026'!F:F,"&lt;"&amp;EOMONTH(DATE(2026,MONTH(DATEVALUE(A5&amp;" 1")),1),0)+1
)</f>
        <v>0</v>
      </c>
    </row>
    <row r="6" spans="1:7">
      <c r="A6" t="s">
        <v>97</v>
      </c>
      <c r="B6">
        <f>COUNTIFS(
'INSPECTED FACILITIES 2026'!E:E,"GSDP",
'INSPECTED FACILITIES 2026'!F:F,"&gt;="&amp;DATE(2026,MONTH(DATEVALUE(A6&amp;" 1")),1),
'INSPECTED FACILITIES 2026'!F:F,"&lt;"&amp;EOMONTH(DATE(2026,MONTH(DATEVALUE(A6&amp;" 1")),1),0)+1
)</f>
        <v>0</v>
      </c>
      <c r="C6">
        <f>COUNTIFS(
'INSPECTED FACILITIES 2026'!E:E,"CEVI",
'INSPECTED FACILITIES 2026'!F:F,"&gt;="&amp;DATE(2026,MONTH(DATEVALUE(A6&amp;" 1")),1),
'INSPECTED FACILITIES 2026'!F:F,"&lt;"&amp;EOMONTH(DATE(2026,MONTH(DATEVALUE(A6&amp;" 1")),1),0)+1
)</f>
        <v>0</v>
      </c>
      <c r="D6">
        <f>COUNTIFS(
'INSPECTED FACILITIES 2026'!I:I,"YES",
'INSPECTED FACILITIES 2026'!F:F,"&gt;="&amp;DATE(2026,MONTH(DATEVALUE(A6&amp;" 1")),1),
'INSPECTED FACILITIES 2026'!F:F,"&lt;"&amp;EOMONTH(DATE(2026,MONTH(DATEVALUE(A6&amp;" 1")),1),0)+1
)</f>
        <v>0</v>
      </c>
      <c r="E6">
        <f>COUNTIFS(
'INSPECTED FACILITIES 2026'!G:G,"Low Risk (A)",
'INSPECTED FACILITIES 2026'!F:F,"&gt;="&amp;DATE(2026,MONTH(DATEVALUE(A6&amp;" 1")),1),
'INSPECTED FACILITIES 2026'!F:F,"&lt;"&amp;EOMONTH(DATE(2026,MONTH(DATEVALUE(A6&amp;" 1")),1),0)+1
)</f>
        <v>0</v>
      </c>
      <c r="F6">
        <f>COUNTIFS(
'INSPECTED FACILITIES 2026'!G:G,"Medium Risk(B)",
'INSPECTED FACILITIES 2026'!F:F,"&gt;="&amp;DATE(2026,MONTH(DATEVALUE(A6&amp;" 1")),1),
'INSPECTED FACILITIES 2026'!F:F,"&lt;"&amp;EOMONTH(DATE(2026,MONTH(DATEVALUE(A6&amp;" 1")),1),0)+1
)</f>
        <v>0</v>
      </c>
      <c r="G6">
        <f>COUNTIFS(
'INSPECTED FACILITIES 2026'!G:G,"High Risk(C)",
'INSPECTED FACILITIES 2026'!F:F,"&gt;="&amp;DATE(2026,MONTH(DATEVALUE(A6&amp;" 1")),1),
'INSPECTED FACILITIES 2026'!F:F,"&lt;"&amp;EOMONTH(DATE(2026,MONTH(DATEVALUE(A6&amp;" 1")),1),0)+1
)</f>
        <v>0</v>
      </c>
    </row>
    <row r="7" spans="1:7">
      <c r="A7" t="s">
        <v>98</v>
      </c>
      <c r="B7">
        <f>COUNTIFS(
'INSPECTED FACILITIES 2026'!E:E,"GSDP",
'INSPECTED FACILITIES 2026'!F:F,"&gt;="&amp;DATE(2026,MONTH(DATEVALUE(A7&amp;" 1")),1),
'INSPECTED FACILITIES 2026'!F:F,"&lt;"&amp;EOMONTH(DATE(2026,MONTH(DATEVALUE(A7&amp;" 1")),1),0)+1
)</f>
        <v>0</v>
      </c>
      <c r="C7">
        <f>COUNTIFS(
'INSPECTED FACILITIES 2026'!E:E,"CEVI",
'INSPECTED FACILITIES 2026'!F:F,"&gt;="&amp;DATE(2026,MONTH(DATEVALUE(A7&amp;" 1")),1),
'INSPECTED FACILITIES 2026'!F:F,"&lt;"&amp;EOMONTH(DATE(2026,MONTH(DATEVALUE(A7&amp;" 1")),1),0)+1
)</f>
        <v>0</v>
      </c>
      <c r="D7">
        <f>COUNTIFS(
'INSPECTED FACILITIES 2026'!I:I,"YES",
'INSPECTED FACILITIES 2026'!F:F,"&gt;="&amp;DATE(2026,MONTH(DATEVALUE(A7&amp;" 1")),1),
'INSPECTED FACILITIES 2026'!F:F,"&lt;"&amp;EOMONTH(DATE(2026,MONTH(DATEVALUE(A7&amp;" 1")),1),0)+1
)</f>
        <v>0</v>
      </c>
      <c r="E7">
        <f>COUNTIFS(
'INSPECTED FACILITIES 2026'!G:G,"Low Risk (A)",
'INSPECTED FACILITIES 2026'!F:F,"&gt;="&amp;DATE(2026,MONTH(DATEVALUE(A7&amp;" 1")),1),
'INSPECTED FACILITIES 2026'!F:F,"&lt;"&amp;EOMONTH(DATE(2026,MONTH(DATEVALUE(A7&amp;" 1")),1),0)+1
)</f>
        <v>0</v>
      </c>
      <c r="F7">
        <f>COUNTIFS(
'INSPECTED FACILITIES 2026'!G:G,"Medium Risk(B)",
'INSPECTED FACILITIES 2026'!F:F,"&gt;="&amp;DATE(2026,MONTH(DATEVALUE(A7&amp;" 1")),1),
'INSPECTED FACILITIES 2026'!F:F,"&lt;"&amp;EOMONTH(DATE(2026,MONTH(DATEVALUE(A7&amp;" 1")),1),0)+1
)</f>
        <v>0</v>
      </c>
      <c r="G7">
        <f>COUNTIFS(
'INSPECTED FACILITIES 2026'!G:G,"High Risk(C)",
'INSPECTED FACILITIES 2026'!F:F,"&gt;="&amp;DATE(2026,MONTH(DATEVALUE(A7&amp;" 1")),1),
'INSPECTED FACILITIES 2026'!F:F,"&lt;"&amp;EOMONTH(DATE(2026,MONTH(DATEVALUE(A7&amp;" 1")),1),0)+1
)</f>
        <v>0</v>
      </c>
    </row>
    <row r="8" spans="1:7">
      <c r="A8" t="s">
        <v>99</v>
      </c>
      <c r="B8">
        <f>COUNTIFS(
'INSPECTED FACILITIES 2026'!E:E,"GSDP",
'INSPECTED FACILITIES 2026'!F:F,"&gt;="&amp;DATE(2026,MONTH(DATEVALUE(A8&amp;" 1")),1),
'INSPECTED FACILITIES 2026'!F:F,"&lt;"&amp;EOMONTH(DATE(2026,MONTH(DATEVALUE(A8&amp;" 1")),1),0)+1
)</f>
        <v>0</v>
      </c>
      <c r="C8">
        <f>COUNTIFS(
'INSPECTED FACILITIES 2026'!E:E,"CEVI",
'INSPECTED FACILITIES 2026'!F:F,"&gt;="&amp;DATE(2026,MONTH(DATEVALUE(A8&amp;" 1")),1),
'INSPECTED FACILITIES 2026'!F:F,"&lt;"&amp;EOMONTH(DATE(2026,MONTH(DATEVALUE(A8&amp;" 1")),1),0)+1
)</f>
        <v>0</v>
      </c>
      <c r="D8">
        <f>COUNTIFS(
'INSPECTED FACILITIES 2026'!I:I,"YES",
'INSPECTED FACILITIES 2026'!F:F,"&gt;="&amp;DATE(2026,MONTH(DATEVALUE(A8&amp;" 1")),1),
'INSPECTED FACILITIES 2026'!F:F,"&lt;"&amp;EOMONTH(DATE(2026,MONTH(DATEVALUE(A8&amp;" 1")),1),0)+1
)</f>
        <v>0</v>
      </c>
      <c r="E8">
        <f>COUNTIFS(
'INSPECTED FACILITIES 2026'!G:G,"Low Risk (A)",
'INSPECTED FACILITIES 2026'!F:F,"&gt;="&amp;DATE(2026,MONTH(DATEVALUE(A8&amp;" 1")),1),
'INSPECTED FACILITIES 2026'!F:F,"&lt;"&amp;EOMONTH(DATE(2026,MONTH(DATEVALUE(A8&amp;" 1")),1),0)+1
)</f>
        <v>0</v>
      </c>
      <c r="F8">
        <f>COUNTIFS(
'INSPECTED FACILITIES 2026'!G:G,"Medium Risk(B)",
'INSPECTED FACILITIES 2026'!F:F,"&gt;="&amp;DATE(2026,MONTH(DATEVALUE(A8&amp;" 1")),1),
'INSPECTED FACILITIES 2026'!F:F,"&lt;"&amp;EOMONTH(DATE(2026,MONTH(DATEVALUE(A8&amp;" 1")),1),0)+1
)</f>
        <v>0</v>
      </c>
      <c r="G8">
        <f>COUNTIFS(
'INSPECTED FACILITIES 2026'!G:G,"High Risk(C)",
'INSPECTED FACILITIES 2026'!F:F,"&gt;="&amp;DATE(2026,MONTH(DATEVALUE(A8&amp;" 1")),1),
'INSPECTED FACILITIES 2026'!F:F,"&lt;"&amp;EOMONTH(DATE(2026,MONTH(DATEVALUE(A8&amp;" 1")),1),0)+1
)</f>
        <v>0</v>
      </c>
    </row>
    <row r="9" spans="1:7">
      <c r="A9" t="s">
        <v>100</v>
      </c>
      <c r="B9">
        <f>COUNTIFS(
'INSPECTED FACILITIES 2026'!E:E,"GSDP",
'INSPECTED FACILITIES 2026'!F:F,"&gt;="&amp;DATE(2026,MONTH(DATEVALUE(A9&amp;" 1")),1),
'INSPECTED FACILITIES 2026'!F:F,"&lt;"&amp;EOMONTH(DATE(2026,MONTH(DATEVALUE(A9&amp;" 1")),1),0)+1
)</f>
        <v>0</v>
      </c>
      <c r="C9">
        <f>COUNTIFS(
'INSPECTED FACILITIES 2026'!E:E,"CEVI",
'INSPECTED FACILITIES 2026'!F:F,"&gt;="&amp;DATE(2026,MONTH(DATEVALUE(A9&amp;" 1")),1),
'INSPECTED FACILITIES 2026'!F:F,"&lt;"&amp;EOMONTH(DATE(2026,MONTH(DATEVALUE(A9&amp;" 1")),1),0)+1
)</f>
        <v>0</v>
      </c>
      <c r="D9">
        <f>COUNTIFS(
'INSPECTED FACILITIES 2026'!I:I,"YES",
'INSPECTED FACILITIES 2026'!F:F,"&gt;="&amp;DATE(2026,MONTH(DATEVALUE(A9&amp;" 1")),1),
'INSPECTED FACILITIES 2026'!F:F,"&lt;"&amp;EOMONTH(DATE(2026,MONTH(DATEVALUE(A9&amp;" 1")),1),0)+1
)</f>
        <v>0</v>
      </c>
      <c r="E9">
        <f>COUNTIFS(
'INSPECTED FACILITIES 2026'!G:G,"Low Risk (A)",
'INSPECTED FACILITIES 2026'!F:F,"&gt;="&amp;DATE(2026,MONTH(DATEVALUE(A9&amp;" 1")),1),
'INSPECTED FACILITIES 2026'!F:F,"&lt;"&amp;EOMONTH(DATE(2026,MONTH(DATEVALUE(A9&amp;" 1")),1),0)+1
)</f>
        <v>0</v>
      </c>
      <c r="F9">
        <f>COUNTIFS(
'INSPECTED FACILITIES 2026'!G:G,"Medium Risk(B)",
'INSPECTED FACILITIES 2026'!F:F,"&gt;="&amp;DATE(2026,MONTH(DATEVALUE(A9&amp;" 1")),1),
'INSPECTED FACILITIES 2026'!F:F,"&lt;"&amp;EOMONTH(DATE(2026,MONTH(DATEVALUE(A9&amp;" 1")),1),0)+1
)</f>
        <v>0</v>
      </c>
      <c r="G9">
        <f>COUNTIFS(
'INSPECTED FACILITIES 2026'!G:G,"High Risk(C)",
'INSPECTED FACILITIES 2026'!F:F,"&gt;="&amp;DATE(2026,MONTH(DATEVALUE(A9&amp;" 1")),1),
'INSPECTED FACILITIES 2026'!F:F,"&lt;"&amp;EOMONTH(DATE(2026,MONTH(DATEVALUE(A9&amp;" 1")),1),0)+1
)</f>
        <v>0</v>
      </c>
    </row>
    <row r="10" spans="1:7">
      <c r="A10" t="s">
        <v>101</v>
      </c>
      <c r="B10">
        <f>COUNTIFS(
'INSPECTED FACILITIES 2026'!E:E,"GSDP",
'INSPECTED FACILITIES 2026'!F:F,"&gt;="&amp;DATE(2026,MONTH(DATEVALUE(A10&amp;" 1")),1),
'INSPECTED FACILITIES 2026'!F:F,"&lt;"&amp;EOMONTH(DATE(2026,MONTH(DATEVALUE(A10&amp;" 1")),1),0)+1
)</f>
        <v>0</v>
      </c>
      <c r="C10">
        <f>COUNTIFS(
'INSPECTED FACILITIES 2026'!E:E,"CEVI",
'INSPECTED FACILITIES 2026'!F:F,"&gt;="&amp;DATE(2026,MONTH(DATEVALUE(A10&amp;" 1")),1),
'INSPECTED FACILITIES 2026'!F:F,"&lt;"&amp;EOMONTH(DATE(2026,MONTH(DATEVALUE(A10&amp;" 1")),1),0)+1
)</f>
        <v>0</v>
      </c>
      <c r="D10">
        <f>COUNTIFS(
'INSPECTED FACILITIES 2026'!I:I,"YES",
'INSPECTED FACILITIES 2026'!F:F,"&gt;="&amp;DATE(2026,MONTH(DATEVALUE(A10&amp;" 1")),1),
'INSPECTED FACILITIES 2026'!F:F,"&lt;"&amp;EOMONTH(DATE(2026,MONTH(DATEVALUE(A10&amp;" 1")),1),0)+1
)</f>
        <v>0</v>
      </c>
      <c r="E10">
        <f>COUNTIFS(
'INSPECTED FACILITIES 2026'!G:G,"Low Risk (A)",
'INSPECTED FACILITIES 2026'!F:F,"&gt;="&amp;DATE(2026,MONTH(DATEVALUE(A10&amp;" 1")),1),
'INSPECTED FACILITIES 2026'!F:F,"&lt;"&amp;EOMONTH(DATE(2026,MONTH(DATEVALUE(A10&amp;" 1")),1),0)+1
)</f>
        <v>0</v>
      </c>
      <c r="F10">
        <f>COUNTIFS(
'INSPECTED FACILITIES 2026'!G:G,"Medium Risk(B)",
'INSPECTED FACILITIES 2026'!F:F,"&gt;="&amp;DATE(2026,MONTH(DATEVALUE(A10&amp;" 1")),1),
'INSPECTED FACILITIES 2026'!F:F,"&lt;"&amp;EOMONTH(DATE(2026,MONTH(DATEVALUE(A10&amp;" 1")),1),0)+1
)</f>
        <v>0</v>
      </c>
      <c r="G10">
        <f>COUNTIFS(
'INSPECTED FACILITIES 2026'!G:G,"High Risk(C)",
'INSPECTED FACILITIES 2026'!F:F,"&gt;="&amp;DATE(2026,MONTH(DATEVALUE(A10&amp;" 1")),1),
'INSPECTED FACILITIES 2026'!F:F,"&lt;"&amp;EOMONTH(DATE(2026,MONTH(DATEVALUE(A10&amp;" 1")),1),0)+1
)</f>
        <v>0</v>
      </c>
    </row>
    <row r="11" spans="1:7">
      <c r="A11" t="s">
        <v>102</v>
      </c>
      <c r="B11">
        <f>COUNTIFS(
'INSPECTED FACILITIES 2026'!E:E,"GSDP",
'INSPECTED FACILITIES 2026'!F:F,"&gt;="&amp;DATE(2026,MONTH(DATEVALUE(A11&amp;" 1")),1),
'INSPECTED FACILITIES 2026'!F:F,"&lt;"&amp;EOMONTH(DATE(2026,MONTH(DATEVALUE(A11&amp;" 1")),1),0)+1
)</f>
        <v>0</v>
      </c>
      <c r="C11">
        <f>COUNTIFS(
'INSPECTED FACILITIES 2026'!E:E,"CEVI",
'INSPECTED FACILITIES 2026'!F:F,"&gt;="&amp;DATE(2026,MONTH(DATEVALUE(A11&amp;" 1")),1),
'INSPECTED FACILITIES 2026'!F:F,"&lt;"&amp;EOMONTH(DATE(2026,MONTH(DATEVALUE(A11&amp;" 1")),1),0)+1
)</f>
        <v>0</v>
      </c>
      <c r="D11">
        <f>COUNTIFS(
'INSPECTED FACILITIES 2026'!I:I,"YES",
'INSPECTED FACILITIES 2026'!F:F,"&gt;="&amp;DATE(2026,MONTH(DATEVALUE(A11&amp;" 1")),1),
'INSPECTED FACILITIES 2026'!F:F,"&lt;"&amp;EOMONTH(DATE(2026,MONTH(DATEVALUE(A11&amp;" 1")),1),0)+1
)</f>
        <v>0</v>
      </c>
      <c r="E11">
        <f>COUNTIFS(
'INSPECTED FACILITIES 2026'!G:G,"Low Risk (A)",
'INSPECTED FACILITIES 2026'!F:F,"&gt;="&amp;DATE(2026,MONTH(DATEVALUE(A11&amp;" 1")),1),
'INSPECTED FACILITIES 2026'!F:F,"&lt;"&amp;EOMONTH(DATE(2026,MONTH(DATEVALUE(A11&amp;" 1")),1),0)+1
)</f>
        <v>0</v>
      </c>
      <c r="F11">
        <f>COUNTIFS(
'INSPECTED FACILITIES 2026'!G:G,"Medium Risk(B)",
'INSPECTED FACILITIES 2026'!F:F,"&gt;="&amp;DATE(2026,MONTH(DATEVALUE(A11&amp;" 1")),1),
'INSPECTED FACILITIES 2026'!F:F,"&lt;"&amp;EOMONTH(DATE(2026,MONTH(DATEVALUE(A11&amp;" 1")),1),0)+1
)</f>
        <v>0</v>
      </c>
      <c r="G11">
        <f>COUNTIFS(
'INSPECTED FACILITIES 2026'!G:G,"High Risk(C)",
'INSPECTED FACILITIES 2026'!F:F,"&gt;="&amp;DATE(2026,MONTH(DATEVALUE(A11&amp;" 1")),1),
'INSPECTED FACILITIES 2026'!F:F,"&lt;"&amp;EOMONTH(DATE(2026,MONTH(DATEVALUE(A11&amp;" 1")),1),0)+1
)</f>
        <v>0</v>
      </c>
    </row>
    <row r="12" spans="1:7">
      <c r="A12" t="s">
        <v>103</v>
      </c>
      <c r="B12">
        <f>COUNTIFS(
'INSPECTED FACILITIES 2026'!E:E,"GSDP",
'INSPECTED FACILITIES 2026'!F:F,"&gt;="&amp;DATE(2026,MONTH(DATEVALUE(A12&amp;" 1")),1),
'INSPECTED FACILITIES 2026'!F:F,"&lt;"&amp;EOMONTH(DATE(2026,MONTH(DATEVALUE(A12&amp;" 1")),1),0)+1
)</f>
        <v>0</v>
      </c>
      <c r="C12">
        <f>COUNTIFS(
'INSPECTED FACILITIES 2026'!E:E,"CEVI",
'INSPECTED FACILITIES 2026'!F:F,"&gt;="&amp;DATE(2026,MONTH(DATEVALUE(A12&amp;" 1")),1),
'INSPECTED FACILITIES 2026'!F:F,"&lt;"&amp;EOMONTH(DATE(2026,MONTH(DATEVALUE(A12&amp;" 1")),1),0)+1
)</f>
        <v>0</v>
      </c>
      <c r="D12">
        <f>COUNTIFS(
'INSPECTED FACILITIES 2026'!I:I,"YES",
'INSPECTED FACILITIES 2026'!F:F,"&gt;="&amp;DATE(2026,MONTH(DATEVALUE(A12&amp;" 1")),1),
'INSPECTED FACILITIES 2026'!F:F,"&lt;"&amp;EOMONTH(DATE(2026,MONTH(DATEVALUE(A12&amp;" 1")),1),0)+1
)</f>
        <v>0</v>
      </c>
      <c r="E12">
        <f>COUNTIFS(
'INSPECTED FACILITIES 2026'!G:G,"Low Risk (A)",
'INSPECTED FACILITIES 2026'!F:F,"&gt;="&amp;DATE(2026,MONTH(DATEVALUE(A12&amp;" 1")),1),
'INSPECTED FACILITIES 2026'!F:F,"&lt;"&amp;EOMONTH(DATE(2026,MONTH(DATEVALUE(A12&amp;" 1")),1),0)+1
)</f>
        <v>0</v>
      </c>
      <c r="F12">
        <f>COUNTIFS(
'INSPECTED FACILITIES 2026'!G:G,"Medium Risk(B)",
'INSPECTED FACILITIES 2026'!F:F,"&gt;="&amp;DATE(2026,MONTH(DATEVALUE(A12&amp;" 1")),1),
'INSPECTED FACILITIES 2026'!F:F,"&lt;"&amp;EOMONTH(DATE(2026,MONTH(DATEVALUE(A12&amp;" 1")),1),0)+1
)</f>
        <v>0</v>
      </c>
      <c r="G12">
        <f>COUNTIFS(
'INSPECTED FACILITIES 2026'!G:G,"High Risk(C)",
'INSPECTED FACILITIES 2026'!F:F,"&gt;="&amp;DATE(2026,MONTH(DATEVALUE(A12&amp;" 1")),1),
'INSPECTED FACILITIES 2026'!F:F,"&lt;"&amp;EOMONTH(DATE(2026,MONTH(DATEVALUE(A12&amp;" 1")),1),0)+1
)</f>
        <v>0</v>
      </c>
    </row>
    <row r="13" spans="1:7">
      <c r="A13" t="s">
        <v>104</v>
      </c>
      <c r="B13">
        <f>COUNTIFS(
'INSPECTED FACILITIES 2026'!E:E,"GSDP",
'INSPECTED FACILITIES 2026'!F:F,"&gt;="&amp;DATE(2026,MONTH(DATEVALUE(A13&amp;" 1")),1),
'INSPECTED FACILITIES 2026'!F:F,"&lt;"&amp;EOMONTH(DATE(2026,MONTH(DATEVALUE(A13&amp;" 1")),1),0)+1
)</f>
        <v>0</v>
      </c>
      <c r="C13">
        <f>COUNTIFS(
'INSPECTED FACILITIES 2026'!E:E,"CEVI",
'INSPECTED FACILITIES 2026'!F:F,"&gt;="&amp;DATE(2026,MONTH(DATEVALUE(A13&amp;" 1")),1),
'INSPECTED FACILITIES 2026'!F:F,"&lt;"&amp;EOMONTH(DATE(2026,MONTH(DATEVALUE(A13&amp;" 1")),1),0)+1
)</f>
        <v>0</v>
      </c>
      <c r="D13">
        <f>COUNTIFS(
'INSPECTED FACILITIES 2026'!I:I,"YES",
'INSPECTED FACILITIES 2026'!F:F,"&gt;="&amp;DATE(2026,MONTH(DATEVALUE(A13&amp;" 1")),1),
'INSPECTED FACILITIES 2026'!F:F,"&lt;"&amp;EOMONTH(DATE(2026,MONTH(DATEVALUE(A13&amp;" 1")),1),0)+1
)</f>
        <v>0</v>
      </c>
      <c r="E13">
        <f>COUNTIFS(
'INSPECTED FACILITIES 2026'!G:G,"Low Risk (A)",
'INSPECTED FACILITIES 2026'!F:F,"&gt;="&amp;DATE(2026,MONTH(DATEVALUE(A13&amp;" 1")),1),
'INSPECTED FACILITIES 2026'!F:F,"&lt;"&amp;EOMONTH(DATE(2026,MONTH(DATEVALUE(A13&amp;" 1")),1),0)+1
)</f>
        <v>0</v>
      </c>
      <c r="F13">
        <f>COUNTIFS(
'INSPECTED FACILITIES 2026'!G:G,"Medium Risk(B)",
'INSPECTED FACILITIES 2026'!F:F,"&gt;="&amp;DATE(2026,MONTH(DATEVALUE(A13&amp;" 1")),1),
'INSPECTED FACILITIES 2026'!F:F,"&lt;"&amp;EOMONTH(DATE(2026,MONTH(DATEVALUE(A13&amp;" 1")),1),0)+1
)</f>
        <v>0</v>
      </c>
      <c r="G13">
        <f>COUNTIFS(
'INSPECTED FACILITIES 2026'!G:G,"High Risk(C)",
'INSPECTED FACILITIES 2026'!F:F,"&gt;="&amp;DATE(2026,MONTH(DATEVALUE(A13&amp;" 1")),1),
'INSPECTED FACILITIES 2026'!F:F,"&lt;"&amp;EOMONTH(DATE(2026,MONTH(DATEVALUE(A13&amp;" 1")),1),0)+1
)</f>
        <v>0</v>
      </c>
    </row>
    <row r="14" spans="1:7">
      <c r="A14" t="s">
        <v>105</v>
      </c>
      <c r="B14">
        <f>COUNTIFS(
'INSPECTED FACILITIES 2026'!E:E,"GSDP",
'INSPECTED FACILITIES 2026'!F:F,"&gt;="&amp;DATE(2026,MONTH(DATEVALUE(A14&amp;" 1")),1),
'INSPECTED FACILITIES 2026'!F:F,"&lt;"&amp;EOMONTH(DATE(2026,MONTH(DATEVALUE(A14&amp;" 1")),1),0)+1
)</f>
        <v>0</v>
      </c>
      <c r="C14">
        <f>COUNTIFS(
'INSPECTED FACILITIES 2026'!E:E,"CEVI",
'INSPECTED FACILITIES 2026'!F:F,"&gt;="&amp;DATE(2026,MONTH(DATEVALUE(A14&amp;" 1")),1),
'INSPECTED FACILITIES 2026'!F:F,"&lt;"&amp;EOMONTH(DATE(2026,MONTH(DATEVALUE(A14&amp;" 1")),1),0)+1
)</f>
        <v>0</v>
      </c>
      <c r="D14">
        <f>COUNTIFS(
'INSPECTED FACILITIES 2026'!I:I,"YES",
'INSPECTED FACILITIES 2026'!F:F,"&gt;="&amp;DATE(2026,MONTH(DATEVALUE(A14&amp;" 1")),1),
'INSPECTED FACILITIES 2026'!F:F,"&lt;"&amp;EOMONTH(DATE(2026,MONTH(DATEVALUE(A14&amp;" 1")),1),0)+1
)</f>
        <v>0</v>
      </c>
      <c r="E14">
        <f>COUNTIFS(
'INSPECTED FACILITIES 2026'!G:G,"Low Risk (A)",
'INSPECTED FACILITIES 2026'!F:F,"&gt;="&amp;DATE(2026,MONTH(DATEVALUE(A14&amp;" 1")),1),
'INSPECTED FACILITIES 2026'!F:F,"&lt;"&amp;EOMONTH(DATE(2026,MONTH(DATEVALUE(A14&amp;" 1")),1),0)+1
)</f>
        <v>0</v>
      </c>
      <c r="F14">
        <f>COUNTIFS(
'INSPECTED FACILITIES 2026'!G:G,"Medium Risk(B)",
'INSPECTED FACILITIES 2026'!F:F,"&gt;="&amp;DATE(2026,MONTH(DATEVALUE(A14&amp;" 1")),1),
'INSPECTED FACILITIES 2026'!F:F,"&lt;"&amp;EOMONTH(DATE(2026,MONTH(DATEVALUE(A14&amp;" 1")),1),0)+1
)</f>
        <v>0</v>
      </c>
      <c r="G14">
        <f>COUNTIFS(
'INSPECTED FACILITIES 2026'!G:G,"High Risk(C)",
'INSPECTED FACILITIES 2026'!F:F,"&gt;="&amp;DATE(2026,MONTH(DATEVALUE(A14&amp;" 1")),1),
'INSPECTED FACILITIES 2026'!F:F,"&lt;"&amp;EOMONTH(DATE(2026,MONTH(DATEVALUE(A14&amp;" 1")),1),0)+1
)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DATE xmlns="b13d5edd-c324-4cc7-96f8-eb6094d850cb" xsi:nil="true"/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SentBy xmlns="b13d5edd-c324-4cc7-96f8-eb6094d850cb">
      <UserInfo>
        <DisplayName/>
        <AccountId xsi:nil="true"/>
        <AccountType/>
      </UserInfo>
    </_ApprovalSentBy>
    <GLSISTATUS xmlns="b13d5edd-c324-4cc7-96f8-eb6094d850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991B65-17B1-40EF-8871-ACC60FB48711}"/>
</file>

<file path=customXml/itemProps2.xml><?xml version="1.0" encoding="utf-8"?>
<ds:datastoreItem xmlns:ds="http://schemas.openxmlformats.org/officeDocument/2006/customXml" ds:itemID="{43A6012D-ABA7-44D5-9CC7-094FB9C435D9}"/>
</file>

<file path=customXml/itemProps3.xml><?xml version="1.0" encoding="utf-8"?>
<ds:datastoreItem xmlns:ds="http://schemas.openxmlformats.org/officeDocument/2006/customXml" ds:itemID="{DD3900D4-059F-4D98-AFA0-4641CBE7C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adekunle  adeniran</cp:lastModifiedBy>
  <cp:revision/>
  <dcterms:created xsi:type="dcterms:W3CDTF">2025-12-16T23:03:43Z</dcterms:created>
  <dcterms:modified xsi:type="dcterms:W3CDTF">2026-04-16T14:41:53Z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  <property fmtid="{D5CDD505-2E9C-101B-9397-08002B2CF9AE}" pid="3" name="MediaServiceImageTags">
    <vt:lpwstr/>
  </property>
  <property fmtid="{D5CDD505-2E9C-101B-9397-08002B2CF9AE}" pid="4" name="WorkbookGuid">
    <vt:lpwstr>325ee310-27d5-400f-bd2a-8604863cded1</vt:lpwstr>
  </property>
</Properties>
</file>