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SDP (GOOD STORAGE AND DISTRIBUTION PRACTICE)/2025/"/>
    </mc:Choice>
  </mc:AlternateContent>
  <xr:revisionPtr revIDLastSave="385" documentId="11_9173D355E439D35F7E13C661AEC68E2766008DEF" xr6:coauthVersionLast="47" xr6:coauthVersionMax="47" xr10:uidLastSave="{89D6E2B4-D004-432D-929F-298B0D23B350}"/>
  <bookViews>
    <workbookView xWindow="-108" yWindow="-108" windowWidth="23256" windowHeight="13176" firstSheet="3" activeTab="6" xr2:uid="{00000000-000D-0000-FFFF-FFFF00000000}"/>
  </bookViews>
  <sheets>
    <sheet name="INSPECTED FACILITIES 2025" sheetId="2" r:id="rId1"/>
    <sheet name="January" sheetId="3" r:id="rId2"/>
    <sheet name="February" sheetId="4" r:id="rId3"/>
    <sheet name="March" sheetId="5" r:id="rId4"/>
    <sheet name="April" sheetId="6" r:id="rId5"/>
    <sheet name="May" sheetId="7" r:id="rId6"/>
    <sheet name="June" sheetId="8" r:id="rId7"/>
    <sheet name="July" sheetId="9" r:id="rId8"/>
    <sheet name="August" sheetId="10" r:id="rId9"/>
    <sheet name="September" sheetId="11" r:id="rId10"/>
    <sheet name="October" sheetId="12" r:id="rId11"/>
    <sheet name="November" sheetId="14" r:id="rId12"/>
    <sheet name="VISUAL DATA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3" l="1"/>
  <c r="G4" i="13"/>
  <c r="G5" i="13"/>
  <c r="G6" i="13"/>
  <c r="G7" i="13"/>
  <c r="G8" i="13"/>
  <c r="G9" i="13"/>
  <c r="G10" i="13"/>
  <c r="G11" i="13"/>
  <c r="G12" i="13"/>
  <c r="G13" i="13"/>
  <c r="G14" i="13"/>
  <c r="G3" i="13"/>
  <c r="F3" i="13"/>
  <c r="F4" i="13"/>
  <c r="F5" i="13"/>
  <c r="F6" i="13"/>
  <c r="F7" i="13"/>
  <c r="F8" i="13"/>
  <c r="F9" i="13"/>
  <c r="F10" i="13"/>
  <c r="F11" i="13"/>
  <c r="F12" i="13"/>
  <c r="F13" i="13"/>
  <c r="F14" i="13"/>
  <c r="E4" i="13"/>
  <c r="E5" i="13"/>
  <c r="E6" i="13"/>
  <c r="E7" i="13"/>
  <c r="E8" i="13"/>
  <c r="E9" i="13"/>
  <c r="E10" i="13"/>
  <c r="E11" i="13"/>
  <c r="E12" i="13"/>
  <c r="E13" i="13"/>
  <c r="E14" i="13"/>
  <c r="D3" i="13"/>
  <c r="D4" i="13"/>
  <c r="D5" i="13"/>
  <c r="D6" i="13"/>
  <c r="D7" i="13"/>
  <c r="D8" i="13"/>
  <c r="D9" i="13"/>
  <c r="D10" i="13"/>
  <c r="D11" i="13"/>
  <c r="D12" i="13"/>
  <c r="D13" i="13"/>
  <c r="D14" i="13"/>
  <c r="C4" i="13"/>
  <c r="C5" i="13"/>
  <c r="C6" i="13"/>
  <c r="C7" i="13"/>
  <c r="C8" i="13"/>
  <c r="C9" i="13"/>
  <c r="C10" i="13"/>
  <c r="C11" i="13"/>
  <c r="C12" i="13"/>
  <c r="C13" i="13"/>
  <c r="C14" i="13"/>
  <c r="C3" i="13"/>
  <c r="B3" i="13"/>
  <c r="B4" i="13"/>
  <c r="B5" i="13"/>
  <c r="B6" i="13"/>
  <c r="B7" i="13"/>
  <c r="B8" i="13"/>
  <c r="B9" i="13"/>
  <c r="B10" i="13"/>
  <c r="B11" i="13"/>
  <c r="B12" i="13"/>
  <c r="B13" i="13"/>
  <c r="B14" i="13"/>
  <c r="N13" i="14"/>
  <c r="N12" i="14"/>
  <c r="K12" i="14"/>
  <c r="N11" i="14"/>
  <c r="K11" i="14"/>
  <c r="N10" i="14"/>
  <c r="K10" i="14"/>
  <c r="N9" i="14"/>
  <c r="K9" i="14"/>
  <c r="N8" i="14"/>
  <c r="K8" i="14"/>
  <c r="N7" i="14"/>
  <c r="N6" i="14"/>
  <c r="K6" i="14"/>
  <c r="N5" i="14"/>
  <c r="K5" i="14"/>
  <c r="N4" i="14"/>
  <c r="K4" i="14"/>
  <c r="N3" i="14"/>
  <c r="K3" i="14"/>
  <c r="N15" i="12"/>
  <c r="N14" i="12"/>
  <c r="N13" i="12"/>
  <c r="K13" i="12"/>
  <c r="N12" i="12"/>
  <c r="K12" i="12"/>
  <c r="N11" i="12"/>
  <c r="K11" i="12"/>
  <c r="N10" i="12"/>
  <c r="K10" i="12"/>
  <c r="N9" i="12"/>
  <c r="K9" i="12"/>
  <c r="N8" i="12"/>
  <c r="K8" i="12"/>
  <c r="N7" i="12"/>
  <c r="K7" i="12"/>
  <c r="N6" i="12"/>
  <c r="K6" i="12"/>
  <c r="N5" i="12"/>
  <c r="K5" i="12"/>
  <c r="N4" i="12"/>
  <c r="K4" i="12"/>
  <c r="N3" i="12"/>
  <c r="K3" i="12"/>
  <c r="N11" i="11"/>
  <c r="K11" i="11"/>
  <c r="N10" i="11"/>
  <c r="K10" i="11"/>
  <c r="N9" i="11"/>
  <c r="K9" i="11"/>
  <c r="N8" i="11"/>
  <c r="K8" i="11"/>
  <c r="N7" i="11"/>
  <c r="K7" i="11"/>
  <c r="N6" i="11"/>
  <c r="K6" i="11"/>
  <c r="N5" i="11"/>
  <c r="K5" i="11"/>
  <c r="N4" i="11"/>
  <c r="N3" i="11"/>
  <c r="K3" i="11"/>
  <c r="N15" i="10"/>
  <c r="K15" i="10"/>
  <c r="N14" i="10"/>
  <c r="N13" i="10"/>
  <c r="N12" i="10"/>
  <c r="K12" i="10"/>
  <c r="N11" i="10"/>
  <c r="N10" i="10"/>
  <c r="K10" i="10"/>
  <c r="N9" i="10"/>
  <c r="K9" i="10"/>
  <c r="N8" i="10"/>
  <c r="N7" i="10"/>
  <c r="K7" i="10"/>
  <c r="N6" i="10"/>
  <c r="K6" i="10"/>
  <c r="N5" i="10"/>
  <c r="K5" i="10"/>
  <c r="N4" i="10"/>
  <c r="K4" i="10"/>
  <c r="N3" i="10"/>
  <c r="K3" i="10"/>
  <c r="N7" i="9"/>
  <c r="K7" i="9"/>
  <c r="N6" i="9"/>
  <c r="K6" i="9"/>
  <c r="N5" i="9"/>
  <c r="K5" i="9"/>
  <c r="N4" i="9"/>
  <c r="K4" i="9"/>
  <c r="N3" i="9"/>
  <c r="K3" i="9"/>
  <c r="N14" i="8"/>
  <c r="K14" i="8"/>
  <c r="N13" i="8"/>
  <c r="K13" i="8"/>
  <c r="N12" i="8"/>
  <c r="N11" i="8"/>
  <c r="K11" i="8"/>
  <c r="N10" i="8"/>
  <c r="K10" i="8"/>
  <c r="N9" i="8"/>
  <c r="K9" i="8"/>
  <c r="N8" i="8"/>
  <c r="K8" i="8"/>
  <c r="N7" i="8"/>
  <c r="K7" i="8"/>
  <c r="N6" i="8"/>
  <c r="K6" i="8"/>
  <c r="N5" i="8"/>
  <c r="K5" i="8"/>
  <c r="N4" i="8"/>
  <c r="K4" i="8"/>
  <c r="N3" i="8"/>
  <c r="K3" i="8"/>
  <c r="N14" i="7"/>
  <c r="K14" i="7"/>
  <c r="N13" i="7"/>
  <c r="K13" i="7"/>
  <c r="N12" i="7"/>
  <c r="N11" i="7"/>
  <c r="K11" i="7"/>
  <c r="N10" i="7"/>
  <c r="K10" i="7"/>
  <c r="N9" i="7"/>
  <c r="N8" i="7"/>
  <c r="K8" i="7"/>
  <c r="N7" i="7"/>
  <c r="K7" i="7"/>
  <c r="N6" i="7"/>
  <c r="K6" i="7"/>
  <c r="N5" i="7"/>
  <c r="K5" i="7"/>
  <c r="N4" i="7"/>
  <c r="K4" i="7"/>
  <c r="N3" i="7"/>
  <c r="K3" i="7"/>
  <c r="N14" i="6"/>
  <c r="K14" i="6"/>
  <c r="N13" i="6"/>
  <c r="K13" i="6"/>
  <c r="N12" i="6"/>
  <c r="N11" i="6"/>
  <c r="N10" i="6"/>
  <c r="K10" i="6"/>
  <c r="N9" i="6"/>
  <c r="K9" i="6"/>
  <c r="N8" i="6"/>
  <c r="K8" i="6"/>
  <c r="N7" i="6"/>
  <c r="K7" i="6"/>
  <c r="N6" i="6"/>
  <c r="K6" i="6"/>
  <c r="N5" i="6"/>
  <c r="K5" i="6"/>
  <c r="N4" i="6"/>
  <c r="K4" i="6"/>
  <c r="N3" i="6"/>
  <c r="K3" i="6"/>
  <c r="N15" i="5"/>
  <c r="K15" i="5"/>
  <c r="N14" i="5"/>
  <c r="K14" i="5"/>
  <c r="N13" i="5"/>
  <c r="K13" i="5"/>
  <c r="N12" i="5"/>
  <c r="N11" i="5"/>
  <c r="K11" i="5"/>
  <c r="N10" i="5"/>
  <c r="K10" i="5"/>
  <c r="N9" i="5"/>
  <c r="K9" i="5"/>
  <c r="N8" i="5"/>
  <c r="K8" i="5"/>
  <c r="N7" i="5"/>
  <c r="K7" i="5"/>
  <c r="N6" i="5"/>
  <c r="K6" i="5"/>
  <c r="N5" i="5"/>
  <c r="K5" i="5"/>
  <c r="N4" i="5"/>
  <c r="N3" i="5"/>
  <c r="K3" i="5"/>
  <c r="N3" i="4"/>
  <c r="K3" i="4"/>
  <c r="N7" i="3"/>
  <c r="K7" i="3"/>
  <c r="N6" i="3"/>
  <c r="K6" i="3"/>
  <c r="N5" i="3"/>
  <c r="K5" i="3"/>
  <c r="N4" i="3"/>
  <c r="K4" i="3"/>
  <c r="K3" i="3"/>
  <c r="N4" i="2"/>
  <c r="N109" i="2"/>
  <c r="K109" i="2"/>
  <c r="K3" i="2"/>
  <c r="K33" i="2"/>
  <c r="N108" i="2"/>
  <c r="N107" i="2"/>
  <c r="K107" i="2"/>
  <c r="N106" i="2"/>
  <c r="K106" i="2"/>
  <c r="N105" i="2"/>
  <c r="K105" i="2"/>
  <c r="N104" i="2"/>
  <c r="K104" i="2"/>
  <c r="N103" i="2"/>
  <c r="K103" i="2"/>
  <c r="N102" i="2"/>
  <c r="N101" i="2"/>
  <c r="K101" i="2"/>
  <c r="N100" i="2"/>
  <c r="K100" i="2"/>
  <c r="N99" i="2"/>
  <c r="K99" i="2"/>
  <c r="N98" i="2"/>
  <c r="K98" i="2"/>
  <c r="N97" i="2"/>
  <c r="N96" i="2"/>
  <c r="N95" i="2"/>
  <c r="K95" i="2"/>
  <c r="N94" i="2"/>
  <c r="K94" i="2"/>
  <c r="N93" i="2"/>
  <c r="K93" i="2"/>
  <c r="N92" i="2"/>
  <c r="K92" i="2"/>
  <c r="N91" i="2"/>
  <c r="K91" i="2"/>
  <c r="N90" i="2"/>
  <c r="K90" i="2"/>
  <c r="N89" i="2"/>
  <c r="K89" i="2"/>
  <c r="N88" i="2"/>
  <c r="K88" i="2"/>
  <c r="N87" i="2"/>
  <c r="K87" i="2"/>
  <c r="N86" i="2"/>
  <c r="K86" i="2"/>
  <c r="N85" i="2"/>
  <c r="K85" i="2"/>
  <c r="N84" i="2"/>
  <c r="K84" i="2"/>
  <c r="N83" i="2"/>
  <c r="K83" i="2"/>
  <c r="N82" i="2"/>
  <c r="K82" i="2"/>
  <c r="N81" i="2"/>
  <c r="K81" i="2"/>
  <c r="N80" i="2"/>
  <c r="K80" i="2"/>
  <c r="N79" i="2"/>
  <c r="K79" i="2"/>
  <c r="N78" i="2"/>
  <c r="K78" i="2"/>
  <c r="N77" i="2"/>
  <c r="N76" i="2"/>
  <c r="K76" i="2"/>
  <c r="N75" i="2"/>
  <c r="K75" i="2"/>
  <c r="N74" i="2"/>
  <c r="N73" i="2"/>
  <c r="N72" i="2"/>
  <c r="K72" i="2"/>
  <c r="N71" i="2"/>
  <c r="N70" i="2"/>
  <c r="K70" i="2"/>
  <c r="N69" i="2"/>
  <c r="K69" i="2"/>
  <c r="N68" i="2"/>
  <c r="N67" i="2"/>
  <c r="K67" i="2"/>
  <c r="N66" i="2"/>
  <c r="K66" i="2"/>
  <c r="N65" i="2"/>
  <c r="K65" i="2"/>
  <c r="N64" i="2"/>
  <c r="K64" i="2"/>
  <c r="N63" i="2"/>
  <c r="K63" i="2"/>
  <c r="N62" i="2"/>
  <c r="K62" i="2"/>
  <c r="N61" i="2"/>
  <c r="K61" i="2"/>
  <c r="N60" i="2"/>
  <c r="K60" i="2"/>
  <c r="N59" i="2"/>
  <c r="K59" i="2"/>
  <c r="N58" i="2"/>
  <c r="K58" i="2"/>
  <c r="N57" i="2"/>
  <c r="K57" i="2"/>
  <c r="N56" i="2"/>
  <c r="K56" i="2"/>
  <c r="N55" i="2"/>
  <c r="N54" i="2"/>
  <c r="K54" i="2"/>
  <c r="N53" i="2"/>
  <c r="K53" i="2"/>
  <c r="N52" i="2"/>
  <c r="K52" i="2"/>
  <c r="N51" i="2"/>
  <c r="K51" i="2"/>
  <c r="N50" i="2"/>
  <c r="K50" i="2"/>
  <c r="N49" i="2"/>
  <c r="K49" i="2"/>
  <c r="N48" i="2"/>
  <c r="K48" i="2"/>
  <c r="N47" i="2"/>
  <c r="K47" i="2"/>
  <c r="N46" i="2"/>
  <c r="K46" i="2"/>
  <c r="N45" i="2"/>
  <c r="K45" i="2"/>
  <c r="N44" i="2"/>
  <c r="K44" i="2"/>
  <c r="N43" i="2"/>
  <c r="N42" i="2"/>
  <c r="K42" i="2"/>
  <c r="N41" i="2"/>
  <c r="K41" i="2"/>
  <c r="N40" i="2"/>
  <c r="N39" i="2"/>
  <c r="K39" i="2"/>
  <c r="N38" i="2"/>
  <c r="K38" i="2"/>
  <c r="N37" i="2"/>
  <c r="K37" i="2"/>
  <c r="N36" i="2"/>
  <c r="K36" i="2"/>
  <c r="N35" i="2"/>
  <c r="K35" i="2"/>
  <c r="N34" i="2"/>
  <c r="K34" i="2"/>
  <c r="N33" i="2"/>
  <c r="N32" i="2"/>
  <c r="K32" i="2"/>
  <c r="N31" i="2"/>
  <c r="N30" i="2"/>
  <c r="N29" i="2"/>
  <c r="K29" i="2"/>
  <c r="N28" i="2"/>
  <c r="K28" i="2"/>
  <c r="N27" i="2"/>
  <c r="K27" i="2"/>
  <c r="N26" i="2"/>
  <c r="K26" i="2"/>
  <c r="N25" i="2"/>
  <c r="K25" i="2"/>
  <c r="N24" i="2"/>
  <c r="K24" i="2"/>
  <c r="N23" i="2"/>
  <c r="K23" i="2"/>
  <c r="N22" i="2"/>
  <c r="K22" i="2"/>
  <c r="N21" i="2"/>
  <c r="K21" i="2"/>
  <c r="N20" i="2"/>
  <c r="K20" i="2"/>
  <c r="N19" i="2"/>
  <c r="K19" i="2"/>
  <c r="N18" i="2"/>
  <c r="N17" i="2"/>
  <c r="K17" i="2"/>
  <c r="N16" i="2"/>
  <c r="K16" i="2"/>
  <c r="N15" i="2"/>
  <c r="K15" i="2"/>
  <c r="N14" i="2"/>
  <c r="K14" i="2"/>
  <c r="N13" i="2"/>
  <c r="K13" i="2"/>
  <c r="N12" i="2"/>
  <c r="K12" i="2"/>
  <c r="N11" i="2"/>
  <c r="K11" i="2"/>
  <c r="N10" i="2"/>
  <c r="N9" i="2"/>
  <c r="K9" i="2"/>
  <c r="N8" i="2"/>
  <c r="K8" i="2"/>
  <c r="N7" i="2"/>
  <c r="K7" i="2"/>
  <c r="N6" i="2"/>
  <c r="K6" i="2"/>
  <c r="N5" i="2"/>
  <c r="K5" i="2"/>
  <c r="K4" i="2"/>
</calcChain>
</file>

<file path=xl/sharedStrings.xml><?xml version="1.0" encoding="utf-8"?>
<sst xmlns="http://schemas.openxmlformats.org/spreadsheetml/2006/main" count="2050" uniqueCount="471">
  <si>
    <t>GDP INSPECTION CLASSIFICATION DATA BASE AS AT 2025</t>
  </si>
  <si>
    <t>S/N</t>
  </si>
  <si>
    <t>NAME OF MANUFACTURER</t>
  </si>
  <si>
    <t>LOCATION ADDRESS</t>
  </si>
  <si>
    <t>CONTACT</t>
  </si>
  <si>
    <t>TYPE OF LAST INSPECTION</t>
  </si>
  <si>
    <t>DATE OF LAST INSPECTION</t>
  </si>
  <si>
    <t>FINDINGS</t>
  </si>
  <si>
    <t>DATE CAPA ISSUED</t>
  </si>
  <si>
    <t>CAPA SUBMITTED</t>
  </si>
  <si>
    <t>CONCLUSION</t>
  </si>
  <si>
    <t>REMARKS</t>
  </si>
  <si>
    <t>EXPECTED DATE OF INSPECTION</t>
  </si>
  <si>
    <t>CC</t>
  </si>
  <si>
    <t>COMPANY FILE</t>
  </si>
  <si>
    <t>SANTECARE LIMITED</t>
  </si>
  <si>
    <t>55, COKER ROAD, ILUPEJU</t>
  </si>
  <si>
    <t>GDP</t>
  </si>
  <si>
    <t>Medium-Risk (B)</t>
  </si>
  <si>
    <t>26th january 2025</t>
  </si>
  <si>
    <t>NO</t>
  </si>
  <si>
    <t>CAPA TO BE SUBMITTED</t>
  </si>
  <si>
    <t>https://nafdacng.sharepoint.com/sites/PMSLAGOS/Shared Documents/GSDP (GOOD STORAGE AND DISTRIBUTION PRACTICE)/GSDP COMPANY FILES\Santa Care LTD</t>
  </si>
  <si>
    <t>SANTA CARE</t>
  </si>
  <si>
    <t>JANE-MADOK PHARMACY &amp; WELLNESS CENTER</t>
  </si>
  <si>
    <t>3, ISHERI OSUN RD., JAKANDE GATE, ISOLO</t>
  </si>
  <si>
    <t>25th january 2025</t>
  </si>
  <si>
    <t>https://nafdacng.sharepoint.com/sites/PMSLAGOS/Shared Documents/GSDP (GOOD STORAGE AND DISTRIBUTION PRACTICE)/GSDP COMPANY FILES\Jane-Madok</t>
  </si>
  <si>
    <t>ROCHE PRODUCTS LIMITED (MEDICAL DEVICES)</t>
  </si>
  <si>
    <t>AGL WAREHOUSE, KILOMETER11, OPPOSITE TOP MOUNTAIN UNIVERSITY, ALONG LAGOS IBADAN EXPRESSWAY, IBAFO</t>
  </si>
  <si>
    <t>11th February 2025</t>
  </si>
  <si>
    <t>https://nafdacng.sharepoint.com/sites/PMSLAGOS/Shared Documents/GSDP (GOOD STORAGE AND DISTRIBUTION PRACTICE)/GSDP COMPANY FILES\Roche Products ltd</t>
  </si>
  <si>
    <t>KCH CONSUMER HEALTHCARE LTD. (CAPA)</t>
  </si>
  <si>
    <t>2B KWAME NKRUMAH LANE, CROWN ESTATE, LEKKI-EPE EXPRESSWAY, AJAH</t>
  </si>
  <si>
    <t>CAPA</t>
  </si>
  <si>
    <t>28th january 2025</t>
  </si>
  <si>
    <t>YES</t>
  </si>
  <si>
    <t>https://nafdacng.sharepoint.com/sites/PMSLAGOS/Shared Documents/GSDP (GOOD STORAGE AND DISTRIBUTION PRACTICE)/GSDP COMPANY FILES\KCH CONSUMER</t>
  </si>
  <si>
    <t>MUJID HEALTHCARE LTD</t>
  </si>
  <si>
    <t>PLOT B, GREENLAND ESTATE, AJAH</t>
  </si>
  <si>
    <t>https://nafdacng.sharepoint.com/sites/PMSLAGOS/Shared Documents/GSDP (GOOD STORAGE AND DISTRIBUTION PRACTICE)/GSDP COMPANY FILES\MULTIBASE</t>
  </si>
  <si>
    <t>ISN MEDICAL 40-42 ASSOCIATION AVENUE, ILUPEJU</t>
  </si>
  <si>
    <t>EUROMED LTD</t>
  </si>
  <si>
    <t>25TH MARCH 2025</t>
  </si>
  <si>
    <t>https://nafdacng.sharepoint.com/sites/PMSLAGOS/Shared Documents/GSDP (GOOD STORAGE AND DISTRIBUTION PRACTICE)/GSDP COMPANY FILES\EUROMED</t>
  </si>
  <si>
    <t>GREENLIFE PHARMA CEUTICALS LTD. (CAPA)</t>
  </si>
  <si>
    <t>35A, ASSOCIATION AVENUE, OFF OBANIKORO BUS STOP, ILUPEJU</t>
  </si>
  <si>
    <t>Low-Risk (A)</t>
  </si>
  <si>
    <t>N/A</t>
  </si>
  <si>
    <t>CLOSED</t>
  </si>
  <si>
    <t>https://nafdacng.sharepoint.com/sites/PMSLAGOS/Shared Documents/GSDP (GOOD STORAGE AND DISTRIBUTION PRACTICE)/GSDP COMPANY FILES\GREENLIFE PHARM. LTD</t>
  </si>
  <si>
    <t>DORTEMAG PHARM. &amp; STORES</t>
  </si>
  <si>
    <t>381G, TITILAYO ADEDOYIN STR., OMOLE EST. PHASE 1, OGBA-IKEJA</t>
  </si>
  <si>
    <t>PHARM. SEYE AGBOOLA 0803315214</t>
  </si>
  <si>
    <t>18TH MARCH 2025</t>
  </si>
  <si>
    <t>https://nafdacng.sharepoint.com/sites/PMSLAGOS/Shared Documents/GSDP (GOOD STORAGE AND DISTRIBUTION PRACTICE)/GSDP COMPANY FILES\DORTEMAG</t>
  </si>
  <si>
    <t>HEALTHLINE NIG. LTD</t>
  </si>
  <si>
    <t>29, ADENIYI JONES AVENUE, IKEJA</t>
  </si>
  <si>
    <t>MRS. ITUNU AJAYI 08030678801</t>
  </si>
  <si>
    <t>18TH MRCH 2025</t>
  </si>
  <si>
    <t>https://nafdacng.sharepoint.com/sites/PMSLAGOS/Shared Documents/GSDP (GOOD STORAGE AND DISTRIBUTION PRACTICE)/GSDP COMPANY FILES\HEALTHLINE NIG. LTD</t>
  </si>
  <si>
    <t>GETZPHARMA NIG. LTD</t>
  </si>
  <si>
    <t>PLOT 2, IJA ODOLA CLOSE IKEJA GRA</t>
  </si>
  <si>
    <t>OBEGOLU NNEKA 08165370750</t>
  </si>
  <si>
    <t>https://nafdacng.sharepoint.com/sites/PMSLAGOS/Shared Documents/GSDP (GOOD STORAGE AND DISTRIBUTION PRACTICE)/GSDP COMPANY FILES\GETZ PHARM NIG. LTD</t>
  </si>
  <si>
    <t>SHEPHERD HEALTH &amp; VETERINARY LTD.</t>
  </si>
  <si>
    <t>24, MONTGOMERY RD., YABA</t>
  </si>
  <si>
    <t>JOSEPH ADETUNJI 08037184254</t>
  </si>
  <si>
    <t>19TH MARCH 2025</t>
  </si>
  <si>
    <t>https://nafdacng.sharepoint.com/sites/PMSLAGOS/Shared Documents/GSDP (GOOD STORAGE AND DISTRIBUTION PRACTICE)/GSDP COMPANY FILES\SHEPHERD HEALTH</t>
  </si>
  <si>
    <t>ADCEM PHARMACEUTICALS LTD</t>
  </si>
  <si>
    <t>2, NIWILI CLOSE, IKEJA</t>
  </si>
  <si>
    <t>OKEKE ONYEKACHI 08123915479</t>
  </si>
  <si>
    <t>https://nafdacng.sharepoint.com/sites/PMSLAGOS/Shared Documents/GSDP (GOOD STORAGE AND DISTRIBUTION PRACTICE)/GSDP COMPANY FILES\Adcem</t>
  </si>
  <si>
    <t>ADDMORE PHARMACY</t>
  </si>
  <si>
    <t>251, AGEGE-MOTOR ROAD, MUSHIN</t>
  </si>
  <si>
    <t>BENSON NDULUE 08023019928</t>
  </si>
  <si>
    <t>https://nafdacng.sharepoint.com/sites/PMSLAGOS/Shared Documents/GSDP (GOOD STORAGE AND DISTRIBUTION PRACTICE)/GSDP COMPANY FILES\Addmore</t>
  </si>
  <si>
    <t>AXION PHARMACEUTICALS LTD</t>
  </si>
  <si>
    <t>13, MODUPE STREET, SOMOLU, LAGOS.</t>
  </si>
  <si>
    <t>PHARM. ONYINYE 07061902283</t>
  </si>
  <si>
    <t>High-Risk (C)</t>
  </si>
  <si>
    <t>https://nafdacng.sharepoint.com/sites/PMSLAGOS/Shared Documents/GSDP (GOOD STORAGE AND DISTRIBUTION PRACTICE)/GSDP COMPANY FILES\Axion</t>
  </si>
  <si>
    <t>MED EXPRESS</t>
  </si>
  <si>
    <t>7A, ADEWALE KOLAWOLE CRESCENT, OFF KUBOYE STR., MARUWA, LEKKI</t>
  </si>
  <si>
    <t>RUEMU OKUNDIA 08033001059</t>
  </si>
  <si>
    <t>DONE</t>
  </si>
  <si>
    <t>SATISFACTORY</t>
  </si>
  <si>
    <t>https://nafdacng.sharepoint.com/sites/PMSLAGOS/Shared Documents/GSDP (GOOD STORAGE AND DISTRIBUTION PRACTICE)/GSDP COMPANY FILES\MEDEXPRESS</t>
  </si>
  <si>
    <t>SOLID ACCORD LTD</t>
  </si>
  <si>
    <t>85B, FEMI KILLA RD., OFF AGO PALACE WAY, OKOTA</t>
  </si>
  <si>
    <t>MR FRANCIS OHALE 08033738531</t>
  </si>
  <si>
    <t>21ST MARCH 2025</t>
  </si>
  <si>
    <t>https://nafdacng.sharepoint.com/sites/PMSLAGOS/Shared Documents/GSDP (GOOD STORAGE AND DISTRIBUTION PRACTICE)/GSDP COMPANY FILES\Solid Accord</t>
  </si>
  <si>
    <t>AQUATIX PHARM. LTD</t>
  </si>
  <si>
    <t>9, DAVE ANAZODO STREET, NEAR CHIVITA COMPANY, AJAO ESTATE</t>
  </si>
  <si>
    <t>MR. PRADEEP CHAUDHARY 08025555568</t>
  </si>
  <si>
    <t>https://nafdacng.sharepoint.com/sites/PMSLAGOS/Shared Documents/GSDP (GOOD STORAGE AND DISTRIBUTION PRACTICE)/GSDP COMPANY FILES\AQUATIX</t>
  </si>
  <si>
    <t>SAI SAGAR</t>
  </si>
  <si>
    <t>2, KAARA STREET.,OFF OSOLO WAY,AJAO ESTATE,LAGOS</t>
  </si>
  <si>
    <t>PHARM. OKEKE UCHE 07055244581</t>
  </si>
  <si>
    <t>https://nafdacng.sharepoint.com/sites/PMSLAGOS/Shared%20Documents/GDP%20(GOOD%20DISTRIBUTION%20PRATICE)/GSDP%20COMPANY%20FILES/ICE%20REMEDIES</t>
  </si>
  <si>
    <t>MAYDON PHARM. &amp; CHEM. CO. LTD.</t>
  </si>
  <si>
    <t>15, WILMER STREET, OFF TOWN PLANNING WAY, ILUPEJU</t>
  </si>
  <si>
    <t>Pharm. PE Orazukile 08034304758</t>
  </si>
  <si>
    <t>5TH MAY 2025</t>
  </si>
  <si>
    <t>https://nafdacng.sharepoint.com/sites/PMSLAGOS/Shared Documents/GSDP (GOOD STORAGE AND DISTRIBUTION PRACTICE)/GSDP COMPANY FILES\MAYDON</t>
  </si>
  <si>
    <t>ALMOND ETHICALS LTD</t>
  </si>
  <si>
    <t>2B, MOJOLA STREET, AJAO ESTATE, ANTHONY VILLAGE LAGOS</t>
  </si>
  <si>
    <t>THEODORE R. OKAFOR 08033324448</t>
  </si>
  <si>
    <t>https://nafdacng.sharepoint.com/sites/PMSLAGOS/Shared%20Documents/GDP%20(GOOD%20DISTRIBUTION%20PRATICE)/GSDP%20COMPANY%20FILES\ALMOND%20ETHICALS</t>
  </si>
  <si>
    <t>EJIMATH PHARMACY LTD.</t>
  </si>
  <si>
    <t>10, ABEOKUTA STREET, OFF ABEOKUTA EXPRESS ROAD, PLEASURE, ALIMOSHO, LAGOS</t>
  </si>
  <si>
    <t>Pharm. (Dr.) Agu Nnamdulu</t>
  </si>
  <si>
    <t>23RD APRIL 2025</t>
  </si>
  <si>
    <t>https://nafdacng.sharepoint.com/sites/PMSLAGOS/Shared Documents/GSDP (GOOD STORAGE AND DISTRIBUTION PRACTICE)/GSDP COMPANY FILES\EJIMATH</t>
  </si>
  <si>
    <t>NAFRO PHARMA NIG. LTD.</t>
  </si>
  <si>
    <t>SUITE B16, AMORI SHOPPING PLAZA, EGBEDA.</t>
  </si>
  <si>
    <t>Abasilim 08033262248</t>
  </si>
  <si>
    <t>https://nafdacng.sharepoint.com/sites/PMSLAGOS/Shared Documents/GSDP (GOOD STORAGE AND DISTRIBUTION PRACTICE)/GSDP COMPANY FILES\NANCIL1</t>
  </si>
  <si>
    <t>THOMPSON &amp; GRACE PHARM. LTD.</t>
  </si>
  <si>
    <t>7, MORONU MADUAGWU STR., OFF MASHA, SURULERE</t>
  </si>
  <si>
    <t>Pharm. Anthony Otaigbe 07060954163</t>
  </si>
  <si>
    <t>https://nafdacng.sharepoint.com/sites/PMSLAGOS/Shared Documents/GSDP (GOOD STORAGE AND DISTRIBUTION PRACTICE)/GSDP COMPANY FILES\Thompson &amp; Grace Pharm</t>
  </si>
  <si>
    <t>GLOBAL ONE WORD HEALTHCARE</t>
  </si>
  <si>
    <t>30B TOWOLAWI, COKER VILLAGE, ORILE IGANMU, SURULERE</t>
  </si>
  <si>
    <t>PHARM. IFE ADETIFA 07033775248</t>
  </si>
  <si>
    <t>24TH APRIL 2025</t>
  </si>
  <si>
    <t>https://nafdacng.sharepoint.com/sites/PMSLAGOS/Shared Documents/GSDP (GOOD STORAGE AND DISTRIBUTION PRACTICE)/GSDP COMPANY FILES\Global One healthcare</t>
  </si>
  <si>
    <t>LABETA DRUGS LTD.</t>
  </si>
  <si>
    <t>16, BADARU STREET, BY MASHA BUSSTOP, SURULERE</t>
  </si>
  <si>
    <t>Elizabeth Amomo 08023263729</t>
  </si>
  <si>
    <t>https://nafdacng.sharepoint.com/sites/PMSLAGOS/Shared Documents/GSDP (GOOD STORAGE AND DISTRIBUTION PRACTICE)/GSDP COMPANY FILES\LABETA</t>
  </si>
  <si>
    <t>MULTIBASE PHARMA IND. NIG. LTD</t>
  </si>
  <si>
    <t>7A, AJIBADE OKE STR., AJAO ESTATE</t>
  </si>
  <si>
    <t>NO CAPA UNTIL IMPORTATION BEGINS</t>
  </si>
  <si>
    <t>https://nafdacng.sharepoint.com/sites/PMSLAGOS/Shared Documents/GSDP (GOOD STORAGE AND DISTRIBUTION PRACTICE)/GSDP COMPANY FILES\MULTICHARIS PHARMACY &amp; CHEM</t>
  </si>
  <si>
    <t>GENERICS &amp; SPECIALITIES LTD (CAPA)</t>
  </si>
  <si>
    <t xml:space="preserve">Pharm. Cyril Odidika </t>
  </si>
  <si>
    <t>CONTINOUS MONITORING TO ENSURE COMPLAINCE</t>
  </si>
  <si>
    <t>https://nafdacng.sharepoint.com/sites/PMSLAGOS/Shared Documents/GSDP (GOOD STORAGE AND DISTRIBUTION PRACTICE)/GSDP COMPANY FILES\GENERICS &amp; SPECIALITIES</t>
  </si>
  <si>
    <t>NANCIL NIG. LTD.</t>
  </si>
  <si>
    <t>1, CEDAR ROAD, OFF OJODU ABIODUN ROAD, OJODU BERGER</t>
  </si>
  <si>
    <t>Pharm. Chizoba Akubue</t>
  </si>
  <si>
    <t>22ND APRIL 2025</t>
  </si>
  <si>
    <t>https://nafdacng.sharepoint.com/sites/PMSLAGOS/Shared Documents/GSDP (GOOD STORAGE AND DISTRIBUTION PRACTICE)/GSDP COMPANY FILES\NEAT LINE PHARM LTD</t>
  </si>
  <si>
    <t>TETA PHARM. LTD.(CAPA)</t>
  </si>
  <si>
    <t>4, OKEHO STREET, IREAKARI ESTATE, ISOLO</t>
  </si>
  <si>
    <t>Pharm. George Akinsuli</t>
  </si>
  <si>
    <t>https://nafdacng.sharepoint.com/sites/PMSLAGOS/Shared Documents/GSDP (GOOD STORAGE AND DISTRIBUTION PRACTICE)/GSDP COMPANY FILES\TEKA PHARM</t>
  </si>
  <si>
    <t>VITANE PHARM. NIG. LTD.</t>
  </si>
  <si>
    <t>M.ALATEEKS</t>
  </si>
  <si>
    <t>ORANGE DRUGS LTD.</t>
  </si>
  <si>
    <t>66/68, TOWN PLANNING WAY, ILUPEJU</t>
  </si>
  <si>
    <t>21ST MAY 2025</t>
  </si>
  <si>
    <t>https://nafdacng.sharepoint.com/sites/PMSLAGOS/Shared Documents/GSDP (GOOD STORAGE AND DISTRIBUTION PRACTICE)/GSDP COMPANY FILES\Orange drugs ltd</t>
  </si>
  <si>
    <t>GLOBAL HEALTHCARE LTD</t>
  </si>
  <si>
    <t>12, OLUSOJI IDOWU STREET, OFF ADEKUNLE ODUNLAMI CRESCERNT, ILUPEJU</t>
  </si>
  <si>
    <t>OLADIMEJI GBOTOSO 08033371573</t>
  </si>
  <si>
    <t>https://nafdacng.sharepoint.com/sites/PMSLAGOS/Shared Documents/GSDP (GOOD STORAGE AND DISTRIBUTION PRACTICE)/GSDP COMPANY FILES\Global Healthcare Ltd</t>
  </si>
  <si>
    <t>OXUS PHARMA LTD.</t>
  </si>
  <si>
    <t>20, OGUNAIKE STREET, OFF SHIPEOLU STREET, PALMGROOVE</t>
  </si>
  <si>
    <t>PHARM. EGBUNIKE 08065139357</t>
  </si>
  <si>
    <t>https://nafdacng.sharepoint.com/sites/PMSLAGOS/Shared Documents/GSDP (GOOD STORAGE AND DISTRIBUTION PRACTICE)/GSDP COMPANY FILES\Oxus pharma</t>
  </si>
  <si>
    <t>MICRONOVA PHARM. INDT. LTD</t>
  </si>
  <si>
    <t>PLOT 3, BILLINGS WAY, OREGUN IND ESTATE, IKEJA</t>
  </si>
  <si>
    <t>OGUEF SOLOMON 08033555665</t>
  </si>
  <si>
    <t>26TH MAY 2025</t>
  </si>
  <si>
    <t>https://nafdacng.sharepoint.com/sites/PMSLAGOS/Shared Documents/GSDP (GOOD STORAGE AND DISTRIBUTION PRACTICE)/GSDP COMPANY FILES\Mid century Agro Allied Ventures</t>
  </si>
  <si>
    <t xml:space="preserve">TURNER WRIGHT LTD. </t>
  </si>
  <si>
    <t>15, ADENEKAN SALAKO STR., OGBA, IKEJA</t>
  </si>
  <si>
    <t>PHARM. F. AKINDELE 08033068480</t>
  </si>
  <si>
    <t>25TH MAY 2025</t>
  </si>
  <si>
    <t>https://nafdacng.sharepoint.com/sites/PMSLAGOS/Shared%20Documents/GDP%20(GOOD%20DISTRIBUTION%20PRATICE)/GSDP%20COMPANY%20FILES/TURNER%20WRIGHT%20LTD</t>
  </si>
  <si>
    <t>BRIAN MUNRO LTD</t>
  </si>
  <si>
    <t>25, IZE IYAMU STR., OFF BILLINGSWAY, OREGUN</t>
  </si>
  <si>
    <t>PHARM. OLORUNSOLA BOLUWATIFE 08060378307</t>
  </si>
  <si>
    <t>23RD MAY 2025</t>
  </si>
  <si>
    <t>https://nafdacng.sharepoint.com/sites/PMSLAGOS/Shared Documents/GSDP (GOOD STORAGE AND DISTRIBUTION PRACTICE)/GSDP COMPANY FILES\Brian Munroe</t>
  </si>
  <si>
    <t>SAGAR VITACEUTICALS (CAPA)</t>
  </si>
  <si>
    <t>PLOT 2, LADIPO OLUWOLE STR., OFF AKRAN AVENUE, IKEJA</t>
  </si>
  <si>
    <t>PHARM. AJENIFUJA 08023692457</t>
  </si>
  <si>
    <t>https://nafdacng.sharepoint.com/sites/PMSLAGOS/Shared Documents/GSDP (GOOD STORAGE AND DISTRIBUTION PRACTICE)/GSDP COMPANY FILES\SAGAR VITACEAUTICALS NIG LTD</t>
  </si>
  <si>
    <t>NEIMETH INTERNATIONAL PHARMACEUTICALS PLC</t>
  </si>
  <si>
    <t>PLOT 16, AKANNI DOHERTY LAYOUT, BILLINGS WAY OREGUN INDUSTRIAL ROAD</t>
  </si>
  <si>
    <t>PHARM. ONWUBUYA PHILIP 08085246483</t>
  </si>
  <si>
    <t>https://nafdacng.sharepoint.com/sites/PMSLAGOS/Shared Documents/GSDP (GOOD STORAGE AND DISTRIBUTION PRACTICE)/GSDP COMPANY FILES\NEMITT PHARMACEUTICALS LTD</t>
  </si>
  <si>
    <t>EVERSHINE PHARMACEUTICAL NIG. LTD. (CAPA)</t>
  </si>
  <si>
    <t>41, AMOKE ALASALA STREET, IYANA IPAJA, LAGOS.</t>
  </si>
  <si>
    <t>PHARM. CLETHS S.N. 08062744196</t>
  </si>
  <si>
    <t>https://nafdacng.sharepoint.com/sites/PMSLAGOS/Shared Documents/GSDP (GOOD STORAGE AND DISTRIBUTION PRACTICE)/GSDP COMPANY FILES\EVERSHINE PHARMA NIG LTD</t>
  </si>
  <si>
    <t>ASSENE-LABOREX LTD</t>
  </si>
  <si>
    <t>PLT. 2 &amp; 4, BLK. D, IND. SCHEME, APAPA-OSHODI E-WAY</t>
  </si>
  <si>
    <t>PHARM. TIMI ESO 08184544791</t>
  </si>
  <si>
    <t>https://nafdacng.sharepoint.com/sites/PMSLAGOS/Shared Documents/GSDP (GOOD STORAGE AND DISTRIBUTION PRACTICE)/GSDP COMPANY FILES\Assene-LABOREX</t>
  </si>
  <si>
    <t>PEMASON PHARMACY LTD</t>
  </si>
  <si>
    <t>NO. 15, REGINAL PETER CHIDIEBERE STREET, HOPE ESTATE, ISOLO</t>
  </si>
  <si>
    <t>PHARM. OGBANUSI 08034000540</t>
  </si>
  <si>
    <t>https://nafdacng.sharepoint.com/sites/PMSLAGOS/Shared Documents/GSDP (GOOD STORAGE AND DISTRIBUTION PRACTICE)/GSDP COMPANY FILES\PEMASON</t>
  </si>
  <si>
    <t>NKOYO CHEMIST</t>
  </si>
  <si>
    <t>23, AGBONYIN STREET, AGUDA, SURULERE</t>
  </si>
  <si>
    <t>PHARM. CHISOM 08035747466</t>
  </si>
  <si>
    <t>https://nafdacng.sharepoint.com/sites/PMSLAGOS/Shared Documents/GSDP (GOOD STORAGE AND DISTRIBUTION PRACTICE)/GSDP COMPANY FILES/EUROMED</t>
  </si>
  <si>
    <t>EVANS THERAPEUTICS</t>
  </si>
  <si>
    <t>24,ABIMBOLA WAY,ISOLO LAGOS</t>
  </si>
  <si>
    <t>PHARM. ADEMOLA ADEKUNLE</t>
  </si>
  <si>
    <t>24th june 2025</t>
  </si>
  <si>
    <t>https://nafdacng.sharepoint.com/sites/PMSLAGOS/Shared Documents/GSDP (GOOD STORAGE AND DISTRIBUTION PRACTICE)/GSDP COMPANY FILES\EVANS THERAPEUTICS</t>
  </si>
  <si>
    <t>STRIDES LIFESCIENCES LTD</t>
  </si>
  <si>
    <t>CHEMLINE HOUSE 7,OBASA STREET,OFF OBA AKRAN AVENUE,IKEJA</t>
  </si>
  <si>
    <t>PHARM. KELECHI EKE</t>
  </si>
  <si>
    <t>https://nafdacng.sharepoint.com/sites/PMSLAGOS/Shared Documents/GSDP (GOOD STORAGE AND DISTRIBUTION PRACTICE)/GSDP COMPANY FILES\STRIDELIFESCIENCES</t>
  </si>
  <si>
    <t>KUNIMED PHARMACHEM LTD</t>
  </si>
  <si>
    <t>18/20 MORTUNE AVENUE,VALLEY ESTATE,IKEJA</t>
  </si>
  <si>
    <t>PHARM. EZEAMA EMMANUEL</t>
  </si>
  <si>
    <t>https://nafdacng.sharepoint.com/sites/PMSLAGOS/Shared Documents/GSDP (GOOD STORAGE AND DISTRIBUTION PRACTICE)/GSDP COMPANY FILES\KUNIMED1</t>
  </si>
  <si>
    <t>PACMAI INTL LTD</t>
  </si>
  <si>
    <t>4, SHOWEMIMO STREET,BEHIND ION FILLING STATION AFTER ABULE,BEFORE OJO BARRACKS</t>
  </si>
  <si>
    <t>PHARM. GBENGA AJERO</t>
  </si>
  <si>
    <t>30th june 2025</t>
  </si>
  <si>
    <t>https://nafdacng.sharepoint.com/sites/PMSLAGOS/Shared Documents/GSDP (GOOD STORAGE AND DISTRIBUTION PRACTICE)/GSDP COMPANY FILES\Pacmal intl ltd</t>
  </si>
  <si>
    <t>SKIN PHARM LTD</t>
  </si>
  <si>
    <t>230, IDEWU STREET,OLODI APAPA</t>
  </si>
  <si>
    <t>OPARAOCHA MARYEY</t>
  </si>
  <si>
    <t>https://nafdacng.sharepoint.com/sites/PMSLAGOS/Shared Documents/GSDP (GOOD STORAGE AND DISTRIBUTION PRACTICE)/GSDP COMPANY FILES\SKINPHARM</t>
  </si>
  <si>
    <t>AMAKIN PHARMACEUTICALS LTD</t>
  </si>
  <si>
    <t>25, OTUNBA GBADAMOSI/ASADO STREET,OLODI APAPA</t>
  </si>
  <si>
    <t>PHARM MACDONALD A.</t>
  </si>
  <si>
    <t>https://nafdacng.sharepoint.com/sites/PMSLAGOS/Shared Documents/GSDP (GOOD STORAGE AND DISTRIBUTION PRACTICE)/GSDP COMPANY FILES\AMAKIN PHARM</t>
  </si>
  <si>
    <t>MC FORIS PHARM LTD</t>
  </si>
  <si>
    <t>7,APOSTOLIC CHURCH STREET,AJAO ESTATE</t>
  </si>
  <si>
    <t>PHARM ASHIMOLE PRECIOUS</t>
  </si>
  <si>
    <t>25th june 2025</t>
  </si>
  <si>
    <t>https://nafdacng.sharepoint.com/sites/PMSLAGOS/Shared Documents/GSDP (GOOD STORAGE AND DISTRIBUTION PRACTICE)/GSDP COMPANY FILES\MCFORIS Pharm ltd</t>
  </si>
  <si>
    <t>BERLIN PHARM &amp; HEALTHCARE</t>
  </si>
  <si>
    <t>42, COMFORT EBOH,KIRIKIRI INDUSTRIAL AREA,APAPA</t>
  </si>
  <si>
    <t>FELIX ANIKPEA</t>
  </si>
  <si>
    <t>https://nafdacng.sharepoint.com/sites/PMSLAGOS/Shared Documents/GSDP (GOOD STORAGE AND DISTRIBUTION PRACTICE)/GSDP COMPANY FILES\BERLIN PHARM</t>
  </si>
  <si>
    <t>SUITE LIFE PHARMACEUTICALS</t>
  </si>
  <si>
    <t>SUITE LIFE CLOSE,HOPE ESTATE,AGO PALACE,OKOTA</t>
  </si>
  <si>
    <t>MRS JULIUS-IFEANYI UCHE</t>
  </si>
  <si>
    <t>https://nafdacng.sharepoint.com/sites/PMSLAGOS/Shared Documents/GSDP (GOOD STORAGE AND DISTRIBUTION PRACTICE)/GSDP COMPANY FILES\SUITELIFE</t>
  </si>
  <si>
    <t>30B TOLAWI COKER VILLAGE ORILE IGANMU SURULERE</t>
  </si>
  <si>
    <t>PHARM. IFE ADETIFA</t>
  </si>
  <si>
    <t>FRESHBORN INDUSTRIES LTD</t>
  </si>
  <si>
    <t>PLOT 3164, BLOCK 68, MARIAN ROAD,AMUWO ODOFIN</t>
  </si>
  <si>
    <t>PHARM. EBURUO BONIFACE</t>
  </si>
  <si>
    <t>https://nafdacng.sharepoint.com/sites/PMSLAGOS/Shared Documents/GSDP (GOOD STORAGE AND DISTRIBUTION PRACTICE)/GSDP COMPANY FILES\FRESHBORN</t>
  </si>
  <si>
    <t>EMINENT DRUGS LIMITED</t>
  </si>
  <si>
    <t>6B OMONUBI ,OFF OMOLANI STREET,IJESHATEDO-SU</t>
  </si>
  <si>
    <t>PHARM. AKALUGO JUDE</t>
  </si>
  <si>
    <t>https://nafdacng.sharepoint.com/sites/PMSLAGOS/Shared Documents/GSDP (GOOD STORAGE AND DISTRIBUTION PRACTICE)/GSDP COMPANY FILES\EMINENT DRUGS</t>
  </si>
  <si>
    <t>MALVIN MEDICS</t>
  </si>
  <si>
    <t>6, WILMERS STREET,ILUPEJU LAGOS</t>
  </si>
  <si>
    <t>PHARM. PETER OGINI</t>
  </si>
  <si>
    <t>https://nafdacng.sharepoint.com/sites/PMSLAGOS/Shared Documents/GSDP (GOOD STORAGE AND DISTRIBUTION PRACTICE)/GSDP COMPANY FILES\MALVEN MEDICS LTD</t>
  </si>
  <si>
    <t>PANGENE BIOTECH</t>
  </si>
  <si>
    <t>64,BAYO OYEWALE STREET,AGO PALACE,OKOTA,LAGOS</t>
  </si>
  <si>
    <t>PHARM. NKESE UYOATA</t>
  </si>
  <si>
    <t>24TH JULY 2025</t>
  </si>
  <si>
    <t>https://nafdacng.sharepoint.com/sites/PMSLAGOS/Shared Documents/GSDP (GOOD STORAGE AND DISTRIBUTION PRACTICE)/GSDP COMPANY FILES\PANGENE BIOTECH</t>
  </si>
  <si>
    <t>CEEMIKE PHARMA LTD</t>
  </si>
  <si>
    <t>41,SHEU HUSSEIN ARIKEKEWUYO ROAD,I/VIEW ESTATE PH2,AMUWO ODOFIN,LAGOS</t>
  </si>
  <si>
    <t>PHARM.EBINUM SUNDAY</t>
  </si>
  <si>
    <t>23RD JULY 2025</t>
  </si>
  <si>
    <t>https://nafdacng.sharepoint.com/sites/PMSLAGOS/Shared Documents/GSDP (GOOD STORAGE AND DISTRIBUTION PRACTICE)/GSDP COMPANY FILES\CEEMIKE</t>
  </si>
  <si>
    <t>TOC PHARMACEUTICALS</t>
  </si>
  <si>
    <t>88,ILAMOYE STREET,IJESHATEDO,LAGOS</t>
  </si>
  <si>
    <t>PHARM. FASASI</t>
  </si>
  <si>
    <t>https://nafdacng.sharepoint.com/sites/PMSLAGOS/Shared Documents/GSDP (GOOD STORAGE AND DISTRIBUTION PRACTICE)/GSDP COMPANY FILES\TOC PHARMACEUTICALS</t>
  </si>
  <si>
    <t>GOLDEN GAZELLE</t>
  </si>
  <si>
    <t>387,AGEGE MOTOR ROAD,MUSHIN, LAGOS</t>
  </si>
  <si>
    <t>PHARM. OKWUAKU MARTINS</t>
  </si>
  <si>
    <t>https://nafdacng.sharepoint.com/sites/PMSLAGOS/Shared Documents/GSDP (GOOD STORAGE AND DISTRIBUTION PRACTICE)/GSDP COMPANY FILES/GOLDEN GAZELLE</t>
  </si>
  <si>
    <t>24,MONTGOMERY ROAD,YABA,LAGOS</t>
  </si>
  <si>
    <t>PHARM ADETUNJI JOSEPH</t>
  </si>
  <si>
    <t>30TH AUGUST 2025</t>
  </si>
  <si>
    <t>https://nafdacng.sharepoint.com/sites/PMSLAGOS/Shared Documents/GSDP (GOOD STORAGE AND DISTRIBUTION PRACTICE)/GSDP COMPANY FILES/SHEPHERD HEALTH</t>
  </si>
  <si>
    <t>TRINITAS APO LIMITED</t>
  </si>
  <si>
    <t>192,BABS ANIMASHAUN STREET, SURULERE LAGOS</t>
  </si>
  <si>
    <t>PHARM EZEAKOR EMEKA</t>
  </si>
  <si>
    <t>https://nafdacng.sharepoint.com/sites/PMSLAGOS/Shared Documents/GSDP (GOOD STORAGE AND DISTRIBUTION PRACTICE)/GSDP COMPANY FILES\TRINITAS</t>
  </si>
  <si>
    <t>RICNOS PHARMA NIG. LTD</t>
  </si>
  <si>
    <t>12A, LASISI AKINWALE STR., COKER ORILE-IGANMU</t>
  </si>
  <si>
    <t>PHARM OGBEDI ONYINYE</t>
  </si>
  <si>
    <t>https://nafdacng.sharepoint.com/sites/PMSLAGOS/Shared Documents/GSDP (GOOD STORAGE AND DISTRIBUTION PRACTICE)/GSDP COMPANY FILES\RICNOS</t>
  </si>
  <si>
    <t xml:space="preserve"> ABTEVIC PHARMACEUTICAL LTD</t>
  </si>
  <si>
    <t>17A, SANNI BALOGUN OFF AGBE ROAD, ABULE EGBA</t>
  </si>
  <si>
    <t>PHARM AYODEJI-ONI OYINDAMOLA</t>
  </si>
  <si>
    <t>https://nafdacng.sharepoint.com/sites/PMSLAGOS/Shared Documents/GSDP (GOOD STORAGE AND DISTRIBUTION PRACTICE)/GSDP COMPANY FILES\Abtevic</t>
  </si>
  <si>
    <t>GLOBAL ORGANICS LIMITED</t>
  </si>
  <si>
    <t>PLOT 868,KM 34,LAGOS-ABEOKUTA EXPRESSWAY, LAGOS</t>
  </si>
  <si>
    <t>LAWRENCE MUSA</t>
  </si>
  <si>
    <t>25TH AUGUST 2025</t>
  </si>
  <si>
    <t>NWACHI HENRY</t>
  </si>
  <si>
    <t>https://nafdacng.sharepoint.com/sites/PMSLAGOS/Shared Documents/GSDP (GOOD STORAGE AND DISTRIBUTION PRACTICE)/GSDP COMPANY FILES/MEDEXPRESS</t>
  </si>
  <si>
    <t>EXPHARLAB LIMITED</t>
  </si>
  <si>
    <t>387, AGEGE MOTOR ROAD, MUSHIN, LAGOS</t>
  </si>
  <si>
    <t>PHARM. DICKSON IKHUORIA</t>
  </si>
  <si>
    <t>2ND SEPTEMBER 2025</t>
  </si>
  <si>
    <t>https://nafdacng.sharepoint.com/sites/PMSLAGOS/Shared Documents/GSDP (GOOD STORAGE AND DISTRIBUTION PRACTICE)/GSDP COMPANY FILES\EXPHARLAB</t>
  </si>
  <si>
    <t>ICE REMEDIES LIMITED</t>
  </si>
  <si>
    <t>12, ADEWOLU KUKU STREET, OFF EMMA ABIMBOLA,COLE STREET, LEKKI PHASE 1, LAGOS</t>
  </si>
  <si>
    <t>MARY JOHN NWOYE</t>
  </si>
  <si>
    <t>NOVO NORDISK PHARMA LTD</t>
  </si>
  <si>
    <t>GIL AUTOMATIONS BUILDING GBOLAHAN LAWAL STREET,CBD, ALAUSA, IKEJA LAGOS</t>
  </si>
  <si>
    <t>JUDE ABONU</t>
  </si>
  <si>
    <t>OLPHARM NIG. LIMITED</t>
  </si>
  <si>
    <t>13, AGBAOKUN STREET,OPEBI</t>
  </si>
  <si>
    <t>OMOWUNMI OKON</t>
  </si>
  <si>
    <t>https://nafdacng.sharepoint.com/sites/PMSLAGOS/Shared Documents/GSDP (GOOD STORAGE AND DISTRIBUTION PRACTICE)/GSDP COMPANY FILES\Olpharm Nigeria Limited</t>
  </si>
  <si>
    <t>1,CEDAR ROAD,NIGERIA CEDAR COMPOUND,OJODU ABIODUN ROAD, OJODU BERGER, LAGOS</t>
  </si>
  <si>
    <t>https://nafdacng.sharepoint.com/sites/PMSLAGOS/Shared Documents/GSDP (GOOD STORAGE AND DISTRIBUTION PRACTICE)/GSDP COMPANY FILES/NANCIL1</t>
  </si>
  <si>
    <t>AGARY PHARMACEUTICALS LTD</t>
  </si>
  <si>
    <t>PLOT C394, AMUWO ODOFIN COMM SCHEME, LAGOS STATE</t>
  </si>
  <si>
    <t>PHARM ICHE VICTOR 07064686455</t>
  </si>
  <si>
    <t>https://nafdacng.sharepoint.com/sites/PMSLAGOS/Shared Documents/GSDP (GOOD STORAGE AND DISTRIBUTION PRACTICE)/GSDP COMPANY FILES\AGARY PHARMACEUTICALS LTD</t>
  </si>
  <si>
    <t>TAYLEK DRUGS CO.</t>
  </si>
  <si>
    <t>PLOT 8,BLOCK M,ABIMBOLA STREET, ISOLO</t>
  </si>
  <si>
    <t/>
  </si>
  <si>
    <t>CHILINK PHARM LTD. </t>
  </si>
  <si>
    <t>18A, DAODU STR, OSHODI, LAGOS </t>
  </si>
  <si>
    <t>08035721052 </t>
  </si>
  <si>
    <t>30/09/25</t>
  </si>
  <si>
    <t>https://nafdacng.sharepoint.com/sites/PMSLAGOS/Shared Documents/GSDP (GOOD STORAGE AND DISTRIBUTION PRACTICE)/GSDP COMPANY FILES\CHILINK PHARM LTD</t>
  </si>
  <si>
    <t>FAES FARMA NIG LTD (CAPA) </t>
  </si>
  <si>
    <t>25, LADOKE AKINTOLA ST, IKEJA GRA LAGOS </t>
  </si>
  <si>
    <t>N/A </t>
  </si>
  <si>
    <t>CAPA CLOSED</t>
  </si>
  <si>
    <t>https://nafdacng.sharepoint.com/sites/PMSLAGOS/Shared Documents/GSDP (GOOD STORAGE AND DISTRIBUTION PRACTICE)/GSDP COMPANY FILES\Faes Farma ltd</t>
  </si>
  <si>
    <t>CEMCEE PHARM. LTD. </t>
  </si>
  <si>
    <t>58, MUSHIN RD. ISOLO, LAGOS. </t>
  </si>
  <si>
    <t>08069718539 </t>
  </si>
  <si>
    <t>23/O9/25</t>
  </si>
  <si>
    <t>https://nafdacng.sharepoint.com/sites/PMSLAGOS/Shared Documents/GSDP (GOOD STORAGE AND DISTRIBUTION PRACTICE)/GSDP COMPANY FILES\Cemcee</t>
  </si>
  <si>
    <t>LABETA DRUGS LTD (CAPA) </t>
  </si>
  <si>
    <t>125C, OLAITAN ODULARU STREET, SURULERE LAGOS. </t>
  </si>
  <si>
    <t>08023263729 </t>
  </si>
  <si>
    <t>22/09/25</t>
  </si>
  <si>
    <t>PHARMADEAL NIG. LTD </t>
  </si>
  <si>
    <t>1, CRYSTAL GLASS CLOSE, AMUWO-ODOFIN. </t>
  </si>
  <si>
    <t>08038510048 </t>
  </si>
  <si>
    <t>19/09/25</t>
  </si>
  <si>
    <t>https://nafdacng.sharepoint.com/sites/PMSLAGOS/Shared Documents/GSDP (GOOD STORAGE AND DISTRIBUTION PRACTICE)/GSDP COMPANY FILES\Pharmadeal nig ltd</t>
  </si>
  <si>
    <t>AMAKIN PHARM (CAPA) </t>
  </si>
  <si>
    <t>25, OTUNBA GBADAMOSI STREET, OLODI APAPA, LAGOS. </t>
  </si>
  <si>
    <t>08032620225 </t>
  </si>
  <si>
    <r>
      <t xml:space="preserve">SEAGREEN PHARMACEUTICALS </t>
    </r>
    <r>
      <rPr>
        <sz val="11"/>
        <color rgb="FF000000"/>
        <rFont val="Times New Roman"/>
        <family val="1"/>
      </rPr>
      <t>(CAPA) </t>
    </r>
  </si>
  <si>
    <t>3, OKUNFOLAMI STREET, ANTHONY VILLAGE, LAGOS. </t>
  </si>
  <si>
    <t>17/09/2025</t>
  </si>
  <si>
    <t>https://nafdacng.sharepoint.com/sites/PMSLAGOS/Shared Documents/GSDP (GOOD STORAGE AND DISTRIBUTION PRACTICE)/GSDP COMPANY FILES\Seagreen Pharmaceuticals</t>
  </si>
  <si>
    <t>MAYDON PHARMACEUTICAL (CAPA) </t>
  </si>
  <si>
    <t>15, WILMER STREET, OFF TOWN PLANNING WAY, ILUPEJU, LAGOS </t>
  </si>
  <si>
    <t>29/09/25</t>
  </si>
  <si>
    <t>https://nafdacng.sharepoint.com/sites/PMSLAGOS/Shared Documents/GSDP (GOOD STORAGE AND DISTRIBUTION PRACTICE)/GSDP COMPANY FILES/MAYDON</t>
  </si>
  <si>
    <t>EXXON PHARM (CAPA) </t>
  </si>
  <si>
    <t>AREA TEXTILE MILL COMP, PLOT A, BLK 2B, ASWANI STREET, ISOLO, LAGOS. </t>
  </si>
  <si>
    <t>https://nafdacng.sharepoint.com/sites/PMSLAGOS/Shared Documents/GSDP (GOOD STORAGE AND DISTRIBUTION PRACTICE)/GSDP COMPANY FILES\exxon</t>
  </si>
  <si>
    <t>ADCEM (CAPA)</t>
  </si>
  <si>
    <t>2, NILWIL CLOSE, OBA AKRAN AVENUE,IKEJA LAGOS</t>
  </si>
  <si>
    <t xml:space="preserve">N/A </t>
  </si>
  <si>
    <t>JIN SPECTRAL PHARMACEUTICAL</t>
  </si>
  <si>
    <t>BLOCK 4A PLOT 29/31, LINK ROAD, ODOFIN, LAGOS</t>
  </si>
  <si>
    <t>08037878762 </t>
  </si>
  <si>
    <t>24/10/25</t>
  </si>
  <si>
    <t>https://nafdacng.sharepoint.com/sites/PMSLAGOS/Shared Documents/GSDP (GOOD STORAGE AND DISTRIBUTION PRACTICE)/GSDP COMPANY FILES\JIN SPECTRAL PHARMACEUTICAL</t>
  </si>
  <si>
    <t>AFRAB-CHEM LIMITED </t>
  </si>
  <si>
    <t>22, ABIMBOLA STREET, ISOLO, LAGOS</t>
  </si>
  <si>
    <t>08099928893 </t>
  </si>
  <si>
    <t>https://nafdacng.sharepoint.com/sites/PMSLAGOS/Shared%20Documents/GDP%20(GOOD%20DISTRIBUTION%20PRATICE)/GSDP%20COMPANY%20FILES/NKOYO%20CHEMIST</t>
  </si>
  <si>
    <t>ARTEMIS LIFE SCIENCE LTD</t>
  </si>
  <si>
    <t>2EB OPPOSITE OSOLO WAY, ASWANI MARKET OSHODI INDUSTRIAL SCHEME, ISOLO, LAGOS. </t>
  </si>
  <si>
    <t>07087023420 </t>
  </si>
  <si>
    <t>https://nafdacng.sharepoint.com/sites/PMSLAGOS/Shared Documents/GSDP (GOOD STORAGE AND DISTRIBUTION PRACTICE)/GSDP COMPANY FILES\ARTEMIS</t>
  </si>
  <si>
    <t>STANDARD GENERICS LTD</t>
  </si>
  <si>
    <t>7 AGBOR STREET OFF OSOLOWAY AJAO ESTATE LAGOS</t>
  </si>
  <si>
    <t>08033168492 </t>
  </si>
  <si>
    <t>https://nafdacng.sharepoint.com/sites/PMSLAGOS/Shared Documents/GSDP (GOOD STORAGE AND DISTRIBUTION PRACTICE)/GSDP COMPANY FILES\STANDARD GENERICS</t>
  </si>
  <si>
    <t>PHARMABOX VENTURES LIMITED</t>
  </si>
  <si>
    <t>NO.4 OHAFIA STREET, OFF AGO PALACE WAY OKOTA LAGOS</t>
  </si>
  <si>
    <t>07045115225 </t>
  </si>
  <si>
    <t>22/10/25</t>
  </si>
  <si>
    <t>https://nafdacng.sharepoint.com/sites/PMSLAGOS/Shared Documents/GSDP (GOOD STORAGE AND DISTRIBUTION PRACTICE)/GSDP COMPANY FILES\PHARMABOX VENTURES LTD</t>
  </si>
  <si>
    <t>JONCO PHARMACEUTICS</t>
  </si>
  <si>
    <t>NO.5 SERIKI CLOSE ALEPERE, KETU.LAGOS</t>
  </si>
  <si>
    <t>08088227984 </t>
  </si>
  <si>
    <t>28/10/25</t>
  </si>
  <si>
    <t>https://nafdacng.sharepoint.com/sites/PMSLAGOS/Shared Documents/GSDP (GOOD STORAGE AND DISTRIBUTION PRACTICE)/GSDP COMPANY FILES\JONCO PHARMACEUTICAL LTD</t>
  </si>
  <si>
    <t>BOUCIA LIMITED</t>
  </si>
  <si>
    <t>1, SERAH AROBIEKE STREET, AMUWO ODOFIN LAGOS </t>
  </si>
  <si>
    <r>
      <t>08028115008</t>
    </r>
    <r>
      <rPr>
        <sz val="12"/>
        <color rgb="FF000000"/>
        <rFont val="WordVisiCarriageReturn_MSFontSe"/>
        <charset val="1"/>
      </rPr>
      <t> </t>
    </r>
  </si>
  <si>
    <t>https://nafdacng.sharepoint.com/sites/PMSLAGOS/Shared Documents/GSDP (GOOD STORAGE AND DISTRIBUTION PRACTICE)/GSDP COMPANY FILES\BOUCIA LIMITED</t>
  </si>
  <si>
    <t>BASIC PHARMACEUTICAL &amp; HERBAL HEALTHCARE LTD</t>
  </si>
  <si>
    <t>24, ODELOLA STREET, SURULERE, LAGOS </t>
  </si>
  <si>
    <t>08060523512 </t>
  </si>
  <si>
    <t>https://nafdacng.sharepoint.com/sites/PMSLAGOS/Shared Documents/GSDP (GOOD STORAGE AND DISTRIBUTION PRACTICE)/GSDP COMPANY FILES\BASIC PHARMACEUTICAL HERBAL HEALTHCARE LIMITED</t>
  </si>
  <si>
    <t>BAZREAL GLOBAL LIMITED </t>
  </si>
  <si>
    <t>2, OGUNYOMI ST. OWORONSHOKI LAGOS </t>
  </si>
  <si>
    <t>08033951167 </t>
  </si>
  <si>
    <t>https://nafdacng.sharepoint.com/sites/PMSLAGOS/Shared Documents/GSDP (GOOD STORAGE AND DISTRIBUTION PRACTICE)/GSDP COMPANY FILES\BAZREAL GLOBAL LIMITED</t>
  </si>
  <si>
    <t>IDEAL EAGLE LIMITED (CAPA) </t>
  </si>
  <si>
    <t>3, DACOSTA STREET, ONIKE, OFF IWAYA ROAD, YABA</t>
  </si>
  <si>
    <t>https://nafdacng.sharepoint.com/sites/PMSLAGOS/Shared Documents/GSDP (GOOD STORAGE AND DISTRIBUTION PRACTICE)/GSDP COMPANY FILES\IDEAL EAGLES</t>
  </si>
  <si>
    <t>THOMPSON AND GRACE (CAPA) </t>
  </si>
  <si>
    <t>7, MORONU MADUAGWU STR., OFF MASHA, SURULERE, LAGO</t>
  </si>
  <si>
    <t>https://nafdacng.sharepoint.com/sites/PMSLAGOS/Shared Documents/GSDP (GOOD STORAGE AND DISTRIBUTION PRACTICE)/GSDP COMPANY FILES/Thompson &amp; Grace Pharm</t>
  </si>
  <si>
    <t>BLUE SUMMIT HEALTH CARE LTD </t>
  </si>
  <si>
    <t>42 COLE STREET OFF OJUELEGBA, LAGOS </t>
  </si>
  <si>
    <t>08037792209 </t>
  </si>
  <si>
    <t>REMINDER LETTER SHOULD BE SENT</t>
  </si>
  <si>
    <t>https://nafdacng.sharepoint.com/sites/PMSLAGOS/Shared%20Documents/GDP%20(GOOD%20DISTRIBUTION%20PRATICE)/GSDP%20COMPANY%20FILES/BLUE%20SUMMIT%20HEALTH</t>
  </si>
  <si>
    <t xml:space="preserve">BRIGHTMEX PHARMACY LIMITED </t>
  </si>
  <si>
    <t>NO 47, MAKINDE STREET ,MAFOLUKU OSHODI</t>
  </si>
  <si>
    <t>18/11/25</t>
  </si>
  <si>
    <t>https://nafdacng.sharepoint.com/sites/PMSLAGOS/Shared Documents/GSDP (GOOD STORAGE AND DISTRIBUTION PRACTICE)/GSDP COMPANY FILES\BRIGHT MEX</t>
  </si>
  <si>
    <t>JAWA INTL LIMITED</t>
  </si>
  <si>
    <t>PLOT 6, ABIMBOLA WAY,ISOLO IND ESTATE, LAGOS</t>
  </si>
  <si>
    <t>https://nafdacng.sharepoint.com/sites/PMSLAGOS/Shared Documents/GSDP (GOOD STORAGE AND DISTRIBUTION PRACTICE)/GSDP COMPANY FILES\JAWA INTERNATIONAL LTD</t>
  </si>
  <si>
    <t>CLARION MEDICALS LTD (CAPA)</t>
  </si>
  <si>
    <t>23, AFOLABI LESI STREET, ILUPEJU LAGOS</t>
  </si>
  <si>
    <t>https://nafdacng.sharepoint.com/sites/PMSLAGOS/Shared Documents/GSDP (GOOD STORAGE AND DISTRIBUTION PRACTICE)/GSDP COMPANY FILES\CLARION HEALTHCARE</t>
  </si>
  <si>
    <t>GENEX LIFESCIENCE</t>
  </si>
  <si>
    <t>WAREHOUSE 2, NO 7 SAPARA WILLIAMS STREET, INDUSTRIAL ESTATE, IKEJA LAGOS</t>
  </si>
  <si>
    <t>21/11/25</t>
  </si>
  <si>
    <t>https://nafdacng.sharepoint.com/sites/PMSLAGOS/Shared Documents/GSDP (GOOD STORAGE AND DISTRIBUTION PRACTICE)/GSDP COMPANY FILES\GENEX LIFESCIENCE</t>
  </si>
  <si>
    <t>ARINZESON PHARM CO LTD (CAPA)</t>
  </si>
  <si>
    <t>1, MUIBI STREET, MUSHIN , LAGOS</t>
  </si>
  <si>
    <t>https://nafdacng.sharepoint.com/sites/PMSLAGOS/Shared Documents/GSDP (GOOD STORAGE AND DISTRIBUTION PRACTICE)/GSDP COMPANY FILES\ARINZESON PHARM</t>
  </si>
  <si>
    <t>SEPAT PHARM LTD</t>
  </si>
  <si>
    <t>5B, SUNDAY OGUNYADE STREET GBAGADA PHASE 2, LAGOS</t>
  </si>
  <si>
    <t>https://nafdacng.sharepoint.com/sites/PMSLAGOS/Shared Documents/GSDP (GOOD STORAGE AND DISTRIBUTION PRACTICE)/GSDP COMPANY FILES\SEPAT PHARMACEUTICAL LIMITED</t>
  </si>
  <si>
    <t>NUGENIC PHARMACEUTICAL LTD</t>
  </si>
  <si>
    <t>PLOT 1A, BLOCK J, BEDE ALUGBUE STREET, SEAGRAVE ESTATE, LEKKI LAGOS STATE</t>
  </si>
  <si>
    <t>25/11/25</t>
  </si>
  <si>
    <t>https://nafdacng.sharepoint.com/sites/PMSLAGOS/Shared Documents/GSDP (GOOD STORAGE AND DISTRIBUTION PRACTICE)/GSDP COMPANY FILES\NUGENIC</t>
  </si>
  <si>
    <t>SAVOCENT PHARMA</t>
  </si>
  <si>
    <t>90, LADIPO STREET, CLEAN JOHN HOUSE, MUSHIN LAGOS</t>
  </si>
  <si>
    <t>25/11/2025</t>
  </si>
  <si>
    <t>https://nafdacng.sharepoint.com/sites/PMSLAGOS/Shared Documents/GSDP (GOOD STORAGE AND DISTRIBUTION PRACTICE)/GSDP COMPANY FILES\SAVOCENT PHARMA</t>
  </si>
  <si>
    <t>KENIX PHARMACY</t>
  </si>
  <si>
    <t>78/80 COMMUNITY ROAD, OFF AGO PALACE</t>
  </si>
  <si>
    <t>26/11/25</t>
  </si>
  <si>
    <t>https://nafdacng.sharepoint.com/sites/PMSLAGOS/Shared Documents/GSDP (GOOD STORAGE AND DISTRIBUTION PRACTICE)/GSDP COMPANY FILES\KENIX PHARMACY</t>
  </si>
  <si>
    <t xml:space="preserve">CA &amp; JO (CAPA) </t>
  </si>
  <si>
    <t xml:space="preserve">ALFA NLA CAPITOL ROAD, AGEGE LAGOS </t>
  </si>
  <si>
    <t>21/11/2025</t>
  </si>
  <si>
    <t>https://nafdacng.sharepoint.com/sites/PMSLAGOS/Shared Documents/GSDP (GOOD STORAGE AND DISTRIBUTION PRACTICE)/GSDP COMPANY FILES\CA AND JO PHARMACY</t>
  </si>
  <si>
    <t>ABTEVIC (CAPA)</t>
  </si>
  <si>
    <t>71A, SANNI BALOGUN , ABULE EGBA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</si>
  <si>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</si>
  <si>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Column1</t>
  </si>
  <si>
    <t>https://nafdacng.sharepoint.com/sites/PMSLAGOS/Shared%20Documents/GSDP%20(GOOD%20STORAGE%20AND%20DISTRIBUTION%20PRACTICE)/GSDP%20COMPANY%20FILES/A.N%20CHIDOZIE%20PHARMACEUTICAL%20LTD</t>
  </si>
  <si>
    <t>https://nafdacng.sharepoint.com/sites/PMSLAGOS/Shared Documents/GSDP (GOOD STORAGE AND DISTRIBUTION PRACTICE)/GSDP COMPANY FILES/A.N CHIDOZIE PHARMACEUTICAL LTD</t>
  </si>
  <si>
    <t>FELIX ANIKPEA 08060817888</t>
  </si>
  <si>
    <t>GSDP INSPECTIONS</t>
  </si>
  <si>
    <t>CEVI INSPECTIONS</t>
  </si>
  <si>
    <t>LOW RISK</t>
  </si>
  <si>
    <t>MEDIUM RISK</t>
  </si>
  <si>
    <t>HIGH RISK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</si>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</sst>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u/>
      <sz val="11"/>
      <color theme="1"/>
      <name val="Aptos Narrow"/>
      <family val="2"/>
      <scheme val="minor"/>
    </font>
    <font>
      <sz val="11"/>
      <name val="Arial"/>
      <family val="2"/>
    </font>
    <font>
      <sz val="12"/>
      <color rgb="FF000000"/>
      <name val="Times New Roman"/>
      <charset val="1"/>
    </font>
    <font>
      <sz val="12"/>
      <color rgb="FF000000"/>
      <name val="Aptos Display"/>
      <charset val="1"/>
    </font>
    <font>
      <u val="double"/>
      <sz val="11"/>
      <color theme="1"/>
      <name val="Aptos Narrow"/>
      <family val="2"/>
      <scheme val="minor"/>
    </font>
    <font>
      <sz val="12"/>
      <color rgb="FF000000"/>
      <name val="WordVisiCarriageReturn_MSFontSe"/>
      <charset val="1"/>
    </font>
    <font>
      <b/>
      <sz val="12"/>
      <color theme="0"/>
      <name val="Times New Roman"/>
      <family val="1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17" fontId="0" fillId="0" borderId="0" xfId="0" applyNumberFormat="1" applyAlignment="1">
      <alignment vertical="center"/>
    </xf>
    <xf numFmtId="0" fontId="3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horizontal="left" vertical="center" wrapText="1"/>
    </xf>
    <xf numFmtId="16" fontId="0" fillId="0" borderId="0" xfId="0" applyNumberFormat="1" applyAlignment="1">
      <alignment vertical="center"/>
    </xf>
    <xf numFmtId="0" fontId="0" fillId="0" borderId="6" xfId="0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 readingOrder="1"/>
    </xf>
    <xf numFmtId="0" fontId="6" fillId="0" borderId="6" xfId="0" applyFont="1" applyBorder="1" applyAlignment="1">
      <alignment vertical="center" wrapText="1" readingOrder="1"/>
    </xf>
    <xf numFmtId="0" fontId="5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 readingOrder="1"/>
    </xf>
    <xf numFmtId="0" fontId="9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7" fontId="0" fillId="0" borderId="7" xfId="0" applyNumberFormat="1" applyBorder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6" xfId="1" applyBorder="1" applyAlignment="1">
      <alignment vertical="center" wrapText="1"/>
    </xf>
    <xf numFmtId="14" fontId="0" fillId="0" borderId="6" xfId="0" applyNumberFormat="1" applyBorder="1" applyAlignment="1">
      <alignment vertical="center" wrapText="1"/>
    </xf>
    <xf numFmtId="0" fontId="1" fillId="0" borderId="0" xfId="1" applyAlignment="1">
      <alignment wrapText="1"/>
    </xf>
    <xf numFmtId="16" fontId="0" fillId="0" borderId="7" xfId="0" applyNumberFormat="1" applyBorder="1" applyAlignment="1">
      <alignment horizontal="right" vertical="center" wrapText="1"/>
    </xf>
    <xf numFmtId="16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wrapText="1"/>
    </xf>
    <xf numFmtId="0" fontId="1" fillId="0" borderId="6" xfId="1" applyBorder="1" applyAlignment="1">
      <alignment wrapText="1"/>
    </xf>
    <xf numFmtId="0" fontId="0" fillId="0" borderId="7" xfId="0" applyBorder="1" applyAlignment="1">
      <alignment horizontal="right" vertical="center" wrapText="1"/>
    </xf>
    <xf numFmtId="0" fontId="1" fillId="0" borderId="0" xfId="1" applyAlignment="1">
      <alignment vertical="center" wrapText="1"/>
    </xf>
    <xf numFmtId="0" fontId="7" fillId="0" borderId="0" xfId="1" applyFont="1" applyFill="1" applyAlignment="1">
      <alignment wrapText="1"/>
    </xf>
    <xf numFmtId="0" fontId="1" fillId="0" borderId="6" xfId="1" applyFill="1" applyBorder="1" applyAlignment="1">
      <alignment wrapText="1"/>
    </xf>
    <xf numFmtId="0" fontId="9" fillId="0" borderId="6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0" xfId="1" applyFont="1" applyFill="1" applyAlignment="1">
      <alignment wrapText="1"/>
    </xf>
    <xf numFmtId="0" fontId="1" fillId="0" borderId="8" xfId="1" applyFill="1" applyBorder="1" applyAlignment="1">
      <alignment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 wrapText="1"/>
    </xf>
    <xf numFmtId="17" fontId="0" fillId="0" borderId="7" xfId="0" applyNumberFormat="1" applyBorder="1" applyAlignment="1">
      <alignment horizontal="right" vertical="top" wrapText="1"/>
    </xf>
    <xf numFmtId="0" fontId="0" fillId="0" borderId="0" xfId="0" applyAlignment="1">
      <alignment vertical="top" wrapText="1"/>
    </xf>
    <xf numFmtId="0" fontId="1" fillId="0" borderId="6" xfId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6" xfId="1" applyFill="1" applyBorder="1" applyAlignment="1">
      <alignment vertical="center" wrapText="1"/>
    </xf>
    <xf numFmtId="0" fontId="1" fillId="0" borderId="0" xfId="1" applyFill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right" vertical="center" wrapText="1"/>
    </xf>
    <xf numFmtId="0" fontId="1" fillId="0" borderId="8" xfId="1" applyNumberFormat="1" applyBorder="1" applyAlignment="1">
      <alignment vertical="center" wrapText="1"/>
    </xf>
    <xf numFmtId="164" fontId="3" fillId="0" borderId="6" xfId="0" applyNumberFormat="1" applyFont="1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4" xfId="0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1" fillId="0" borderId="0" xfId="1" applyBorder="1" applyAlignment="1">
      <alignment vertical="center" wrapText="1"/>
    </xf>
    <xf numFmtId="0" fontId="6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 wrapText="1"/>
    </xf>
    <xf numFmtId="15" fontId="5" fillId="0" borderId="8" xfId="0" applyNumberFormat="1" applyFont="1" applyBorder="1" applyAlignment="1">
      <alignment horizontal="left" vertical="center" wrapText="1"/>
    </xf>
    <xf numFmtId="16" fontId="0" fillId="0" borderId="10" xfId="0" applyNumberFormat="1" applyBorder="1" applyAlignment="1">
      <alignment horizontal="right" vertical="center" wrapText="1"/>
    </xf>
    <xf numFmtId="16" fontId="0" fillId="0" borderId="8" xfId="0" applyNumberFormat="1" applyBorder="1" applyAlignment="1">
      <alignment vertical="center" wrapText="1"/>
    </xf>
    <xf numFmtId="0" fontId="1" fillId="0" borderId="8" xfId="1" applyBorder="1" applyAlignment="1">
      <alignment vertical="center" wrapText="1"/>
    </xf>
    <xf numFmtId="0" fontId="3" fillId="0" borderId="6" xfId="0" applyFont="1" applyBorder="1" applyAlignment="1">
      <alignment vertical="top" wrapText="1"/>
    </xf>
    <xf numFmtId="164" fontId="3" fillId="0" borderId="6" xfId="0" applyNumberFormat="1" applyFont="1" applyBorder="1" applyAlignment="1">
      <alignment vertical="top" wrapText="1"/>
    </xf>
    <xf numFmtId="0" fontId="0" fillId="0" borderId="7" xfId="0" applyBorder="1" applyAlignment="1">
      <alignment horizontal="right" vertical="top" wrapText="1"/>
    </xf>
    <xf numFmtId="0" fontId="1" fillId="0" borderId="0" xfId="1" applyAlignment="1">
      <alignment vertical="top" wrapText="1"/>
    </xf>
    <xf numFmtId="0" fontId="0" fillId="0" borderId="5" xfId="0" applyBorder="1"/>
    <xf numFmtId="0" fontId="6" fillId="0" borderId="6" xfId="0" applyFont="1" applyBorder="1" applyAlignment="1">
      <alignment horizontal="left" wrapText="1"/>
    </xf>
    <xf numFmtId="0" fontId="3" fillId="0" borderId="6" xfId="0" applyFont="1" applyBorder="1" applyAlignment="1">
      <alignment wrapText="1"/>
    </xf>
    <xf numFmtId="164" fontId="3" fillId="0" borderId="6" xfId="0" applyNumberFormat="1" applyFont="1" applyBorder="1" applyAlignment="1">
      <alignment wrapText="1"/>
    </xf>
    <xf numFmtId="0" fontId="5" fillId="0" borderId="6" xfId="0" applyFont="1" applyBorder="1" applyAlignment="1">
      <alignment horizontal="left" wrapText="1"/>
    </xf>
    <xf numFmtId="17" fontId="0" fillId="0" borderId="7" xfId="0" applyNumberFormat="1" applyBorder="1" applyAlignment="1">
      <alignment horizontal="right" wrapText="1"/>
    </xf>
    <xf numFmtId="0" fontId="6" fillId="0" borderId="6" xfId="0" applyFont="1" applyBorder="1" applyAlignment="1">
      <alignment wrapText="1"/>
    </xf>
    <xf numFmtId="0" fontId="3" fillId="0" borderId="6" xfId="0" applyFont="1" applyBorder="1" applyAlignment="1">
      <alignment horizontal="left" wrapText="1"/>
    </xf>
    <xf numFmtId="0" fontId="0" fillId="0" borderId="7" xfId="0" applyBorder="1" applyAlignment="1">
      <alignment horizontal="right" wrapText="1"/>
    </xf>
    <xf numFmtId="0" fontId="8" fillId="0" borderId="8" xfId="0" applyFont="1" applyBorder="1" applyAlignment="1">
      <alignment horizontal="left" vertical="top" wrapText="1"/>
    </xf>
    <xf numFmtId="14" fontId="0" fillId="0" borderId="8" xfId="0" applyNumberFormat="1" applyBorder="1" applyAlignment="1">
      <alignment vertical="center" wrapText="1"/>
    </xf>
    <xf numFmtId="17" fontId="0" fillId="0" borderId="10" xfId="0" applyNumberFormat="1" applyBorder="1" applyAlignment="1">
      <alignment horizontal="right" vertical="center" wrapText="1"/>
    </xf>
    <xf numFmtId="0" fontId="0" fillId="0" borderId="8" xfId="0" applyBorder="1" applyAlignment="1">
      <alignment wrapText="1"/>
    </xf>
    <xf numFmtId="0" fontId="3" fillId="0" borderId="6" xfId="0" applyFont="1" applyBorder="1" applyAlignment="1">
      <alignment vertical="top" wrapText="1" readingOrder="1"/>
    </xf>
    <xf numFmtId="0" fontId="6" fillId="0" borderId="6" xfId="0" applyFont="1" applyBorder="1" applyAlignment="1">
      <alignment vertical="top" wrapText="1" readingOrder="1"/>
    </xf>
    <xf numFmtId="0" fontId="1" fillId="0" borderId="6" xfId="1" applyFill="1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11" xfId="0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" fillId="0" borderId="11" xfId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11" fillId="0" borderId="11" xfId="1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5" fillId="0" borderId="8" xfId="0" applyFont="1" applyBorder="1" applyAlignment="1">
      <alignment horizontal="left" vertical="top" wrapText="1"/>
    </xf>
    <xf numFmtId="0" fontId="1" fillId="0" borderId="8" xfId="1" applyBorder="1" applyAlignment="1">
      <alignment vertical="top" wrapText="1"/>
    </xf>
    <xf numFmtId="17" fontId="1" fillId="0" borderId="0" xfId="1" applyNumberFormat="1" applyAlignment="1">
      <alignment vertical="center"/>
    </xf>
    <xf numFmtId="0" fontId="13" fillId="0" borderId="3" xfId="0" applyFon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6" xfId="0" applyBorder="1" applyAlignment="1">
      <alignment horizontal="right" vertical="top" wrapText="1"/>
    </xf>
    <xf numFmtId="0" fontId="6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 readingOrder="1"/>
    </xf>
    <xf numFmtId="0" fontId="10" fillId="0" borderId="6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79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righ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top" wrapText="1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righ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Display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top"/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</dxf>
    <dxf>
      <numFmt numFmtId="22" formatCode="mmm\-yy"/>
      <alignment horizontal="righ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top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2" formatCode="mmm\-yy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22" formatCode="mmm\-yy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22" formatCode="mmm\-yy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2" formatCode="mmm\-yy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22" formatCode="mmm\-yy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22" formatCode="mmm\-yy"/>
      <alignment horizontal="righ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bottom"/>
    </dxf>
    <dxf>
      <alignment vertical="bottom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21" formatCode="d\-mmm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21" formatCode="d\-mmm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20" formatCode="d\-mmm\-yy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numFmt numFmtId="22" formatCode="mmm\-yy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22" formatCode="mmm\-yy"/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right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[$-F800]dddd\,\ mmmm\ dd\,\ 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 DATA FOR GSDP INSPECTIONS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DATA'!B2</c:f>
              <c:strCache>
                <c:ptCount val="1"/>
                <c:pt idx="0">
                  <c:v>GSDP INSPECTIONS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DATA'!$B$3:$B$14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  <c:pt idx="6">
                  <c:v>5</c:v>
                </c:pt>
                <c:pt idx="7">
                  <c:v>9</c:v>
                </c:pt>
                <c:pt idx="8">
                  <c:v>3</c:v>
                </c:pt>
                <c:pt idx="9">
                  <c:v>9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51D8B0BD-993B-4A3D-BEC1-61B7AC8F2E5A}"/>
            </c:ext>
          </c:extLst>
        </c:ser>
        <c:ser>
          <c:idx val="1"/>
          <c:order val="1"/>
          <c:tx>
            <c:strRef>
              <c:f>'VISUAL DATA'!C2</c:f>
              <c:strCache>
                <c:ptCount val="1"/>
                <c:pt idx="0">
                  <c:v>CEVI INSPECTIONS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DATA'!$C$3:$C$14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419D07E1-B2D8-454F-8F93-7B3199FF9F6D}"/>
            </c:ext>
          </c:extLst>
        </c:ser>
        <c:ser>
          <c:idx val="2"/>
          <c:order val="2"/>
          <c:tx>
            <c:strRef>
              <c:f>'VISUAL DATA'!D2</c:f>
              <c:strCache>
                <c:ptCount val="1"/>
                <c:pt idx="0">
                  <c:v>CAPA SUBMITTED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DATA'!$D$3:$D$14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9A0FF77-5351-446D-AC68-AE955B1AAD37}"/>
            </c:ext>
          </c:extLst>
        </c:ser>
        <c:ser>
          <c:idx val="3"/>
          <c:order val="3"/>
          <c:tx>
            <c:strRef>
              <c:f>'VISUAL DATA'!E2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DATA'!$E$3:$E$14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7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2192617-C8EB-4B6D-8886-1DB57683DD4D}"/>
            </c:ext>
          </c:extLst>
        </c:ser>
        <c:ser>
          <c:idx val="4"/>
          <c:order val="4"/>
          <c:tx>
            <c:strRef>
              <c:f>'VISUAL DATA'!F2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DATA'!$F$3:$F$14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B82F591C-DB35-4934-B23F-57F5140F48BE}"/>
            </c:ext>
          </c:extLst>
        </c:ser>
        <c:ser>
          <c:idx val="5"/>
          <c:order val="5"/>
          <c:tx>
            <c:strRef>
              <c:f>'VISUAL DATA'!G2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935D932A-28A5-4E9D-98C1-CE0665133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30"/>
        <c:axId val="2027543047"/>
        <c:axId val="2027551751"/>
      </c:barChart>
      <c:catAx>
        <c:axId val="2027543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551751"/>
        <c:crosses val="autoZero"/>
        <c:auto val="1"/>
        <c:lblAlgn val="ctr"/>
        <c:lblOffset val="100"/>
        <c:noMultiLvlLbl val="0"/>
      </c:catAx>
      <c:valAx>
        <c:axId val="2027551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54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0</xdr:row>
      <xdr:rowOff>180975</xdr:rowOff>
    </xdr:from>
    <xdr:to>
      <xdr:col>19</xdr:col>
      <xdr:colOff>123825</xdr:colOff>
      <xdr:row>21</xdr:row>
      <xdr:rowOff>104775</xdr:rowOff>
    </xdr:to>
    <xdr:graphicFrame macro="">
      <xdr:nvGraphicFramePr>
        <xdr:cNvPr id="2" name="Chart 1" descr="Chart type: Clustered Column. Multiple values by 'Field1'&#10;&#10;Description automatically generated">
          <a:extLst>
            <a:ext uri="{FF2B5EF4-FFF2-40B4-BE49-F238E27FC236}">
              <a16:creationId xmlns:a16="http://schemas.microsoft.com/office/drawing/2014/main" id="{4634FAF9-761B-E5DF-4821-AC1AC626C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E20B0-70D7-4C6C-B50E-C5343B51A17C}" name="Table4" displayName="Table4" ref="A2:N109" totalsRowShown="0" headerRowDxfId="178" headerRowBorderDxfId="176" tableBorderDxfId="177" totalsRowBorderDxfId="175">
  <autoFilter ref="A2:N109" xr:uid="{5F2E20B0-70D7-4C6C-B50E-C5343B51A17C}">
    <filterColumn colId="6">
      <filters>
        <filter val="High-Risk (C)"/>
      </filters>
    </filterColumn>
  </autoFilter>
  <tableColumns count="14">
    <tableColumn id="1" xr3:uid="{ED41AC0B-275E-4881-B1A4-41A74FD44D8A}" name="S/N" dataDxfId="174"/>
    <tableColumn id="2" xr3:uid="{B3481321-8B8F-4FC3-8622-69FF4A78F2DD}" name="NAME OF MANUFACTURER" dataDxfId="173"/>
    <tableColumn id="3" xr3:uid="{E4CCB2E4-6A73-472D-80CB-20034C5EF9DE}" name="LOCATION ADDRESS" dataDxfId="172"/>
    <tableColumn id="4" xr3:uid="{000B7CCB-684F-4777-9558-9332A1BB616A}" name="CONTACT" dataDxfId="171"/>
    <tableColumn id="5" xr3:uid="{B1C36388-402B-4771-A7CC-BF84809B53AF}" name="TYPE OF LAST INSPECTION" dataDxfId="170"/>
    <tableColumn id="13" xr3:uid="{5C686A4A-A333-4A04-AE93-98571CB5EF73}" name="DATE OF LAST INSPECTION" dataDxfId="169"/>
    <tableColumn id="7" xr3:uid="{E555EFED-D67D-44B7-8351-CAD5F1F7E8E0}" name="FINDINGS" dataDxfId="168"/>
    <tableColumn id="8" xr3:uid="{D9AE249C-72E5-44BE-A6F3-210708EF03B5}" name="DATE CAPA ISSUED" dataDxfId="167"/>
    <tableColumn id="9" xr3:uid="{92296A52-AC8F-4558-B077-EDABA7CB71C5}" name="CAPA SUBMITTED" dataDxfId="166"/>
    <tableColumn id="10" xr3:uid="{FA4B370D-2BB5-4BCA-AD3A-364DEAB81EB0}" name="CONCLUSION" dataDxfId="165"/>
    <tableColumn id="11" xr3:uid="{52C9194E-FE44-4F32-9E6E-53F302E1022E}" name="REMARKS" dataDxfId="164">
      <calculatedColumnFormula>IF(I3="YES","CAPA VERIFICATION SHOULD BE SCHEDULED",IF(I3="NO","REMINDER LETTER SHOULD BE SENT",""))</calculatedColumnFormula>
    </tableColumn>
    <tableColumn id="12" xr3:uid="{5EE4E2DE-2C0B-4993-BAB8-7951984DB6DB}" name="EXPECTED DATE OF INSPECTION" dataDxfId="163"/>
    <tableColumn id="14" xr3:uid="{F1637C0D-5A2F-4969-A152-F9B9F32E617F}" name="CC" dataDxfId="162"/>
    <tableColumn id="15" xr3:uid="{F13C69B0-74C0-4E7F-BCD8-1EA2A24977A0}" name="COMPANY FILE" dataDxfId="161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01380-ACFB-4B75-8266-852B7CB11883}" name="Table2" displayName="Table2" ref="A2:O7" totalsRowShown="0">
  <autoFilter ref="A2:O7" xr:uid="{AD201380-ACFB-4B75-8266-852B7CB11883}"/>
  <tableColumns count="15">
    <tableColumn id="1" xr3:uid="{38C4FB29-30C9-4880-AC46-2BBBF52F7A08}" name="S/N" dataDxfId="160"/>
    <tableColumn id="2" xr3:uid="{C4FA9DE8-8A03-4494-A2D6-E347800B2BCA}" name="NAME OF MANUFACTURER" dataDxfId="159"/>
    <tableColumn id="3" xr3:uid="{E46D8662-C840-4F4D-8111-364FEB5ECD93}" name="LOCATION ADDRESS" dataDxfId="158"/>
    <tableColumn id="4" xr3:uid="{67FBF396-D754-405F-A834-F38D96C2DD2C}" name="CONTACT" dataDxfId="157"/>
    <tableColumn id="5" xr3:uid="{D1824BD1-2DCB-4D54-B519-813B741ED663}" name="TYPE OF LAST INSPECTION" dataDxfId="156"/>
    <tableColumn id="6" xr3:uid="{C6DB8932-A3A8-4979-8816-A5213A12B334}" name="DATE OF LAST INSPECTION" dataDxfId="155"/>
    <tableColumn id="7" xr3:uid="{E18D6742-0405-4AA2-B5D1-C23C51C4E570}" name="FINDINGS" dataDxfId="154"/>
    <tableColumn id="8" xr3:uid="{38175E71-C2C3-4E4C-BFA0-BDD5D1AAD971}" name="DATE CAPA ISSUED" dataDxfId="153"/>
    <tableColumn id="9" xr3:uid="{6BB4E9E5-13A9-4640-B31E-4E19D266FD6A}" name="CAPA SUBMITTED" dataDxfId="152"/>
    <tableColumn id="10" xr3:uid="{EA2ED27A-48CC-4A05-97D2-3BC0DD8A97C3}" name="CONCLUSION" dataDxfId="151"/>
    <tableColumn id="11" xr3:uid="{0237A138-0A80-42C1-8C70-36CCC4F71553}" name="REMARKS" dataDxfId="150">
      <calculatedColumnFormula>IF(I3="YES","CAPA VERIFICATION SHOULD BE SCHEDULED",IF(I3="NO","REMINDER LETTER SHOULD BE SENT",""))</calculatedColumnFormula>
    </tableColumn>
    <tableColumn id="12" xr3:uid="{553C1127-C991-4221-ADF3-A2B9C2FF6902}" name="EXPECTED DATE OF INSPECTION" dataDxfId="149"/>
    <tableColumn id="13" xr3:uid="{761F30D2-BD42-4FB7-9FF6-B521623F6947}" name="CC" dataDxfId="148"/>
    <tableColumn id="14" xr3:uid="{39E05049-11B3-4F9C-A2D9-2EBA052CD220}" name="COMPANY FILE" dataDxfId="147" dataCellStyle="Hyperlink">
      <calculatedColumnFormula>IF(M3="","",HYPERLINK(M3,B3))</calculatedColumnFormula>
    </tableColumn>
    <tableColumn id="15" xr3:uid="{12B442C6-0A44-4E4E-AF43-ABEF94B81F66}" name="Column1" dataDxfId="146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4E9D0-1F04-40BA-8203-0058D9AA6FAD}" name="Table3" displayName="Table3" ref="A2:N3" totalsRowShown="0" tableBorderDxfId="145">
  <autoFilter ref="A2:N3" xr:uid="{FA74E9D0-1F04-40BA-8203-0058D9AA6FAD}"/>
  <tableColumns count="14">
    <tableColumn id="1" xr3:uid="{85E6049F-BDCB-4D40-A7D4-98ADC1359D06}" name="S/N" dataDxfId="144"/>
    <tableColumn id="2" xr3:uid="{CE05258E-B73E-4C17-9094-98AAE9AC2986}" name="NAME OF MANUFACTURER" dataDxfId="143"/>
    <tableColumn id="3" xr3:uid="{BA06BA76-C3EB-4141-B77D-A5FCA987AD90}" name="LOCATION ADDRESS" dataDxfId="142"/>
    <tableColumn id="4" xr3:uid="{BACFE624-F9B5-49CE-A086-947708530F53}" name="CONTACT" dataDxfId="141"/>
    <tableColumn id="5" xr3:uid="{7B02C03A-D91F-4EC6-9CFA-C4D42E8DADBB}" name="TYPE OF LAST INSPECTION" dataDxfId="140"/>
    <tableColumn id="6" xr3:uid="{AFA3BAA4-EDD4-4307-A3EE-11E42283078B}" name="DATE OF LAST INSPECTION" dataDxfId="139"/>
    <tableColumn id="7" xr3:uid="{8476DA80-56EF-470A-937B-7B4D045F77BD}" name="FINDINGS" dataDxfId="138"/>
    <tableColumn id="8" xr3:uid="{62AFAE4F-52A5-4C3B-994C-5C43FAB55A1D}" name="DATE CAPA ISSUED" dataDxfId="137"/>
    <tableColumn id="9" xr3:uid="{69A6AE94-4EF9-4072-89F1-E7C6FA32A835}" name="CAPA SUBMITTED" dataDxfId="136"/>
    <tableColumn id="10" xr3:uid="{ABD09BFF-EF3D-4FFE-B078-5623870142FF}" name="CONCLUSION" dataDxfId="135"/>
    <tableColumn id="11" xr3:uid="{72737EDE-B38E-43A3-91BB-04BF69DF44BA}" name="REMARKS" dataDxfId="134">
      <calculatedColumnFormula>IF(I3="YES","CAPA VERIFICATION SHOULD BE SCHEDULED",IF(I3="NO","REMINDER LETTER SHOULD BE SENT",""))</calculatedColumnFormula>
    </tableColumn>
    <tableColumn id="12" xr3:uid="{29FA6774-DFB1-4748-A910-7E79D53B03D4}" name="EXPECTED DATE OF INSPECTION" dataDxfId="133"/>
    <tableColumn id="13" xr3:uid="{B9E5F4C0-3103-46CC-B8CE-EEE84F6886C4}" name="CC" dataDxfId="132"/>
    <tableColumn id="14" xr3:uid="{4FB1AEC6-4B7A-4DEB-882B-1993A1548F3D}" name="COMPANY FILE" dataDxfId="131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F6897B-B385-441F-BAB2-7596C53F7820}" name="Table5" displayName="Table5" ref="A2:N15" totalsRowShown="0" headerRowDxfId="130" dataDxfId="129">
  <autoFilter ref="A2:N15" xr:uid="{C2F6897B-B385-441F-BAB2-7596C53F7820}"/>
  <tableColumns count="14">
    <tableColumn id="1" xr3:uid="{49EF39D4-D3E4-4FDA-B28C-C574A97158DD}" name="S/N" dataDxfId="128"/>
    <tableColumn id="2" xr3:uid="{30572DF2-48D5-499C-BB0A-BBCE4ABAF769}" name="NAME OF MANUFACTURER" dataDxfId="127"/>
    <tableColumn id="3" xr3:uid="{8DC518D8-2AAF-4E4C-BCA8-79EA4DB359B4}" name="LOCATION ADDRESS" dataDxfId="126"/>
    <tableColumn id="4" xr3:uid="{3A250B38-3E63-43E9-B781-DBF6EFDDDF9A}" name="CONTACT" dataDxfId="125"/>
    <tableColumn id="5" xr3:uid="{5FA1E4F9-AEE5-464F-88B6-1387997D5466}" name="TYPE OF LAST INSPECTION" dataDxfId="124"/>
    <tableColumn id="6" xr3:uid="{31E2BFF6-77AE-473C-82DF-7E8AF3993E9E}" name="DATE OF LAST INSPECTION" dataDxfId="123"/>
    <tableColumn id="7" xr3:uid="{F670259E-596A-467C-8664-5945566778FA}" name="FINDINGS" dataDxfId="122"/>
    <tableColumn id="8" xr3:uid="{1AA4BA26-D3F7-42E2-9958-10E7E1D3FEC2}" name="DATE CAPA ISSUED" dataDxfId="121"/>
    <tableColumn id="9" xr3:uid="{DD96EFFE-1FC7-4817-8A14-73E303A8C872}" name="CAPA SUBMITTED" dataDxfId="120"/>
    <tableColumn id="10" xr3:uid="{AB763B93-7F19-4E82-A6C3-EB4880288603}" name="CONCLUSION" dataDxfId="119"/>
    <tableColumn id="11" xr3:uid="{FD62DAB8-9316-4200-80EE-5F6B2398EEB7}" name="REMARKS" dataDxfId="118">
      <calculatedColumnFormula>IF(I3="YES","CAPA VERIFICATION SHOULD BE SCHEDULED",IF(I3="NO","REMINDER LETTER SHOULD BE SENT",""))</calculatedColumnFormula>
    </tableColumn>
    <tableColumn id="12" xr3:uid="{B0C3C104-8D59-49AA-8EDF-5E85D4DA8B2A}" name="EXPECTED DATE OF INSPECTION" dataDxfId="117"/>
    <tableColumn id="13" xr3:uid="{765B1D6B-A508-45ED-B250-5E19C300147A}" name="CC" dataDxfId="116"/>
    <tableColumn id="14" xr3:uid="{EB44FF34-25AB-4C6E-AA27-61BCA7F15677}" name="COMPANY FILE" dataDxfId="115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C92330-72BD-4481-963C-59BE9960D1AD}" name="Table6" displayName="Table6" ref="A2:N14" totalsRowShown="0">
  <autoFilter ref="A2:N14" xr:uid="{04C92330-72BD-4481-963C-59BE9960D1AD}"/>
  <tableColumns count="14">
    <tableColumn id="1" xr3:uid="{1690906D-5AAE-4DD9-A9A3-EC9D0EBB99C7}" name="S/N" dataDxfId="114"/>
    <tableColumn id="2" xr3:uid="{4A5D9594-8D28-40A2-9223-5572DCE43D30}" name="NAME OF MANUFACTURER" dataDxfId="113"/>
    <tableColumn id="3" xr3:uid="{257344CA-6423-41F6-8DB3-99CC6A0C6970}" name="LOCATION ADDRESS" dataDxfId="112"/>
    <tableColumn id="4" xr3:uid="{D801EAB7-5D01-4572-9D96-F7A5DB1FDECE}" name="CONTACT" dataDxfId="111"/>
    <tableColumn id="5" xr3:uid="{604FF2AD-E4F6-4403-9F55-DCBCE39FCD4B}" name="TYPE OF LAST INSPECTION" dataDxfId="110"/>
    <tableColumn id="6" xr3:uid="{F67AB2AD-F835-4D2C-AB56-D0D37DA16F5E}" name="DATE OF LAST INSPECTION" dataDxfId="109"/>
    <tableColumn id="7" xr3:uid="{4CDE2C0F-D8B3-4F53-B69D-ADEE6DBC0D84}" name="FINDINGS" dataDxfId="108"/>
    <tableColumn id="8" xr3:uid="{09EDB22A-E265-492F-9FF0-C12A9389F758}" name="DATE CAPA ISSUED" dataDxfId="107"/>
    <tableColumn id="9" xr3:uid="{4E7B28BA-2C18-4BE2-A9E7-D800E7D25FA1}" name="CAPA SUBMITTED" dataDxfId="106"/>
    <tableColumn id="10" xr3:uid="{C46C3E6C-7CF3-4A25-8B8A-465B42CEE1B2}" name="CONCLUSION" dataDxfId="105"/>
    <tableColumn id="11" xr3:uid="{629D8C90-7FE4-4C1E-9A9B-47D031D7165F}" name="REMARKS" dataDxfId="104"/>
    <tableColumn id="12" xr3:uid="{BB82D896-6291-4E72-99E6-AFCD94F2C6A9}" name="EXPECTED DATE OF INSPECTION" dataDxfId="103"/>
    <tableColumn id="13" xr3:uid="{94542806-B626-4244-A01B-5186314BC619}" name="CC" dataDxfId="102"/>
    <tableColumn id="14" xr3:uid="{927FF572-757A-4B6C-9062-C81B4411D302}" name="COMPANY FILE" dataDxfId="101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FFE9DF-FB32-48AE-B72F-949D87F52C2C}" name="Table7" displayName="Table7" ref="A2:N14" totalsRowShown="0">
  <autoFilter ref="A2:N14" xr:uid="{B6FFE9DF-FB32-48AE-B72F-949D87F52C2C}"/>
  <tableColumns count="14">
    <tableColumn id="1" xr3:uid="{3EB628C7-903C-4F30-BBCC-BC2302D72AD7}" name="S/N" dataDxfId="100"/>
    <tableColumn id="2" xr3:uid="{B435FF60-1496-4B51-AED1-CF436057DA44}" name="NAME OF MANUFACTURER" dataDxfId="99"/>
    <tableColumn id="3" xr3:uid="{D19B36D6-E7DF-46D3-844F-27AA68B4FAFE}" name="LOCATION ADDRESS" dataDxfId="98"/>
    <tableColumn id="4" xr3:uid="{83C1C10F-21C3-4AA6-BEA9-DF37F03102F2}" name="CONTACT" dataDxfId="97"/>
    <tableColumn id="5" xr3:uid="{D043E13E-EBD1-47E4-9CF1-D476DADE521B}" name="TYPE OF LAST INSPECTION" dataDxfId="96"/>
    <tableColumn id="6" xr3:uid="{39EFF707-2B18-4A68-8974-1D6FC8154A86}" name="DATE OF LAST INSPECTION" dataDxfId="95"/>
    <tableColumn id="7" xr3:uid="{372A2E65-BF3D-4238-92D3-CCB658F9B637}" name="FINDINGS" dataDxfId="94"/>
    <tableColumn id="8" xr3:uid="{CA344249-2EC8-405A-A2A8-DDC4516BC3BC}" name="DATE CAPA ISSUED" dataDxfId="93"/>
    <tableColumn id="9" xr3:uid="{3FC104EF-C9B0-4234-B318-7863C4A451BA}" name="CAPA SUBMITTED" dataDxfId="92"/>
    <tableColumn id="10" xr3:uid="{11CFB912-515E-46A8-9B3A-D7A2282AE854}" name="CONCLUSION" dataDxfId="91"/>
    <tableColumn id="11" xr3:uid="{E5640CDA-B382-4EF2-B85A-D4477FE0F46A}" name="REMARKS" dataDxfId="90">
      <calculatedColumnFormula>IF(I3="YES","CAPA VERIFICATION SHOULD BE SCHEDULED",IF(I3="NO","REMINDER LETTER SHOULD BE SENT",""))</calculatedColumnFormula>
    </tableColumn>
    <tableColumn id="12" xr3:uid="{267DF000-5168-4AD5-8D52-FF01400CA443}" name="EXPECTED DATE OF INSPECTION" dataDxfId="89"/>
    <tableColumn id="13" xr3:uid="{B7D0F3A9-A7FD-444B-94CC-78CA0CD7DC93}" name="CC"/>
    <tableColumn id="14" xr3:uid="{CD0529EA-1DB5-45A7-B162-765B83EA4278}" name="COMPANY FILE" dataDxfId="88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3BCD17-C60D-4818-99A4-B710107ECA6F}" name="Table8" displayName="Table8" ref="A2:N14" totalsRowShown="0">
  <autoFilter ref="A2:N14" xr:uid="{EA3BCD17-C60D-4818-99A4-B710107ECA6F}"/>
  <tableColumns count="14">
    <tableColumn id="1" xr3:uid="{0C14A78B-ECA6-4B53-873E-85544387B9E4}" name="S/N" dataDxfId="87"/>
    <tableColumn id="2" xr3:uid="{0BD34D86-57F2-4E02-A082-5A63D7E1C8D2}" name="NAME OF MANUFACTURER" dataDxfId="86"/>
    <tableColumn id="3" xr3:uid="{44B250F7-2BE6-4544-9D38-104D99342A61}" name="LOCATION ADDRESS" dataDxfId="85"/>
    <tableColumn id="4" xr3:uid="{4918795A-9647-4438-835D-4FEBDC0C3AAC}" name="CONTACT" dataDxfId="84"/>
    <tableColumn id="5" xr3:uid="{43243FD2-4487-41E6-A474-7B7098D4BD5E}" name="TYPE OF LAST INSPECTION" dataDxfId="83"/>
    <tableColumn id="6" xr3:uid="{7AB7FEA9-0264-40AC-92E9-E1E479A54E05}" name="DATE OF LAST INSPECTION" dataDxfId="82"/>
    <tableColumn id="7" xr3:uid="{ED642A76-3418-4811-AB4A-8552F86AFC21}" name="FINDINGS" dataDxfId="81"/>
    <tableColumn id="8" xr3:uid="{A941E924-8570-4132-8CDE-6B05BE54D87B}" name="DATE CAPA ISSUED" dataDxfId="80"/>
    <tableColumn id="9" xr3:uid="{DC219C93-B886-499F-B7B7-C3ABCA19E17A}" name="CAPA SUBMITTED" dataDxfId="79"/>
    <tableColumn id="10" xr3:uid="{5C18E139-9B25-494E-8BAF-639AB3C05A59}" name="CONCLUSION" dataDxfId="78"/>
    <tableColumn id="11" xr3:uid="{C073D5FC-D3F4-434C-970E-D727D2BE7640}" name="REMARKS" dataDxfId="77">
      <calculatedColumnFormula>IF(I3="YES","CAPA VERIFICATION SHOULD BE SCHEDULED",IF(I3="NO","REMINDER LETTER SHOULD BE SENT",""))</calculatedColumnFormula>
    </tableColumn>
    <tableColumn id="12" xr3:uid="{B7A0AE52-3A6A-458C-9525-65D9FB2BBEE9}" name="EXPECTED DATE OF INSPECTION" dataDxfId="76"/>
    <tableColumn id="13" xr3:uid="{3C745AF6-B5BD-457A-9EAC-BCA92CBE23FE}" name="CC" dataDxfId="75"/>
    <tableColumn id="14" xr3:uid="{FA4E3213-8CEC-446F-9E3F-EC1DA4B7DC52}" name="COMPANY FILE" dataDxfId="74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71A233-2EC3-4F1F-B9AC-F0D2CC70F743}" name="Table9" displayName="Table9" ref="A2:N7" totalsRowShown="0">
  <autoFilter ref="A2:N7" xr:uid="{7C71A233-2EC3-4F1F-B9AC-F0D2CC70F743}"/>
  <tableColumns count="14">
    <tableColumn id="1" xr3:uid="{A1E63C98-DA21-4016-921A-EB021BE2DC65}" name="S/N" dataDxfId="73"/>
    <tableColumn id="2" xr3:uid="{B6BC3388-4327-4C5A-ADE8-298AF16643E3}" name="NAME OF MANUFACTURER" dataDxfId="72"/>
    <tableColumn id="3" xr3:uid="{FE45D20B-4D3D-4C22-A3D0-E10E325DEB38}" name="LOCATION ADDRESS" dataDxfId="71"/>
    <tableColumn id="4" xr3:uid="{FAA2EB4C-5596-4C31-B2EE-CC0B7A9EEC7C}" name="CONTACT" dataDxfId="70"/>
    <tableColumn id="5" xr3:uid="{87CB8327-0015-4DD3-B811-4413B8EF53D8}" name="TYPE OF LAST INSPECTION" dataDxfId="69"/>
    <tableColumn id="6" xr3:uid="{9599DD68-CEFE-4DBC-9380-35B4FBCCC0BB}" name="DATE OF LAST INSPECTION" dataDxfId="68"/>
    <tableColumn id="7" xr3:uid="{2FBA7673-4E24-408F-80D3-7148F4D8B4A9}" name="FINDINGS" dataDxfId="67"/>
    <tableColumn id="8" xr3:uid="{DB7876B7-D456-4111-BE48-D80EC8B8FAAB}" name="DATE CAPA ISSUED" dataDxfId="66"/>
    <tableColumn id="9" xr3:uid="{92F912AE-09EC-44DE-BAA8-CBEAD67ED9B7}" name="CAPA SUBMITTED" dataDxfId="65"/>
    <tableColumn id="10" xr3:uid="{860B197E-77A3-4483-84C0-192784E20CEA}" name="CONCLUSION" dataDxfId="64"/>
    <tableColumn id="11" xr3:uid="{1A42F827-7995-4F39-84E6-A247A290DC3A}" name="REMARKS" dataDxfId="63">
      <calculatedColumnFormula>IF(I3="YES","CAPA VERIFICATION SHOULD BE SCHEDULED",IF(I3="NO","REMINDER LETTER SHOULD BE SENT",""))</calculatedColumnFormula>
    </tableColumn>
    <tableColumn id="12" xr3:uid="{05D2E425-5369-44A0-8F90-127BBEB5B5CF}" name="EXPECTED DATE OF INSPECTION" dataDxfId="62"/>
    <tableColumn id="13" xr3:uid="{DBBCDFBF-F781-4C2C-8800-0E7E86AE7FC7}" name="CC" dataDxfId="61"/>
    <tableColumn id="14" xr3:uid="{2A887ED0-542B-4575-91E3-A29A5CF1CF0B}" name="COMPANY FILE" dataDxfId="60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46F886-A932-4BDD-A0E5-71340CF736E4}" name="Table10" displayName="Table10" ref="A2:N15" totalsRowShown="0" tableBorderDxfId="59">
  <autoFilter ref="A2:N15" xr:uid="{D246F886-A932-4BDD-A0E5-71340CF736E4}"/>
  <tableColumns count="14">
    <tableColumn id="1" xr3:uid="{2B6E9642-349A-43C1-8FE0-D3C54BE4CF32}" name="S/N" dataDxfId="58"/>
    <tableColumn id="2" xr3:uid="{973458D4-9723-468B-9BC9-0E6F4E59102A}" name="NAME OF MANUFACTURER" dataDxfId="57"/>
    <tableColumn id="3" xr3:uid="{0A5C331C-9B55-4E52-BC7D-400193439B43}" name="LOCATION ADDRESS" dataDxfId="56"/>
    <tableColumn id="4" xr3:uid="{A0D18C38-AE1D-4288-8E9D-6980120E9A3A}" name="CONTACT" dataDxfId="55"/>
    <tableColumn id="5" xr3:uid="{EABAA4A2-24F8-4C97-B795-6DEFCE203975}" name="TYPE OF LAST INSPECTION" dataDxfId="54"/>
    <tableColumn id="6" xr3:uid="{CFACA7F8-0E1B-4C2D-BFB6-283CBE6048FC}" name="DATE OF LAST INSPECTION" dataDxfId="53"/>
    <tableColumn id="7" xr3:uid="{FF9014D2-AF2E-4450-B160-79198F230147}" name="FINDINGS" dataDxfId="52"/>
    <tableColumn id="8" xr3:uid="{CB01CBB7-B0D4-448D-984C-862863FF68E7}" name="DATE CAPA ISSUED" dataDxfId="51"/>
    <tableColumn id="9" xr3:uid="{5694B5E2-013A-4642-91CB-87295E85A712}" name="CAPA SUBMITTED" dataDxfId="50"/>
    <tableColumn id="10" xr3:uid="{01545B4D-007B-4742-ABDB-B3E24984A06C}" name="CONCLUSION" dataDxfId="49"/>
    <tableColumn id="11" xr3:uid="{6C43762A-2720-4B91-A75A-6B2F91F8E27A}" name="REMARKS" dataDxfId="48"/>
    <tableColumn id="12" xr3:uid="{82857CF9-8052-4C73-9F04-390EF73D5012}" name="EXPECTED DATE OF INSPECTION" dataDxfId="47"/>
    <tableColumn id="13" xr3:uid="{5F6FEABC-2DB5-4295-833D-1E5D543C1DE8}" name="CC" dataDxfId="46" dataCellStyle="Hyperlink"/>
    <tableColumn id="14" xr3:uid="{DF06986A-1285-4181-9618-7EA8BA57272E}" name="COMPANY FILE" dataDxfId="45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1D9BCD-EB2B-41BD-9377-C933482AFCEF}" name="Table11" displayName="Table11" ref="A2:N11" totalsRowShown="0" dataDxfId="44">
  <autoFilter ref="A2:N11" xr:uid="{4C1D9BCD-EB2B-41BD-9377-C933482AFCEF}"/>
  <tableColumns count="14">
    <tableColumn id="1" xr3:uid="{C2FCE8A6-5157-4AE5-A5FC-9BDAE38A9447}" name="S/N" dataDxfId="43"/>
    <tableColumn id="2" xr3:uid="{15076CEB-D050-4255-BF74-291CC0E92DD4}" name="NAME OF MANUFACTURER" dataDxfId="42"/>
    <tableColumn id="3" xr3:uid="{CED04665-B815-4D7B-9A19-06C4BB4A4901}" name="LOCATION ADDRESS" dataDxfId="41"/>
    <tableColumn id="4" xr3:uid="{06464975-7CC6-4B21-9506-BBE00C185C9A}" name="CONTACT" dataDxfId="40"/>
    <tableColumn id="5" xr3:uid="{D9B7EBEE-BA55-49DF-9446-322D475BEA6E}" name="TYPE OF LAST INSPECTION" dataDxfId="39"/>
    <tableColumn id="6" xr3:uid="{0B0BB584-A65A-4E51-A5C0-A5EB3B6DA7AF}" name="DATE OF LAST INSPECTION" dataDxfId="38"/>
    <tableColumn id="7" xr3:uid="{FFCF042E-961F-4AB5-8957-D4BD939D0A47}" name="FINDINGS" dataDxfId="37"/>
    <tableColumn id="8" xr3:uid="{D660B20F-FBE5-495D-84EE-B301C789E99A}" name="DATE CAPA ISSUED" dataDxfId="36"/>
    <tableColumn id="9" xr3:uid="{6638CE5A-7024-479C-AC63-D7E74AEE01A8}" name="CAPA SUBMITTED" dataDxfId="35"/>
    <tableColumn id="10" xr3:uid="{6822D4AB-EC45-4C8E-A3D3-7A39B9541E7F}" name="CONCLUSION" dataDxfId="34"/>
    <tableColumn id="11" xr3:uid="{36FD9B50-B909-4632-B2E6-378955BF7789}" name="REMARKS" dataDxfId="33">
      <calculatedColumnFormula>IF(I3="YES","CAPA VERIFICATION SHOULD BE SCHEDULED",IF(I3="NO","REMINDER LETTER SHOULD BE SENT",""))</calculatedColumnFormula>
    </tableColumn>
    <tableColumn id="12" xr3:uid="{962D2F27-3DC6-4A0B-BEA9-1C8004985630}" name="EXPECTED DATE OF INSPECTION" dataDxfId="32"/>
    <tableColumn id="13" xr3:uid="{80E48C9D-CD35-49F8-997A-B0FBF907E4D7}" name="CC" dataDxfId="31"/>
    <tableColumn id="14" xr3:uid="{0B56565D-7941-4091-A595-B1AC405E1817}" name="COMPANY FILE" dataDxfId="30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3E180E-52BC-4371-8B83-6B09E280BCB5}" name="Table12" displayName="Table12" ref="A2:N15" totalsRowShown="0" dataDxfId="29">
  <autoFilter ref="A2:N15" xr:uid="{F03E180E-52BC-4371-8B83-6B09E280BCB5}"/>
  <tableColumns count="14">
    <tableColumn id="1" xr3:uid="{66EBE7C9-61F6-49B7-99BA-3F5FD5B10863}" name="S/N" dataDxfId="28"/>
    <tableColumn id="2" xr3:uid="{4440F682-5BC0-4BFD-97B5-FBADE4C31B37}" name="NAME OF MANUFACTURER" dataDxfId="27"/>
    <tableColumn id="3" xr3:uid="{64439440-1ECB-4257-A3E2-BC98763B9A8B}" name="LOCATION ADDRESS" dataDxfId="26"/>
    <tableColumn id="4" xr3:uid="{D5BE9E8B-0A12-4FF5-810D-90741135973E}" name="CONTACT" dataDxfId="25"/>
    <tableColumn id="5" xr3:uid="{6E3BC0AD-DB17-4E71-B2B3-6006198D2BF2}" name="TYPE OF LAST INSPECTION" dataDxfId="24"/>
    <tableColumn id="6" xr3:uid="{EDEF6340-2F06-40B5-A7CE-69BA6802C017}" name="DATE OF LAST INSPECTION" dataDxfId="23"/>
    <tableColumn id="7" xr3:uid="{56216D63-71BB-4B6E-98F3-EE74841FCE5E}" name="FINDINGS" dataDxfId="22"/>
    <tableColumn id="8" xr3:uid="{E9060228-5A15-4A8C-A633-A42303A3CB87}" name="DATE CAPA ISSUED" dataDxfId="21"/>
    <tableColumn id="9" xr3:uid="{B29EBE03-B8E9-4534-A1AD-EB2DEE65FC68}" name="CAPA SUBMITTED" dataDxfId="20"/>
    <tableColumn id="10" xr3:uid="{77ABAE7E-2504-47A7-A5F8-A69733F6EFB5}" name="CONCLUSION" dataDxfId="19"/>
    <tableColumn id="11" xr3:uid="{289611C0-9AE0-44DA-AD1E-C3D520C2536C}" name="REMARKS" dataDxfId="18"/>
    <tableColumn id="12" xr3:uid="{8EEDA44D-BF12-4186-B9A7-ACC6C50911B2}" name="EXPECTED DATE OF INSPECTION" dataDxfId="17"/>
    <tableColumn id="13" xr3:uid="{ECAF62B4-FC9A-4159-9D8C-3A0A9A032AC7}" name="CC" dataDxfId="16"/>
    <tableColumn id="14" xr3:uid="{FB9522A0-F0AF-44B7-977E-952114859AC1}" name="COMPANY FILE" dataDxfId="15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019AF20-0902-4495-A1A6-D84BA66DD72D}" name="Table13" displayName="Table13" ref="A2:N13" totalsRowShown="0" dataDxfId="14">
  <autoFilter ref="A2:N13" xr:uid="{7019AF20-0902-4495-A1A6-D84BA66DD72D}"/>
  <tableColumns count="14">
    <tableColumn id="1" xr3:uid="{5F971EB9-6062-4AF4-9CBE-BFC2AB9403F7}" name="S/N" dataDxfId="13"/>
    <tableColumn id="2" xr3:uid="{9330EC10-45FE-458B-B726-515680F0676E}" name="NAME OF MANUFACTURER" dataDxfId="12"/>
    <tableColumn id="3" xr3:uid="{E44F8E04-20D4-4BD9-8833-9C152268342A}" name="LOCATION ADDRESS" dataDxfId="11"/>
    <tableColumn id="4" xr3:uid="{FD9A7A9F-9D08-4668-99E3-571C551C39B3}" name="CONTACT" dataDxfId="10"/>
    <tableColumn id="5" xr3:uid="{143DC56B-B801-4CB9-8665-A282DAB955AB}" name="TYPE OF LAST INSPECTION" dataDxfId="9"/>
    <tableColumn id="6" xr3:uid="{FA815AC7-CBC7-4CF3-965F-4E2297DDAC4D}" name="DATE OF LAST INSPECTION" dataDxfId="8"/>
    <tableColumn id="7" xr3:uid="{B4A6BDC0-3139-4322-BD43-6C6F8441FA78}" name="FINDINGS" dataDxfId="7"/>
    <tableColumn id="8" xr3:uid="{78077988-4E8D-4C54-B9FD-4A637A2C3234}" name="DATE CAPA ISSUED" dataDxfId="6"/>
    <tableColumn id="9" xr3:uid="{7A1708E5-77F5-4C73-9B67-E4DE66E0AD94}" name="CAPA SUBMITTED" dataDxfId="5"/>
    <tableColumn id="10" xr3:uid="{A811B3B8-AFEA-4C24-B652-DC6C7C77C901}" name="CONCLUSION" dataDxfId="4"/>
    <tableColumn id="11" xr3:uid="{583F7390-531F-49CF-A8FB-5A667A791846}" name="REMARKS" dataDxfId="3"/>
    <tableColumn id="12" xr3:uid="{EC328E23-8134-41B0-9A8D-8F631E861005}" name="EXPECTED DATE OF INSPECTION" dataDxfId="2"/>
    <tableColumn id="13" xr3:uid="{543BD8B4-A302-4871-A697-624D63DE63C1}" name="CC" dataDxfId="1"/>
    <tableColumn id="14" xr3:uid="{398D2904-142A-4724-949A-AB21834DB173}" name="COMPANY FILE" dataDxfId="0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GSDP%20COMPANY%20FILES/ICE%20REMEDIES" TargetMode="External"/><Relationship Id="rId13" Type="http://schemas.openxmlformats.org/officeDocument/2006/relationships/hyperlink" Target="../GSDP%20COMPANY%20FILES/GOLDEN%20GAZELLE" TargetMode="External"/><Relationship Id="rId18" Type="http://schemas.openxmlformats.org/officeDocument/2006/relationships/hyperlink" Target="../GSDP%20COMPANY%20FILES/Assene-LABOREX" TargetMode="External"/><Relationship Id="rId3" Type="http://schemas.openxmlformats.org/officeDocument/2006/relationships/hyperlink" Target="GSDP%20COMPANY%20FILES/AGARY%20PHARMACEUTICALS%20LTD" TargetMode="External"/><Relationship Id="rId21" Type="http://schemas.openxmlformats.org/officeDocument/2006/relationships/hyperlink" Target="../GSDP%20COMPANY%20FILES/ARTEMIS" TargetMode="External"/><Relationship Id="rId7" Type="http://schemas.openxmlformats.org/officeDocument/2006/relationships/hyperlink" Target="../GSDP%20COMPANY%20FILES/EXPHARLAB" TargetMode="External"/><Relationship Id="rId12" Type="http://schemas.openxmlformats.org/officeDocument/2006/relationships/hyperlink" Target="../GSDP%20COMPANY%20FILES/SHEPHERD%20HEALTH" TargetMode="External"/><Relationship Id="rId17" Type="http://schemas.openxmlformats.org/officeDocument/2006/relationships/hyperlink" Target="../GSDP%20COMPANY%20FILES/Thompson%20%26%20Grace%20Pharm" TargetMode="External"/><Relationship Id="rId25" Type="http://schemas.openxmlformats.org/officeDocument/2006/relationships/table" Target="../tables/table1.xml"/><Relationship Id="rId2" Type="http://schemas.openxmlformats.org/officeDocument/2006/relationships/hyperlink" Target="GSDP%20COMPANY%20FILES/Addmore" TargetMode="External"/><Relationship Id="rId16" Type="http://schemas.openxmlformats.org/officeDocument/2006/relationships/hyperlink" Target="../GSDP%20COMPANY%20FILES/MAYDON" TargetMode="External"/><Relationship Id="rId20" Type="http://schemas.openxmlformats.org/officeDocument/2006/relationships/hyperlink" Target="../GSDP%20COMPANY%20FILES/NKOYO%20CHEMIST" TargetMode="External"/><Relationship Id="rId1" Type="http://schemas.openxmlformats.org/officeDocument/2006/relationships/hyperlink" Target="GSDP%20COMPANY%20FILES/Abtevic" TargetMode="External"/><Relationship Id="rId6" Type="http://schemas.openxmlformats.org/officeDocument/2006/relationships/hyperlink" Target="../GSDP%20COMPANY%20FILES/BLUE%20SUMMIT%20HEALTH" TargetMode="External"/><Relationship Id="rId11" Type="http://schemas.openxmlformats.org/officeDocument/2006/relationships/hyperlink" Target="../GSDP%20COMPANY%20FILES/EUROMED" TargetMode="External"/><Relationship Id="rId24" Type="http://schemas.openxmlformats.org/officeDocument/2006/relationships/hyperlink" Target="../../../../../:b:/s/PMSLAGOS/IQBnmmZZgBddRZ69TVdbDyndAbaeemSGku9ztcH2z6QBgCY?e=J3kF8a" TargetMode="External"/><Relationship Id="rId5" Type="http://schemas.openxmlformats.org/officeDocument/2006/relationships/hyperlink" Target="../GSDP%20COMPANY%20FILES/ALMOND%20ETHICALS" TargetMode="External"/><Relationship Id="rId15" Type="http://schemas.openxmlformats.org/officeDocument/2006/relationships/hyperlink" Target="../GSDP%20COMPANY%20FILES/NANCIL1" TargetMode="External"/><Relationship Id="rId23" Type="http://schemas.openxmlformats.org/officeDocument/2006/relationships/hyperlink" Target="../GSDP%20COMPANY%20FILES/NUGENIC" TargetMode="External"/><Relationship Id="rId10" Type="http://schemas.openxmlformats.org/officeDocument/2006/relationships/hyperlink" Target="../GSDP%20COMPANY%20FILES/TURNER%20WRIGHT%20LTD" TargetMode="External"/><Relationship Id="rId19" Type="http://schemas.openxmlformats.org/officeDocument/2006/relationships/hyperlink" Target="../GSDP%20COMPANY%20FILES/PEMASON" TargetMode="External"/><Relationship Id="rId4" Type="http://schemas.openxmlformats.org/officeDocument/2006/relationships/hyperlink" Target="../GSDP%20COMPANY%20FILES/MULTIBASE" TargetMode="External"/><Relationship Id="rId9" Type="http://schemas.openxmlformats.org/officeDocument/2006/relationships/hyperlink" Target="../GSDP%20COMPANY%20FILES/ICE%20REMEDIES" TargetMode="External"/><Relationship Id="rId14" Type="http://schemas.openxmlformats.org/officeDocument/2006/relationships/hyperlink" Target="../GSDP%20COMPANY%20FILES/MEDEXPRESS" TargetMode="External"/><Relationship Id="rId22" Type="http://schemas.openxmlformats.org/officeDocument/2006/relationships/hyperlink" Target="../GSDP%20COMPANY%20FILES/STANDARD%20GENERIC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b:/s/PMSLAGOS/IQBnmmZZgBddRZ69TVdbDyndAbaeemSGku9ztcH2z6QBgCY?e=J3kF8a" TargetMode="External"/><Relationship Id="rId7" Type="http://schemas.openxmlformats.org/officeDocument/2006/relationships/table" Target="../tables/table2.xml"/><Relationship Id="rId2" Type="http://schemas.openxmlformats.org/officeDocument/2006/relationships/hyperlink" Target="../GSDP%20COMPANY%20FILES/MULTIBASE" TargetMode="External"/><Relationship Id="rId1" Type="http://schemas.openxmlformats.org/officeDocument/2006/relationships/hyperlink" Target="GSDP%20COMPANY%20FILES/Abtevic" TargetMode="External"/><Relationship Id="rId6" Type="http://schemas.openxmlformats.org/officeDocument/2006/relationships/hyperlink" Target="https://nafdacng.sharepoint.com/sites/PMSLAGOS/Shared%20Documents/GSDP%20(GOOD%20STORAGE%20AND%20DISTRIBUTION%20PRACTICE)/GSDP%20COMPANY%20FILES/A.N%20CHIDOZIE%20PHARMACEUTICAL%20LTD" TargetMode="External"/><Relationship Id="rId5" Type="http://schemas.openxmlformats.org/officeDocument/2006/relationships/hyperlink" Target="https://nafdacng.sharepoint.com/sites/PMSLAGOS/Shared%20Documents/GDP%20(GOOD%20DISTRIBUTION%20PRATICE)/GSDP%20COMPANY%20FILES\Santa%20Care%20LTD" TargetMode="External"/><Relationship Id="rId4" Type="http://schemas.openxmlformats.org/officeDocument/2006/relationships/hyperlink" Target="https://nafdacng.sharepoint.com/sites/PMSLAGOS/Shared%20Documents/GSDP%20(GOOD%20STORAGE%20AND%20DISTRIBUTION%20PRACTICE)/GSDP%20COMPANY%20FILES/A.N%20CHIDOZIE%20PHARMACEUTICAL%20LT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../GSDP%20COMPANY%20FILES/ICE%20REMEDIES" TargetMode="External"/><Relationship Id="rId1" Type="http://schemas.openxmlformats.org/officeDocument/2006/relationships/hyperlink" Target="GSDP%20COMPANY%20FILES/Addmor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../GSDP%20COMPANY%20FILES/ALMOND%20ETHICAL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/GSDP%20COMPANY%20FILES/Assene-LABOREX" TargetMode="External"/><Relationship Id="rId2" Type="http://schemas.openxmlformats.org/officeDocument/2006/relationships/hyperlink" Target="../GSDP%20COMPANY%20FILES/EUROMED" TargetMode="External"/><Relationship Id="rId1" Type="http://schemas.openxmlformats.org/officeDocument/2006/relationships/hyperlink" Target="../GSDP%20COMPANY%20FILES/TURNER%20WRIGHT%20LTD" TargetMode="External"/><Relationship Id="rId5" Type="http://schemas.openxmlformats.org/officeDocument/2006/relationships/table" Target="../tables/table6.xml"/><Relationship Id="rId4" Type="http://schemas.openxmlformats.org/officeDocument/2006/relationships/hyperlink" Target="../GSDP%20COMPANY%20FILES/PEMASO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../GSDP%20COMPANY%20FILES/GOLDEN%20GAZELL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../GSDP%20COMPANY%20FILES/ICE%20REMEDIES" TargetMode="External"/><Relationship Id="rId7" Type="http://schemas.openxmlformats.org/officeDocument/2006/relationships/table" Target="../tables/table9.xml"/><Relationship Id="rId2" Type="http://schemas.openxmlformats.org/officeDocument/2006/relationships/hyperlink" Target="../GSDP%20COMPANY%20FILES/EXPHARLAB" TargetMode="External"/><Relationship Id="rId1" Type="http://schemas.openxmlformats.org/officeDocument/2006/relationships/hyperlink" Target="GSDP%20COMPANY%20FILES/AGARY%20PHARMACEUTICALS%20LTD" TargetMode="External"/><Relationship Id="rId6" Type="http://schemas.openxmlformats.org/officeDocument/2006/relationships/hyperlink" Target="../GSDP%20COMPANY%20FILES/NANCIL1" TargetMode="External"/><Relationship Id="rId5" Type="http://schemas.openxmlformats.org/officeDocument/2006/relationships/hyperlink" Target="../GSDP%20COMPANY%20FILES/MEDEXPRESS" TargetMode="External"/><Relationship Id="rId4" Type="http://schemas.openxmlformats.org/officeDocument/2006/relationships/hyperlink" Target="../GSDP%20COMPANY%20FILES/SHEPHERD%20HEALTH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../GSDP%20COMPANY%20FILES/MAYDO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../GSDP%20COMPANY%20FILES/NKOYO%20CHEMIST" TargetMode="External"/><Relationship Id="rId2" Type="http://schemas.openxmlformats.org/officeDocument/2006/relationships/hyperlink" Target="../GSDP%20COMPANY%20FILES/Thompson%20%26%20Grace%20Pharm" TargetMode="External"/><Relationship Id="rId1" Type="http://schemas.openxmlformats.org/officeDocument/2006/relationships/hyperlink" Target="../GSDP%20COMPANY%20FILES/BLUE%20SUMMIT%20HEALTH" TargetMode="External"/><Relationship Id="rId6" Type="http://schemas.openxmlformats.org/officeDocument/2006/relationships/table" Target="../tables/table11.xml"/><Relationship Id="rId5" Type="http://schemas.openxmlformats.org/officeDocument/2006/relationships/hyperlink" Target="../GSDP%20COMPANY%20FILES/STANDARD%20GENERICS" TargetMode="External"/><Relationship Id="rId4" Type="http://schemas.openxmlformats.org/officeDocument/2006/relationships/hyperlink" Target="../GSDP%20COMPANY%20FILES/ARTEMIS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hyperlink" Target="../GSDP%20COMPANY%20FILES/NUGENIC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8B09-192F-4B07-A3FB-83303724A79B}">
  <dimension ref="A1:O109"/>
  <sheetViews>
    <sheetView topLeftCell="J1" workbookViewId="0">
      <pane ySplit="2" topLeftCell="A100" activePane="bottomLeft" state="frozen"/>
      <selection pane="bottomLeft" activeCell="G3" sqref="G3"/>
    </sheetView>
  </sheetViews>
  <sheetFormatPr defaultColWidth="8.85546875" defaultRowHeight="15" customHeight="1"/>
  <cols>
    <col min="1" max="1" width="7" style="1" customWidth="1"/>
    <col min="2" max="2" width="49.42578125" style="23" customWidth="1"/>
    <col min="3" max="3" width="57.5703125" style="24" customWidth="1"/>
    <col min="4" max="4" width="23.42578125" style="25" customWidth="1"/>
    <col min="5" max="5" width="15.42578125" style="24" customWidth="1"/>
    <col min="6" max="6" width="31.28515625" style="24" customWidth="1"/>
    <col min="7" max="7" width="20.5703125" style="24" customWidth="1"/>
    <col min="8" max="8" width="15.28515625" style="24" customWidth="1"/>
    <col min="9" max="9" width="17.42578125" style="24" customWidth="1"/>
    <col min="10" max="10" width="22.42578125" style="24" customWidth="1"/>
    <col min="11" max="11" width="35.42578125" style="24" customWidth="1"/>
    <col min="12" max="12" width="32.7109375" style="25" customWidth="1"/>
    <col min="13" max="13" width="32.7109375" style="24" customWidth="1"/>
    <col min="14" max="14" width="49" style="24" customWidth="1"/>
    <col min="15" max="15" width="32.7109375" style="1" customWidth="1"/>
    <col min="16" max="16384" width="8.85546875" style="1"/>
  </cols>
  <sheetData>
    <row r="1" spans="1:15" ht="18.7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5" s="61" customFormat="1" ht="45.75">
      <c r="A2" s="56" t="s">
        <v>1</v>
      </c>
      <c r="B2" s="57" t="s">
        <v>2</v>
      </c>
      <c r="C2" s="58" t="s">
        <v>3</v>
      </c>
      <c r="D2" s="102" t="s">
        <v>4</v>
      </c>
      <c r="E2" s="58" t="s">
        <v>5</v>
      </c>
      <c r="F2" s="58" t="s">
        <v>6</v>
      </c>
      <c r="G2" s="58" t="s">
        <v>7</v>
      </c>
      <c r="H2" s="58" t="s">
        <v>8</v>
      </c>
      <c r="I2" s="58" t="s">
        <v>9</v>
      </c>
      <c r="J2" s="58" t="s">
        <v>10</v>
      </c>
      <c r="K2" s="59" t="s">
        <v>11</v>
      </c>
      <c r="L2" s="60" t="s">
        <v>12</v>
      </c>
      <c r="M2" s="59" t="s">
        <v>13</v>
      </c>
      <c r="N2" s="59" t="s">
        <v>14</v>
      </c>
    </row>
    <row r="3" spans="1:15" ht="54" hidden="1" customHeight="1">
      <c r="A3" s="2">
        <v>1</v>
      </c>
      <c r="B3" s="3" t="s">
        <v>15</v>
      </c>
      <c r="C3" s="4" t="s">
        <v>16</v>
      </c>
      <c r="D3" s="103">
        <v>8127926887</v>
      </c>
      <c r="E3" s="5" t="s">
        <v>17</v>
      </c>
      <c r="F3" s="54">
        <v>45678</v>
      </c>
      <c r="G3" s="6" t="s">
        <v>18</v>
      </c>
      <c r="H3" s="6" t="s">
        <v>19</v>
      </c>
      <c r="I3" s="6" t="s">
        <v>20</v>
      </c>
      <c r="J3" s="5" t="s">
        <v>21</v>
      </c>
      <c r="K3" s="5" t="str">
        <f>IF(I3="YES","CAPA VERIFICATION SHOULD BE SCHEDULED",IF(I3="NO","REMINDER LETTER SHOULD BE SENT",""))</f>
        <v>REMINDER LETTER SHOULD BE SENT</v>
      </c>
      <c r="L3" s="26">
        <v>46023</v>
      </c>
      <c r="M3" s="27" t="s">
        <v>22</v>
      </c>
      <c r="N3" s="28" t="s">
        <v>23</v>
      </c>
      <c r="O3" s="7"/>
    </row>
    <row r="4" spans="1:15" ht="40.5" hidden="1" customHeight="1">
      <c r="A4" s="2">
        <v>2</v>
      </c>
      <c r="B4" s="3" t="s">
        <v>24</v>
      </c>
      <c r="C4" s="8" t="s">
        <v>25</v>
      </c>
      <c r="D4" s="103">
        <v>9035803090</v>
      </c>
      <c r="E4" s="5" t="s">
        <v>17</v>
      </c>
      <c r="F4" s="54">
        <v>45680</v>
      </c>
      <c r="G4" s="6" t="s">
        <v>18</v>
      </c>
      <c r="H4" s="6" t="s">
        <v>26</v>
      </c>
      <c r="I4" s="6" t="s">
        <v>20</v>
      </c>
      <c r="J4" s="5" t="s">
        <v>21</v>
      </c>
      <c r="K4" s="5" t="str">
        <f>IF(I4="YES","CAPA VERIFICATION SHOULD BE SCHEDULED",IF(I4="NO","REMINDER LETTER SHOULD BE SENT",""))</f>
        <v>REMINDER LETTER SHOULD BE SENT</v>
      </c>
      <c r="L4" s="26">
        <v>46023</v>
      </c>
      <c r="M4" s="27" t="s">
        <v>27</v>
      </c>
      <c r="N4" s="28" t="str">
        <f>IF(M4="","",HYPERLINK(M4,B4))</f>
        <v>JANE-MADOK PHARMACY &amp; WELLNESS CENTER</v>
      </c>
      <c r="O4" s="7"/>
    </row>
    <row r="5" spans="1:15" ht="72.75" hidden="1">
      <c r="A5" s="2">
        <v>3</v>
      </c>
      <c r="B5" s="9" t="s">
        <v>28</v>
      </c>
      <c r="C5" s="10" t="s">
        <v>29</v>
      </c>
      <c r="D5" s="103">
        <v>7033089165</v>
      </c>
      <c r="E5" s="5" t="s">
        <v>17</v>
      </c>
      <c r="F5" s="54">
        <v>45680</v>
      </c>
      <c r="G5" s="6" t="s">
        <v>18</v>
      </c>
      <c r="H5" s="6" t="s">
        <v>30</v>
      </c>
      <c r="I5" s="6" t="s">
        <v>20</v>
      </c>
      <c r="J5" s="5" t="s">
        <v>21</v>
      </c>
      <c r="K5" s="5" t="str">
        <f>IF(I5="YES","CAPA VERIFICATION SHOULD BE SCHEDULED",IF(I5="NO","REMINDER LETTER SHOULD BE SENT",""))</f>
        <v>REMINDER LETTER SHOULD BE SENT</v>
      </c>
      <c r="L5" s="26">
        <v>46054</v>
      </c>
      <c r="M5" s="27" t="s">
        <v>31</v>
      </c>
      <c r="N5" s="28" t="str">
        <f>IF(M5="","",HYPERLINK(M5,B5))</f>
        <v>ROCHE PRODUCTS LIMITED (MEDICAL DEVICES)</v>
      </c>
    </row>
    <row r="6" spans="1:15" ht="72.75" hidden="1">
      <c r="A6" s="2">
        <v>4</v>
      </c>
      <c r="B6" s="9" t="s">
        <v>32</v>
      </c>
      <c r="C6" s="8" t="s">
        <v>33</v>
      </c>
      <c r="D6" s="103">
        <v>8022317625</v>
      </c>
      <c r="E6" s="5" t="s">
        <v>34</v>
      </c>
      <c r="F6" s="54">
        <v>45685</v>
      </c>
      <c r="G6" s="6" t="s">
        <v>18</v>
      </c>
      <c r="H6" s="6" t="s">
        <v>35</v>
      </c>
      <c r="I6" s="6" t="s">
        <v>36</v>
      </c>
      <c r="J6" s="5" t="s">
        <v>9</v>
      </c>
      <c r="K6" s="5" t="str">
        <f>IF(I6="YES","CAPA VERIFICATION SHOULD BE SCHEDULED",IF(I6="NO","REMINDER LETTER SHOULD BE SENT",""))</f>
        <v>CAPA VERIFICATION SHOULD BE SCHEDULED</v>
      </c>
      <c r="L6" s="26">
        <v>46023</v>
      </c>
      <c r="M6" s="27" t="s">
        <v>37</v>
      </c>
      <c r="N6" s="28" t="str">
        <f>IF(M6="","",HYPERLINK(M6,B6))</f>
        <v>KCH CONSUMER HEALTHCARE LTD. (CAPA)</v>
      </c>
    </row>
    <row r="7" spans="1:15" ht="72.75" hidden="1">
      <c r="A7" s="2">
        <v>5</v>
      </c>
      <c r="B7" s="3" t="s">
        <v>38</v>
      </c>
      <c r="C7" s="8" t="s">
        <v>39</v>
      </c>
      <c r="D7" s="103">
        <v>8033268130</v>
      </c>
      <c r="E7" s="5" t="s">
        <v>17</v>
      </c>
      <c r="F7" s="54">
        <v>45685</v>
      </c>
      <c r="G7" s="6" t="s">
        <v>18</v>
      </c>
      <c r="H7" s="11">
        <v>45685</v>
      </c>
      <c r="I7" s="6" t="s">
        <v>20</v>
      </c>
      <c r="J7" s="5" t="s">
        <v>21</v>
      </c>
      <c r="K7" s="5" t="str">
        <f>IF(I7="YES","CAPA VERIFICATION SHOULD BE SCHEDULED",IF(I7="NO","REMINDER LETTER SHOULD BE SENT",""))</f>
        <v>REMINDER LETTER SHOULD BE SENT</v>
      </c>
      <c r="L7" s="26">
        <v>46023</v>
      </c>
      <c r="M7" s="30" t="s">
        <v>40</v>
      </c>
      <c r="N7" s="28" t="str">
        <f>IF(M7="","",HYPERLINK(M7,B7))</f>
        <v>MUJID HEALTHCARE LTD</v>
      </c>
      <c r="O7" s="7"/>
    </row>
    <row r="8" spans="1:15" ht="30.75" hidden="1">
      <c r="A8" s="2">
        <v>6</v>
      </c>
      <c r="B8" s="9" t="s">
        <v>28</v>
      </c>
      <c r="C8" s="8" t="s">
        <v>41</v>
      </c>
      <c r="D8" s="103">
        <v>7044644915</v>
      </c>
      <c r="E8" s="5" t="s">
        <v>17</v>
      </c>
      <c r="F8" s="54">
        <v>45693</v>
      </c>
      <c r="G8" s="6" t="s">
        <v>18</v>
      </c>
      <c r="H8" s="11">
        <v>45685</v>
      </c>
      <c r="I8" s="6" t="s">
        <v>20</v>
      </c>
      <c r="J8" s="5" t="s">
        <v>21</v>
      </c>
      <c r="K8" s="5" t="str">
        <f>IF(I8="YES","CAPA VERIFICATION SHOULD BE SCHEDULED",IF(I8="NO","REMINDER LETTER SHOULD BE SENT",""))</f>
        <v>REMINDER LETTER SHOULD BE SENT</v>
      </c>
      <c r="L8" s="31">
        <v>45683</v>
      </c>
      <c r="M8" s="32"/>
      <c r="N8" s="28" t="str">
        <f>IF(M8="","",HYPERLINK(M8,B8))</f>
        <v/>
      </c>
      <c r="O8" s="12"/>
    </row>
    <row r="9" spans="1:15" ht="72.75" hidden="1">
      <c r="A9" s="2">
        <v>7</v>
      </c>
      <c r="B9" s="9" t="s">
        <v>42</v>
      </c>
      <c r="C9" s="8"/>
      <c r="D9" s="103"/>
      <c r="E9" s="5" t="s">
        <v>17</v>
      </c>
      <c r="F9" s="54">
        <v>45734</v>
      </c>
      <c r="G9" s="6" t="s">
        <v>18</v>
      </c>
      <c r="H9" s="5" t="s">
        <v>43</v>
      </c>
      <c r="I9" s="5" t="s">
        <v>36</v>
      </c>
      <c r="J9" s="5" t="s">
        <v>9</v>
      </c>
      <c r="K9" s="5" t="str">
        <f>IF(I9="YES","CAPA VERIFICATION SHOULD BE SCHEDULED",IF(I9="NO","REMINDER LETTER SHOULD BE SENT",""))</f>
        <v>CAPA VERIFICATION SHOULD BE SCHEDULED</v>
      </c>
      <c r="L9" s="26">
        <v>45870</v>
      </c>
      <c r="M9" s="27" t="s">
        <v>44</v>
      </c>
      <c r="N9" s="28" t="str">
        <f>IF(M9="","",HYPERLINK(M9,B9))</f>
        <v>EUROMED LTD</v>
      </c>
      <c r="O9" s="7"/>
    </row>
    <row r="10" spans="1:15" ht="87" hidden="1">
      <c r="A10" s="2">
        <v>8</v>
      </c>
      <c r="B10" s="9" t="s">
        <v>45</v>
      </c>
      <c r="C10" s="8" t="s">
        <v>46</v>
      </c>
      <c r="D10" s="103">
        <v>8132993626</v>
      </c>
      <c r="E10" s="5" t="s">
        <v>34</v>
      </c>
      <c r="F10" s="54">
        <v>45734</v>
      </c>
      <c r="G10" s="6" t="s">
        <v>47</v>
      </c>
      <c r="H10" s="6" t="s">
        <v>48</v>
      </c>
      <c r="I10" s="6" t="s">
        <v>36</v>
      </c>
      <c r="J10" s="5" t="s">
        <v>49</v>
      </c>
      <c r="K10" s="5" t="s">
        <v>49</v>
      </c>
      <c r="L10" s="26">
        <v>46447</v>
      </c>
      <c r="M10" s="33" t="s">
        <v>50</v>
      </c>
      <c r="N10" s="28" t="str">
        <f>IF(M10="","",HYPERLINK(M10,B10))</f>
        <v>GREENLIFE PHARMA CEUTICALS LTD. (CAPA)</v>
      </c>
    </row>
    <row r="11" spans="1:15" ht="72.75" hidden="1">
      <c r="A11" s="2">
        <v>9</v>
      </c>
      <c r="B11" s="9" t="s">
        <v>51</v>
      </c>
      <c r="C11" s="10" t="s">
        <v>52</v>
      </c>
      <c r="D11" s="103" t="s">
        <v>53</v>
      </c>
      <c r="E11" s="5" t="s">
        <v>17</v>
      </c>
      <c r="F11" s="54">
        <v>45734</v>
      </c>
      <c r="G11" s="6" t="s">
        <v>18</v>
      </c>
      <c r="H11" s="6" t="s">
        <v>54</v>
      </c>
      <c r="I11" s="6" t="s">
        <v>20</v>
      </c>
      <c r="J11" s="5" t="s">
        <v>21</v>
      </c>
      <c r="K11" s="5" t="str">
        <f>IF(I11="YES","CAPA VERIFICATION SHOULD BE SCHEDULED",IF(I11="NO","REMINDER LETTER SHOULD BE SENT",""))</f>
        <v>REMINDER LETTER SHOULD BE SENT</v>
      </c>
      <c r="L11" s="26">
        <v>46082</v>
      </c>
      <c r="M11" s="27" t="s">
        <v>55</v>
      </c>
      <c r="N11" s="28" t="str">
        <f>IF(M11="","",HYPERLINK(M11,B11))</f>
        <v>DORTEMAG PHARM. &amp; STORES</v>
      </c>
      <c r="O11" s="7"/>
    </row>
    <row r="12" spans="1:15" ht="87" hidden="1">
      <c r="A12" s="2">
        <v>10</v>
      </c>
      <c r="B12" s="9" t="s">
        <v>56</v>
      </c>
      <c r="C12" s="10" t="s">
        <v>57</v>
      </c>
      <c r="D12" s="103" t="s">
        <v>58</v>
      </c>
      <c r="E12" s="5" t="s">
        <v>17</v>
      </c>
      <c r="F12" s="54">
        <v>45734</v>
      </c>
      <c r="G12" s="6" t="s">
        <v>18</v>
      </c>
      <c r="H12" s="6" t="s">
        <v>59</v>
      </c>
      <c r="I12" s="6" t="s">
        <v>20</v>
      </c>
      <c r="J12" s="5" t="s">
        <v>21</v>
      </c>
      <c r="K12" s="5" t="str">
        <f>IF(I12="YES","CAPA VERIFICATION SHOULD BE SCHEDULED",IF(I12="NO","REMINDER LETTER SHOULD BE SENT",""))</f>
        <v>REMINDER LETTER SHOULD BE SENT</v>
      </c>
      <c r="L12" s="26">
        <v>45717</v>
      </c>
      <c r="M12" s="27" t="s">
        <v>60</v>
      </c>
      <c r="N12" s="28" t="str">
        <f>IF(M12="","",HYPERLINK(M12,B12))</f>
        <v>HEALTHLINE NIG. LTD</v>
      </c>
      <c r="O12" s="12"/>
    </row>
    <row r="13" spans="1:15" ht="87" hidden="1">
      <c r="A13" s="2">
        <v>11</v>
      </c>
      <c r="B13" s="9" t="s">
        <v>61</v>
      </c>
      <c r="C13" s="10" t="s">
        <v>62</v>
      </c>
      <c r="D13" s="103" t="s">
        <v>63</v>
      </c>
      <c r="E13" s="5" t="s">
        <v>17</v>
      </c>
      <c r="F13" s="54">
        <v>45734</v>
      </c>
      <c r="G13" s="6" t="s">
        <v>18</v>
      </c>
      <c r="H13" s="6" t="s">
        <v>54</v>
      </c>
      <c r="I13" s="6" t="s">
        <v>20</v>
      </c>
      <c r="J13" s="5" t="s">
        <v>21</v>
      </c>
      <c r="K13" s="5" t="str">
        <f>IF(I13="YES","CAPA VERIFICATION SHOULD BE SCHEDULED",IF(I13="NO","REMINDER LETTER SHOULD BE SENT",""))</f>
        <v>REMINDER LETTER SHOULD BE SENT</v>
      </c>
      <c r="L13" s="26">
        <v>45717</v>
      </c>
      <c r="M13" s="27" t="s">
        <v>64</v>
      </c>
      <c r="N13" s="28" t="str">
        <f>IF(M13="","",HYPERLINK(M13,B13))</f>
        <v>GETZPHARMA NIG. LTD</v>
      </c>
      <c r="O13" s="12"/>
    </row>
    <row r="14" spans="1:15" ht="72.75" hidden="1">
      <c r="A14" s="2">
        <v>12</v>
      </c>
      <c r="B14" s="9" t="s">
        <v>65</v>
      </c>
      <c r="C14" s="10" t="s">
        <v>66</v>
      </c>
      <c r="D14" s="103" t="s">
        <v>67</v>
      </c>
      <c r="E14" s="5" t="s">
        <v>17</v>
      </c>
      <c r="F14" s="54">
        <v>45735</v>
      </c>
      <c r="G14" s="6" t="s">
        <v>18</v>
      </c>
      <c r="H14" s="6" t="s">
        <v>68</v>
      </c>
      <c r="I14" s="6" t="s">
        <v>36</v>
      </c>
      <c r="J14" s="5" t="s">
        <v>21</v>
      </c>
      <c r="K14" s="5" t="str">
        <f>IF(I14="YES","CAPA VERIFICATION SHOULD BE SCHEDULED",IF(I14="NO","REMINDER LETTER SHOULD BE SENT",""))</f>
        <v>CAPA VERIFICATION SHOULD BE SCHEDULED</v>
      </c>
      <c r="L14" s="26">
        <v>45717</v>
      </c>
      <c r="M14" s="27" t="s">
        <v>69</v>
      </c>
      <c r="N14" s="28" t="str">
        <f>IF(M14="","",HYPERLINK(M14,B14))</f>
        <v>SHEPHERD HEALTH &amp; VETERINARY LTD.</v>
      </c>
    </row>
    <row r="15" spans="1:15" ht="72.75" hidden="1">
      <c r="A15" s="2">
        <v>13</v>
      </c>
      <c r="B15" s="9" t="s">
        <v>70</v>
      </c>
      <c r="C15" s="10" t="s">
        <v>71</v>
      </c>
      <c r="D15" s="103" t="s">
        <v>72</v>
      </c>
      <c r="E15" s="5" t="s">
        <v>17</v>
      </c>
      <c r="F15" s="54">
        <v>45735</v>
      </c>
      <c r="G15" s="6" t="s">
        <v>18</v>
      </c>
      <c r="H15" s="6"/>
      <c r="I15" s="6" t="s">
        <v>48</v>
      </c>
      <c r="J15" s="5" t="s">
        <v>21</v>
      </c>
      <c r="K15" s="5" t="str">
        <f>IF(I15="YES","CAPA VERIFICATION SHOULD BE SCHEDULED",IF(I15="NO","REMINDER LETTER SHOULD BE SENT",""))</f>
        <v/>
      </c>
      <c r="L15" s="26">
        <v>45717</v>
      </c>
      <c r="M15" s="33" t="s">
        <v>73</v>
      </c>
      <c r="N15" s="28" t="str">
        <f>IF(M15="","",HYPERLINK(M15,B15))</f>
        <v>ADCEM PHARMACEUTICALS LTD</v>
      </c>
    </row>
    <row r="16" spans="1:15" ht="72.75" hidden="1">
      <c r="A16" s="2">
        <v>14</v>
      </c>
      <c r="B16" s="9" t="s">
        <v>74</v>
      </c>
      <c r="C16" s="10" t="s">
        <v>75</v>
      </c>
      <c r="D16" s="103" t="s">
        <v>76</v>
      </c>
      <c r="E16" s="5" t="s">
        <v>17</v>
      </c>
      <c r="F16" s="54">
        <v>45735</v>
      </c>
      <c r="G16" s="6" t="s">
        <v>18</v>
      </c>
      <c r="H16" s="6" t="s">
        <v>68</v>
      </c>
      <c r="I16" s="6" t="s">
        <v>20</v>
      </c>
      <c r="J16" s="5" t="s">
        <v>21</v>
      </c>
      <c r="K16" s="5" t="str">
        <f>IF(I16="YES","CAPA VERIFICATION SHOULD BE SCHEDULED",IF(I16="NO","REMINDER LETTER SHOULD BE SENT",""))</f>
        <v>REMINDER LETTER SHOULD BE SENT</v>
      </c>
      <c r="L16" s="26">
        <v>45717</v>
      </c>
      <c r="M16" s="34" t="s">
        <v>77</v>
      </c>
      <c r="N16" s="28" t="str">
        <f>IF(M16="","",HYPERLINK(M16,B16))</f>
        <v>ADDMORE PHARMACY</v>
      </c>
      <c r="O16" s="7"/>
    </row>
    <row r="17" spans="1:15" ht="72.75">
      <c r="A17" s="2">
        <v>15</v>
      </c>
      <c r="B17" s="9" t="s">
        <v>78</v>
      </c>
      <c r="C17" s="10" t="s">
        <v>79</v>
      </c>
      <c r="D17" s="103" t="s">
        <v>80</v>
      </c>
      <c r="E17" s="5" t="s">
        <v>17</v>
      </c>
      <c r="F17" s="54">
        <v>45736</v>
      </c>
      <c r="G17" s="6" t="s">
        <v>81</v>
      </c>
      <c r="H17" s="6" t="s">
        <v>48</v>
      </c>
      <c r="I17" s="6" t="s">
        <v>20</v>
      </c>
      <c r="J17" s="5" t="s">
        <v>21</v>
      </c>
      <c r="K17" s="5" t="str">
        <f>IF(I17="YES","CAPA VERIFICATION SHOULD BE SCHEDULED",IF(I17="NO","REMINDER LETTER SHOULD BE SENT",""))</f>
        <v>REMINDER LETTER SHOULD BE SENT</v>
      </c>
      <c r="L17" s="26">
        <v>45901</v>
      </c>
      <c r="M17" s="27" t="s">
        <v>82</v>
      </c>
      <c r="N17" s="28" t="str">
        <f>IF(M17="","",HYPERLINK(M17,B17))</f>
        <v>AXION PHARMACEUTICALS LTD</v>
      </c>
    </row>
    <row r="18" spans="1:15" ht="72.75" hidden="1">
      <c r="A18" s="2">
        <v>16</v>
      </c>
      <c r="B18" s="3" t="s">
        <v>83</v>
      </c>
      <c r="C18" s="8" t="s">
        <v>84</v>
      </c>
      <c r="D18" s="103" t="s">
        <v>85</v>
      </c>
      <c r="E18" s="5" t="s">
        <v>17</v>
      </c>
      <c r="F18" s="54">
        <v>45736</v>
      </c>
      <c r="G18" s="6" t="s">
        <v>47</v>
      </c>
      <c r="H18" s="6" t="s">
        <v>68</v>
      </c>
      <c r="I18" s="6" t="s">
        <v>36</v>
      </c>
      <c r="J18" s="5" t="s">
        <v>9</v>
      </c>
      <c r="K18" s="5" t="s">
        <v>86</v>
      </c>
      <c r="L18" s="35" t="s">
        <v>87</v>
      </c>
      <c r="M18" s="27" t="s">
        <v>88</v>
      </c>
      <c r="N18" s="28" t="str">
        <f>IF(M18="","",HYPERLINK(M18,B18))</f>
        <v>MED EXPRESS</v>
      </c>
    </row>
    <row r="19" spans="1:15" ht="72.75">
      <c r="A19" s="2">
        <v>20</v>
      </c>
      <c r="B19" s="9" t="s">
        <v>89</v>
      </c>
      <c r="C19" s="10" t="s">
        <v>90</v>
      </c>
      <c r="D19" s="103" t="s">
        <v>91</v>
      </c>
      <c r="E19" s="5" t="s">
        <v>17</v>
      </c>
      <c r="F19" s="54">
        <v>45736</v>
      </c>
      <c r="G19" s="6" t="s">
        <v>81</v>
      </c>
      <c r="H19" s="6" t="s">
        <v>92</v>
      </c>
      <c r="I19" s="6" t="s">
        <v>36</v>
      </c>
      <c r="J19" s="5" t="s">
        <v>9</v>
      </c>
      <c r="K19" s="5" t="str">
        <f>IF(I19="YES","CAPA VERIFICATION SHOULD BE SCHEDULED",IF(I19="NO","REMINDER LETTER SHOULD BE SENT",""))</f>
        <v>CAPA VERIFICATION SHOULD BE SCHEDULED</v>
      </c>
      <c r="L19" s="26">
        <v>45742</v>
      </c>
      <c r="M19" s="27" t="s">
        <v>93</v>
      </c>
      <c r="N19" s="28" t="str">
        <f>IF(M19="","",HYPERLINK(M19,B19))</f>
        <v>SOLID ACCORD LTD</v>
      </c>
      <c r="O19" s="12"/>
    </row>
    <row r="20" spans="1:15" ht="72.75" hidden="1">
      <c r="A20" s="2">
        <v>21</v>
      </c>
      <c r="B20" s="9" t="s">
        <v>94</v>
      </c>
      <c r="C20" s="10" t="s">
        <v>95</v>
      </c>
      <c r="D20" s="103" t="s">
        <v>96</v>
      </c>
      <c r="E20" s="5" t="s">
        <v>17</v>
      </c>
      <c r="F20" s="54">
        <v>45736</v>
      </c>
      <c r="G20" s="6" t="s">
        <v>47</v>
      </c>
      <c r="H20" s="6" t="s">
        <v>92</v>
      </c>
      <c r="I20" s="6" t="s">
        <v>20</v>
      </c>
      <c r="J20" s="5" t="s">
        <v>21</v>
      </c>
      <c r="K20" s="5" t="str">
        <f>IF(I20="YES","CAPA VERIFICATION SHOULD BE SCHEDULED",IF(I20="NO","REMINDER LETTER SHOULD BE SENT",""))</f>
        <v>REMINDER LETTER SHOULD BE SENT</v>
      </c>
      <c r="L20" s="26">
        <v>45925</v>
      </c>
      <c r="M20" s="27" t="s">
        <v>97</v>
      </c>
      <c r="N20" s="28" t="str">
        <f>IF(M20="","",HYPERLINK(M20,B20))</f>
        <v>AQUATIX PHARM. LTD</v>
      </c>
      <c r="O20" s="12"/>
    </row>
    <row r="21" spans="1:15" ht="87">
      <c r="A21" s="2">
        <v>22</v>
      </c>
      <c r="B21" s="3" t="s">
        <v>98</v>
      </c>
      <c r="C21" s="8" t="s">
        <v>99</v>
      </c>
      <c r="D21" s="103" t="s">
        <v>100</v>
      </c>
      <c r="E21" s="5" t="s">
        <v>17</v>
      </c>
      <c r="F21" s="54">
        <v>45736</v>
      </c>
      <c r="G21" s="6" t="s">
        <v>81</v>
      </c>
      <c r="H21" s="6" t="s">
        <v>92</v>
      </c>
      <c r="I21" s="6" t="s">
        <v>20</v>
      </c>
      <c r="J21" s="5" t="s">
        <v>21</v>
      </c>
      <c r="K21" s="5" t="str">
        <f>IF(I21="YES","CAPA VERIFICATION SHOULD BE SCHEDULED",IF(I21="NO","REMINDER LETTER SHOULD BE SENT",""))</f>
        <v>REMINDER LETTER SHOULD BE SENT</v>
      </c>
      <c r="L21" s="26">
        <v>45901</v>
      </c>
      <c r="M21" s="36" t="s">
        <v>101</v>
      </c>
      <c r="N21" s="28" t="str">
        <f>IF(M21="","",HYPERLINK(M21,B21))</f>
        <v>SAI SAGAR</v>
      </c>
    </row>
    <row r="22" spans="1:15" ht="72.75" hidden="1">
      <c r="A22" s="2">
        <v>23</v>
      </c>
      <c r="B22" s="13" t="s">
        <v>102</v>
      </c>
      <c r="C22" s="10" t="s">
        <v>103</v>
      </c>
      <c r="D22" s="103" t="s">
        <v>104</v>
      </c>
      <c r="E22" s="5" t="s">
        <v>17</v>
      </c>
      <c r="F22" s="54">
        <v>45762</v>
      </c>
      <c r="G22" s="6" t="s">
        <v>18</v>
      </c>
      <c r="H22" s="6" t="s">
        <v>105</v>
      </c>
      <c r="I22" s="6" t="s">
        <v>36</v>
      </c>
      <c r="J22" s="5" t="s">
        <v>9</v>
      </c>
      <c r="K22" s="5" t="str">
        <f>IF(I22="YES","CAPA VERIFICATION SHOULD BE SCHEDULED",IF(I22="NO","REMINDER LETTER SHOULD BE SENT",""))</f>
        <v>CAPA VERIFICATION SHOULD BE SCHEDULED</v>
      </c>
      <c r="L22" s="26">
        <v>45748</v>
      </c>
      <c r="M22" s="27" t="s">
        <v>106</v>
      </c>
      <c r="N22" s="28" t="str">
        <f>IF(M22="","",HYPERLINK(M22,B22))</f>
        <v>MAYDON PHARM. &amp; CHEM. CO. LTD.</v>
      </c>
    </row>
    <row r="23" spans="1:15" ht="87" hidden="1">
      <c r="A23" s="2">
        <v>24</v>
      </c>
      <c r="B23" s="3" t="s">
        <v>107</v>
      </c>
      <c r="C23" s="10" t="s">
        <v>108</v>
      </c>
      <c r="D23" s="103" t="s">
        <v>109</v>
      </c>
      <c r="E23" s="5" t="s">
        <v>17</v>
      </c>
      <c r="F23" s="54">
        <v>45762</v>
      </c>
      <c r="G23" s="6" t="s">
        <v>18</v>
      </c>
      <c r="H23" s="6" t="s">
        <v>105</v>
      </c>
      <c r="I23" s="6" t="s">
        <v>20</v>
      </c>
      <c r="J23" s="5" t="s">
        <v>21</v>
      </c>
      <c r="K23" s="5" t="str">
        <f>IF(I23="YES","CAPA VERIFICATION SHOULD BE SCHEDULED",IF(I23="NO","REMINDER LETTER SHOULD BE SENT",""))</f>
        <v>REMINDER LETTER SHOULD BE SENT</v>
      </c>
      <c r="L23" s="26">
        <v>45748</v>
      </c>
      <c r="M23" s="36" t="s">
        <v>110</v>
      </c>
      <c r="N23" s="28" t="str">
        <f>IF(M23="","",HYPERLINK(M23,B23))</f>
        <v>ALMOND ETHICALS LTD</v>
      </c>
    </row>
    <row r="24" spans="1:15" ht="72.75" hidden="1">
      <c r="A24" s="2">
        <v>25</v>
      </c>
      <c r="B24" s="9" t="s">
        <v>111</v>
      </c>
      <c r="C24" s="10" t="s">
        <v>112</v>
      </c>
      <c r="D24" s="103" t="s">
        <v>113</v>
      </c>
      <c r="E24" s="5" t="s">
        <v>17</v>
      </c>
      <c r="F24" s="54">
        <v>45762</v>
      </c>
      <c r="G24" s="6" t="s">
        <v>18</v>
      </c>
      <c r="H24" s="6" t="s">
        <v>114</v>
      </c>
      <c r="I24" s="6" t="s">
        <v>20</v>
      </c>
      <c r="J24" s="5" t="s">
        <v>21</v>
      </c>
      <c r="K24" s="5" t="str">
        <f>IF(I24="YES","CAPA VERIFICATION SHOULD BE SCHEDULED",IF(I24="NO","REMINDER LETTER SHOULD BE SENT",""))</f>
        <v>REMINDER LETTER SHOULD BE SENT</v>
      </c>
      <c r="L24" s="31">
        <v>45773</v>
      </c>
      <c r="M24" s="27" t="s">
        <v>115</v>
      </c>
      <c r="N24" s="28" t="str">
        <f>IF(M24="","",HYPERLINK(M24,B24))</f>
        <v>EJIMATH PHARMACY LTD.</v>
      </c>
      <c r="O24" s="12"/>
    </row>
    <row r="25" spans="1:15" ht="72.75" hidden="1">
      <c r="A25" s="2">
        <v>26</v>
      </c>
      <c r="B25" s="3" t="s">
        <v>116</v>
      </c>
      <c r="C25" s="8" t="s">
        <v>117</v>
      </c>
      <c r="D25" s="103" t="s">
        <v>118</v>
      </c>
      <c r="E25" s="5" t="s">
        <v>17</v>
      </c>
      <c r="F25" s="54">
        <v>45762</v>
      </c>
      <c r="G25" s="6" t="s">
        <v>18</v>
      </c>
      <c r="H25" s="6" t="s">
        <v>114</v>
      </c>
      <c r="I25" s="6" t="s">
        <v>20</v>
      </c>
      <c r="J25" s="5" t="s">
        <v>21</v>
      </c>
      <c r="K25" s="5" t="str">
        <f>IF(I25="YES","CAPA VERIFICATION SHOULD BE SCHEDULED",IF(I25="NO","REMINDER LETTER SHOULD BE SENT",""))</f>
        <v>REMINDER LETTER SHOULD BE SENT</v>
      </c>
      <c r="L25" s="26">
        <v>45748</v>
      </c>
      <c r="M25" s="27" t="s">
        <v>119</v>
      </c>
      <c r="N25" s="28" t="str">
        <f>IF(M25="","",HYPERLINK(M25,B25))</f>
        <v>NAFRO PHARMA NIG. LTD.</v>
      </c>
    </row>
    <row r="26" spans="1:15" s="48" customFormat="1" ht="87" hidden="1">
      <c r="A26" s="43">
        <v>27</v>
      </c>
      <c r="B26" s="9" t="s">
        <v>120</v>
      </c>
      <c r="C26" s="44" t="s">
        <v>121</v>
      </c>
      <c r="D26" s="104" t="s">
        <v>122</v>
      </c>
      <c r="E26" s="44" t="s">
        <v>17</v>
      </c>
      <c r="F26" s="54">
        <v>45763</v>
      </c>
      <c r="G26" s="6" t="s">
        <v>18</v>
      </c>
      <c r="H26" s="17"/>
      <c r="I26" s="17"/>
      <c r="J26" s="44" t="s">
        <v>21</v>
      </c>
      <c r="K26" s="44" t="str">
        <f>IF(I26="YES","CAPA VERIFICATION SHOULD BE SCHEDULED",IF(I26="NO","REMINDER LETTER SHOULD BE SENT",""))</f>
        <v/>
      </c>
      <c r="L26" s="45">
        <v>45748</v>
      </c>
      <c r="M26" s="46" t="s">
        <v>123</v>
      </c>
      <c r="N26" s="47" t="str">
        <f>IF(M26="","",HYPERLINK(M26,B26))</f>
        <v>THOMPSON &amp; GRACE PHARM. LTD.</v>
      </c>
    </row>
    <row r="27" spans="1:15" ht="87" hidden="1">
      <c r="A27" s="2">
        <v>28</v>
      </c>
      <c r="B27" s="3" t="s">
        <v>124</v>
      </c>
      <c r="C27" s="10" t="s">
        <v>125</v>
      </c>
      <c r="D27" s="103" t="s">
        <v>126</v>
      </c>
      <c r="E27" s="5" t="s">
        <v>17</v>
      </c>
      <c r="F27" s="54">
        <v>45763</v>
      </c>
      <c r="G27" s="6" t="s">
        <v>18</v>
      </c>
      <c r="H27" s="6" t="s">
        <v>127</v>
      </c>
      <c r="I27" s="6" t="s">
        <v>36</v>
      </c>
      <c r="J27" s="5" t="s">
        <v>9</v>
      </c>
      <c r="K27" s="5" t="str">
        <f>IF(I27="YES","CAPA VERIFICATION SHOULD BE SCHEDULED",IF(I27="NO","REMINDER LETTER SHOULD BE SENT",""))</f>
        <v>CAPA VERIFICATION SHOULD BE SCHEDULED</v>
      </c>
      <c r="L27" s="26">
        <v>45748</v>
      </c>
      <c r="M27" s="27" t="s">
        <v>128</v>
      </c>
      <c r="N27" s="28" t="str">
        <f>IF(M27="","",HYPERLINK(M27,B27))</f>
        <v>GLOBAL ONE WORD HEALTHCARE</v>
      </c>
    </row>
    <row r="28" spans="1:15" ht="72.75" hidden="1">
      <c r="A28" s="2">
        <v>29</v>
      </c>
      <c r="B28" s="3" t="s">
        <v>129</v>
      </c>
      <c r="C28" s="10" t="s">
        <v>130</v>
      </c>
      <c r="D28" s="103" t="s">
        <v>131</v>
      </c>
      <c r="E28" s="5" t="s">
        <v>17</v>
      </c>
      <c r="F28" s="54">
        <v>45763</v>
      </c>
      <c r="G28" s="6" t="s">
        <v>18</v>
      </c>
      <c r="H28" s="6" t="s">
        <v>127</v>
      </c>
      <c r="I28" s="6" t="s">
        <v>36</v>
      </c>
      <c r="J28" s="5" t="s">
        <v>9</v>
      </c>
      <c r="K28" s="5" t="str">
        <f>IF(I28="YES","CAPA VERIFICATION SHOULD BE SCHEDULED",IF(I28="NO","REMINDER LETTER SHOULD BE SENT",""))</f>
        <v>CAPA VERIFICATION SHOULD BE SCHEDULED</v>
      </c>
      <c r="L28" s="26">
        <v>45748</v>
      </c>
      <c r="M28" s="27" t="s">
        <v>132</v>
      </c>
      <c r="N28" s="28" t="str">
        <f>IF(M28="","",HYPERLINK(M28,B28))</f>
        <v>LABETA DRUGS LTD.</v>
      </c>
    </row>
    <row r="29" spans="1:15" ht="87" hidden="1">
      <c r="A29" s="2">
        <v>30</v>
      </c>
      <c r="B29" s="9" t="s">
        <v>133</v>
      </c>
      <c r="C29" s="10" t="s">
        <v>134</v>
      </c>
      <c r="D29" s="103">
        <v>8033183813</v>
      </c>
      <c r="E29" s="5" t="s">
        <v>17</v>
      </c>
      <c r="F29" s="54">
        <v>45764</v>
      </c>
      <c r="G29" s="6" t="s">
        <v>47</v>
      </c>
      <c r="H29" s="6"/>
      <c r="I29" s="6" t="s">
        <v>36</v>
      </c>
      <c r="J29" s="5" t="s">
        <v>135</v>
      </c>
      <c r="K29" s="5" t="str">
        <f>IF(I29="YES","CAPA VERIFICATION SHOULD BE SCHEDULED",IF(I29="NO","REMINDER LETTER SHOULD BE SENT",""))</f>
        <v>CAPA VERIFICATION SHOULD BE SCHEDULED</v>
      </c>
      <c r="L29" s="26">
        <v>46113</v>
      </c>
      <c r="M29" s="27" t="s">
        <v>136</v>
      </c>
      <c r="N29" s="28" t="str">
        <f>IF(M29="","",HYPERLINK(M29,B29))</f>
        <v>MULTIBASE PHARMA IND. NIG. LTD</v>
      </c>
    </row>
    <row r="30" spans="1:15" ht="87" hidden="1">
      <c r="A30" s="2">
        <v>31</v>
      </c>
      <c r="B30" s="3" t="s">
        <v>137</v>
      </c>
      <c r="C30" s="10" t="s">
        <v>95</v>
      </c>
      <c r="D30" s="103" t="s">
        <v>138</v>
      </c>
      <c r="E30" s="5" t="s">
        <v>34</v>
      </c>
      <c r="F30" s="54">
        <v>45764</v>
      </c>
      <c r="G30" s="6" t="s">
        <v>47</v>
      </c>
      <c r="H30" s="6"/>
      <c r="I30" s="6"/>
      <c r="J30" s="5" t="s">
        <v>49</v>
      </c>
      <c r="K30" s="5" t="s">
        <v>139</v>
      </c>
      <c r="L30" s="35" t="s">
        <v>87</v>
      </c>
      <c r="M30" s="27" t="s">
        <v>140</v>
      </c>
      <c r="N30" s="28" t="str">
        <f>IF(M30="","",HYPERLINK(M30,B30))</f>
        <v>GENERICS &amp; SPECIALITIES LTD (CAPA)</v>
      </c>
    </row>
    <row r="31" spans="1:15" ht="87" hidden="1">
      <c r="A31" s="2">
        <v>32</v>
      </c>
      <c r="B31" s="9" t="s">
        <v>141</v>
      </c>
      <c r="C31" s="10" t="s">
        <v>142</v>
      </c>
      <c r="D31" s="103" t="s">
        <v>143</v>
      </c>
      <c r="E31" s="5" t="s">
        <v>17</v>
      </c>
      <c r="F31" s="54">
        <v>45764</v>
      </c>
      <c r="G31" s="6" t="s">
        <v>18</v>
      </c>
      <c r="H31" s="6" t="s">
        <v>144</v>
      </c>
      <c r="I31" s="6" t="s">
        <v>36</v>
      </c>
      <c r="J31" s="5" t="s">
        <v>9</v>
      </c>
      <c r="K31" s="5" t="s">
        <v>86</v>
      </c>
      <c r="L31" s="35" t="s">
        <v>87</v>
      </c>
      <c r="M31" s="27" t="s">
        <v>145</v>
      </c>
      <c r="N31" s="28" t="str">
        <f>IF(M31="","",HYPERLINK(M31,B31))</f>
        <v>NANCIL NIG. LTD.</v>
      </c>
    </row>
    <row r="32" spans="1:15" ht="72.75" hidden="1">
      <c r="A32" s="2">
        <v>33</v>
      </c>
      <c r="B32" s="9" t="s">
        <v>146</v>
      </c>
      <c r="C32" s="10" t="s">
        <v>147</v>
      </c>
      <c r="D32" s="103" t="s">
        <v>148</v>
      </c>
      <c r="E32" s="5" t="s">
        <v>34</v>
      </c>
      <c r="F32" s="54">
        <v>45764</v>
      </c>
      <c r="G32" s="6" t="s">
        <v>18</v>
      </c>
      <c r="H32" s="6" t="s">
        <v>127</v>
      </c>
      <c r="I32" s="6" t="s">
        <v>36</v>
      </c>
      <c r="J32" s="5" t="s">
        <v>9</v>
      </c>
      <c r="K32" s="5" t="str">
        <f>IF(I32="YES","CAPA VERIFICATION SHOULD BE SCHEDULED",IF(I32="NO","REMINDER LETTER SHOULD BE SENT",""))</f>
        <v>CAPA VERIFICATION SHOULD BE SCHEDULED</v>
      </c>
      <c r="L32" s="26">
        <v>45748</v>
      </c>
      <c r="M32" s="27" t="s">
        <v>149</v>
      </c>
      <c r="N32" s="28" t="str">
        <f>IF(M32="","",HYPERLINK(M32,B32))</f>
        <v>TETA PHARM. LTD.(CAPA)</v>
      </c>
      <c r="O32" s="12"/>
    </row>
    <row r="33" spans="1:15" ht="15.75" hidden="1">
      <c r="A33" s="2">
        <v>34</v>
      </c>
      <c r="B33" s="13" t="s">
        <v>150</v>
      </c>
      <c r="C33" s="10"/>
      <c r="D33" s="105" t="s">
        <v>151</v>
      </c>
      <c r="E33" s="5" t="s">
        <v>17</v>
      </c>
      <c r="F33" s="54">
        <v>45762</v>
      </c>
      <c r="G33" s="6" t="s">
        <v>47</v>
      </c>
      <c r="H33" s="6"/>
      <c r="I33" s="6"/>
      <c r="J33" s="5" t="s">
        <v>21</v>
      </c>
      <c r="K33" s="5" t="str">
        <f>IF(I33="YES","CAPA VERIFICATION SHOULD BE SCHEDULED",IF(I33="NO","REMINDER LETTER SHOULD BE SENT",""))</f>
        <v/>
      </c>
      <c r="L33" s="26">
        <v>46113</v>
      </c>
      <c r="N33" s="28" t="str">
        <f>IF(M33="","",HYPERLINK(M33,B33))</f>
        <v/>
      </c>
    </row>
    <row r="34" spans="1:15" ht="72.75" hidden="1">
      <c r="A34" s="2">
        <v>35</v>
      </c>
      <c r="B34" s="13" t="s">
        <v>152</v>
      </c>
      <c r="C34" s="10" t="s">
        <v>153</v>
      </c>
      <c r="D34" s="103">
        <v>8036005454</v>
      </c>
      <c r="E34" s="5" t="s">
        <v>17</v>
      </c>
      <c r="F34" s="54">
        <v>45797</v>
      </c>
      <c r="G34" s="6" t="s">
        <v>18</v>
      </c>
      <c r="H34" s="6" t="s">
        <v>154</v>
      </c>
      <c r="I34" s="6" t="s">
        <v>20</v>
      </c>
      <c r="J34" s="5" t="s">
        <v>21</v>
      </c>
      <c r="K34" s="5" t="str">
        <f>IF(I34="YES","CAPA VERIFICATION SHOULD BE SCHEDULED",IF(I34="NO","REMINDER LETTER SHOULD BE SENT",""))</f>
        <v>REMINDER LETTER SHOULD BE SENT</v>
      </c>
      <c r="L34" s="26">
        <v>45778</v>
      </c>
      <c r="M34" s="27" t="s">
        <v>155</v>
      </c>
      <c r="N34" s="28" t="str">
        <f>IF(M34="","",HYPERLINK(M34,B34))</f>
        <v>ORANGE DRUGS LTD.</v>
      </c>
      <c r="O34" s="7"/>
    </row>
    <row r="35" spans="1:15" ht="87" hidden="1">
      <c r="A35" s="2">
        <v>36</v>
      </c>
      <c r="B35" s="13" t="s">
        <v>156</v>
      </c>
      <c r="C35" s="10" t="s">
        <v>157</v>
      </c>
      <c r="D35" s="103" t="s">
        <v>158</v>
      </c>
      <c r="E35" s="5" t="s">
        <v>17</v>
      </c>
      <c r="F35" s="54">
        <v>45797</v>
      </c>
      <c r="G35" s="6" t="s">
        <v>18</v>
      </c>
      <c r="H35" s="6" t="s">
        <v>154</v>
      </c>
      <c r="I35" s="6" t="s">
        <v>20</v>
      </c>
      <c r="J35" s="5" t="s">
        <v>21</v>
      </c>
      <c r="K35" s="5" t="str">
        <f>IF(I35="YES","CAPA VERIFICATION SHOULD BE SCHEDULED",IF(I35="NO","REMINDER LETTER SHOULD BE SENT",""))</f>
        <v>REMINDER LETTER SHOULD BE SENT</v>
      </c>
      <c r="L35" s="26">
        <v>45778</v>
      </c>
      <c r="M35" s="27" t="s">
        <v>159</v>
      </c>
      <c r="N35" s="28" t="str">
        <f>IF(M35="","",HYPERLINK(M35,B35))</f>
        <v>GLOBAL HEALTHCARE LTD</v>
      </c>
    </row>
    <row r="36" spans="1:15" ht="72.75" hidden="1">
      <c r="A36" s="2">
        <v>37</v>
      </c>
      <c r="B36" s="13" t="s">
        <v>160</v>
      </c>
      <c r="C36" s="10" t="s">
        <v>161</v>
      </c>
      <c r="D36" s="103" t="s">
        <v>162</v>
      </c>
      <c r="E36" s="5" t="s">
        <v>17</v>
      </c>
      <c r="F36" s="54">
        <v>45797</v>
      </c>
      <c r="G36" s="6" t="s">
        <v>18</v>
      </c>
      <c r="H36" s="6" t="s">
        <v>154</v>
      </c>
      <c r="I36" s="6" t="s">
        <v>20</v>
      </c>
      <c r="J36" s="5" t="s">
        <v>21</v>
      </c>
      <c r="K36" s="5" t="str">
        <f>IF(I36="YES","CAPA VERIFICATION SHOULD BE SCHEDULED",IF(I36="NO","REMINDER LETTER SHOULD BE SENT",""))</f>
        <v>REMINDER LETTER SHOULD BE SENT</v>
      </c>
      <c r="L36" s="26">
        <v>45778</v>
      </c>
      <c r="M36" s="33" t="s">
        <v>163</v>
      </c>
      <c r="N36" s="28" t="str">
        <f>IF(M36="","",HYPERLINK(M36,B36))</f>
        <v>OXUS PHARMA LTD.</v>
      </c>
    </row>
    <row r="37" spans="1:15" ht="87" hidden="1">
      <c r="A37" s="2">
        <v>38</v>
      </c>
      <c r="B37" s="3" t="s">
        <v>164</v>
      </c>
      <c r="C37" s="10" t="s">
        <v>165</v>
      </c>
      <c r="D37" s="103" t="s">
        <v>166</v>
      </c>
      <c r="E37" s="5" t="s">
        <v>17</v>
      </c>
      <c r="F37" s="54">
        <v>45797</v>
      </c>
      <c r="G37" s="6" t="s">
        <v>18</v>
      </c>
      <c r="H37" s="6" t="s">
        <v>167</v>
      </c>
      <c r="I37" s="6" t="s">
        <v>20</v>
      </c>
      <c r="J37" s="5" t="s">
        <v>21</v>
      </c>
      <c r="K37" s="5" t="str">
        <f>IF(I37="YES","CAPA VERIFICATION SHOULD BE SCHEDULED",IF(I37="NO","REMINDER LETTER SHOULD BE SENT",""))</f>
        <v>REMINDER LETTER SHOULD BE SENT</v>
      </c>
      <c r="L37" s="26">
        <v>45778</v>
      </c>
      <c r="M37" s="27" t="s">
        <v>168</v>
      </c>
      <c r="N37" s="28" t="str">
        <f>IF(M37="","",HYPERLINK(M37,B37))</f>
        <v>MICRONOVA PHARM. INDT. LTD</v>
      </c>
    </row>
    <row r="38" spans="1:15" ht="87" hidden="1">
      <c r="A38" s="2">
        <v>39</v>
      </c>
      <c r="B38" s="3" t="s">
        <v>169</v>
      </c>
      <c r="C38" s="10" t="s">
        <v>170</v>
      </c>
      <c r="D38" s="103" t="s">
        <v>171</v>
      </c>
      <c r="E38" s="5" t="s">
        <v>17</v>
      </c>
      <c r="F38" s="54">
        <v>45797</v>
      </c>
      <c r="G38" s="6" t="s">
        <v>18</v>
      </c>
      <c r="H38" s="6" t="s">
        <v>172</v>
      </c>
      <c r="I38" s="6" t="s">
        <v>20</v>
      </c>
      <c r="J38" s="5" t="s">
        <v>21</v>
      </c>
      <c r="K38" s="5" t="str">
        <f>IF(I38="YES","CAPA VERIFICATION SHOULD BE SCHEDULED",IF(I38="NO","REMINDER LETTER SHOULD BE SENT",""))</f>
        <v>REMINDER LETTER SHOULD BE SENT</v>
      </c>
      <c r="L38" s="26">
        <v>45778</v>
      </c>
      <c r="M38" s="63" t="s">
        <v>173</v>
      </c>
      <c r="N38" s="28" t="str">
        <f>IF(M38="","",HYPERLINK(M38,B38))</f>
        <v xml:space="preserve">TURNER WRIGHT LTD. </v>
      </c>
    </row>
    <row r="39" spans="1:15" ht="72.75" hidden="1">
      <c r="A39" s="2">
        <v>40</v>
      </c>
      <c r="B39" s="9" t="s">
        <v>174</v>
      </c>
      <c r="C39" s="10" t="s">
        <v>175</v>
      </c>
      <c r="D39" s="103" t="s">
        <v>176</v>
      </c>
      <c r="E39" s="5" t="s">
        <v>17</v>
      </c>
      <c r="F39" s="54">
        <v>45799</v>
      </c>
      <c r="G39" s="6" t="s">
        <v>18</v>
      </c>
      <c r="H39" s="6" t="s">
        <v>177</v>
      </c>
      <c r="I39" s="6" t="s">
        <v>20</v>
      </c>
      <c r="J39" s="5" t="s">
        <v>21</v>
      </c>
      <c r="K39" s="5" t="str">
        <f>IF(I39="YES","CAPA VERIFICATION SHOULD BE SCHEDULED",IF(I39="NO","REMINDER LETTER SHOULD BE SENT",""))</f>
        <v>REMINDER LETTER SHOULD BE SENT</v>
      </c>
      <c r="L39" s="26">
        <v>45778</v>
      </c>
      <c r="M39" s="27" t="s">
        <v>178</v>
      </c>
      <c r="N39" s="28" t="str">
        <f>IF(M39="","",HYPERLINK(M39,B39))</f>
        <v>BRIAN MUNRO LTD</v>
      </c>
    </row>
    <row r="40" spans="1:15" ht="87" hidden="1">
      <c r="A40" s="2">
        <v>41</v>
      </c>
      <c r="B40" s="9" t="s">
        <v>179</v>
      </c>
      <c r="C40" s="10" t="s">
        <v>180</v>
      </c>
      <c r="D40" s="103" t="s">
        <v>181</v>
      </c>
      <c r="E40" s="5" t="s">
        <v>34</v>
      </c>
      <c r="F40" s="54">
        <v>45799</v>
      </c>
      <c r="G40" s="6" t="s">
        <v>47</v>
      </c>
      <c r="H40" s="6" t="s">
        <v>177</v>
      </c>
      <c r="I40" s="6" t="s">
        <v>36</v>
      </c>
      <c r="J40" s="5" t="s">
        <v>9</v>
      </c>
      <c r="K40" s="5" t="s">
        <v>49</v>
      </c>
      <c r="L40" s="26">
        <v>45778</v>
      </c>
      <c r="M40" s="27" t="s">
        <v>182</v>
      </c>
      <c r="N40" s="28" t="str">
        <f>IF(M40="","",HYPERLINK(M40,B40))</f>
        <v>SAGAR VITACEUTICALS (CAPA)</v>
      </c>
    </row>
    <row r="41" spans="1:15" ht="48" hidden="1" customHeight="1">
      <c r="A41" s="2">
        <v>42</v>
      </c>
      <c r="B41" s="9" t="s">
        <v>183</v>
      </c>
      <c r="C41" s="10" t="s">
        <v>184</v>
      </c>
      <c r="D41" s="103" t="s">
        <v>185</v>
      </c>
      <c r="E41" s="5" t="s">
        <v>17</v>
      </c>
      <c r="F41" s="54">
        <v>45799</v>
      </c>
      <c r="G41" s="6" t="s">
        <v>18</v>
      </c>
      <c r="H41" s="6" t="s">
        <v>177</v>
      </c>
      <c r="I41" s="6" t="s">
        <v>36</v>
      </c>
      <c r="J41" s="5" t="s">
        <v>9</v>
      </c>
      <c r="K41" s="5" t="str">
        <f>IF(I41="YES","CAPA VERIFICATION SHOULD BE SCHEDULED",IF(I41="NO","REMINDER LETTER SHOULD BE SENT",""))</f>
        <v>CAPA VERIFICATION SHOULD BE SCHEDULED</v>
      </c>
      <c r="L41" s="26">
        <v>46143</v>
      </c>
      <c r="M41" s="27" t="s">
        <v>186</v>
      </c>
      <c r="N41" s="28" t="str">
        <f>IF(M41="","",HYPERLINK(M41,B41))</f>
        <v>NEIMETH INTERNATIONAL PHARMACEUTICALS PLC</v>
      </c>
      <c r="O41" s="7"/>
    </row>
    <row r="42" spans="1:15" ht="32.25" hidden="1" customHeight="1">
      <c r="A42" s="2">
        <v>43</v>
      </c>
      <c r="B42" s="9" t="s">
        <v>187</v>
      </c>
      <c r="C42" s="10" t="s">
        <v>188</v>
      </c>
      <c r="D42" s="103" t="s">
        <v>189</v>
      </c>
      <c r="E42" s="5" t="s">
        <v>34</v>
      </c>
      <c r="F42" s="54">
        <v>45799</v>
      </c>
      <c r="G42" s="6" t="s">
        <v>18</v>
      </c>
      <c r="H42" s="6" t="s">
        <v>177</v>
      </c>
      <c r="I42" s="6" t="s">
        <v>20</v>
      </c>
      <c r="J42" s="5" t="s">
        <v>21</v>
      </c>
      <c r="K42" s="5" t="str">
        <f>IF(I42="YES","CAPA VERIFICATION SHOULD BE SCHEDULED",IF(I42="NO","REMINDER LETTER SHOULD BE SENT",""))</f>
        <v>REMINDER LETTER SHOULD BE SENT</v>
      </c>
      <c r="L42" s="26">
        <v>45778</v>
      </c>
      <c r="M42" s="27" t="s">
        <v>190</v>
      </c>
      <c r="N42" s="28" t="str">
        <f>IF(M42="","",HYPERLINK(M42,B42))</f>
        <v>EVERSHINE PHARMACEUTICAL NIG. LTD. (CAPA)</v>
      </c>
    </row>
    <row r="43" spans="1:15" ht="72.75" hidden="1">
      <c r="A43" s="2">
        <v>44</v>
      </c>
      <c r="B43" s="9" t="s">
        <v>191</v>
      </c>
      <c r="C43" s="10" t="s">
        <v>192</v>
      </c>
      <c r="D43" s="103" t="s">
        <v>193</v>
      </c>
      <c r="E43" s="5" t="s">
        <v>17</v>
      </c>
      <c r="F43" s="54">
        <v>45799</v>
      </c>
      <c r="G43" s="6" t="s">
        <v>47</v>
      </c>
      <c r="H43" s="6" t="s">
        <v>48</v>
      </c>
      <c r="I43" s="6" t="s">
        <v>20</v>
      </c>
      <c r="J43" s="5" t="s">
        <v>49</v>
      </c>
      <c r="K43" s="5" t="s">
        <v>49</v>
      </c>
      <c r="L43" s="35" t="s">
        <v>87</v>
      </c>
      <c r="M43" s="37" t="s">
        <v>194</v>
      </c>
      <c r="N43" s="28" t="str">
        <f>IF(M43="","",HYPERLINK(M43,B43))</f>
        <v>ASSENE-LABOREX LTD</v>
      </c>
    </row>
    <row r="44" spans="1:15" ht="72.75" hidden="1">
      <c r="A44" s="2">
        <v>45</v>
      </c>
      <c r="B44" s="9" t="s">
        <v>195</v>
      </c>
      <c r="C44" s="10" t="s">
        <v>196</v>
      </c>
      <c r="D44" s="103" t="s">
        <v>197</v>
      </c>
      <c r="E44" s="5" t="s">
        <v>17</v>
      </c>
      <c r="F44" s="54">
        <v>45799</v>
      </c>
      <c r="G44" s="6" t="s">
        <v>18</v>
      </c>
      <c r="H44" s="6" t="s">
        <v>48</v>
      </c>
      <c r="I44" s="6" t="s">
        <v>20</v>
      </c>
      <c r="J44" s="5" t="s">
        <v>21</v>
      </c>
      <c r="K44" s="5" t="str">
        <f>IF(I44="YES","CAPA VERIFICATION SHOULD BE SCHEDULED",IF(I44="NO","REMINDER LETTER SHOULD BE SENT",""))</f>
        <v>REMINDER LETTER SHOULD BE SENT</v>
      </c>
      <c r="L44" s="26">
        <v>45778</v>
      </c>
      <c r="M44" s="37" t="s">
        <v>198</v>
      </c>
      <c r="N44" s="28" t="str">
        <f>IF(M44="","",HYPERLINK(M44,B44))</f>
        <v>PEMASON PHARMACY LTD</v>
      </c>
    </row>
    <row r="45" spans="1:15" ht="72.75" hidden="1">
      <c r="A45" s="2">
        <v>46</v>
      </c>
      <c r="B45" s="3" t="s">
        <v>199</v>
      </c>
      <c r="C45" s="10" t="s">
        <v>200</v>
      </c>
      <c r="D45" s="103" t="s">
        <v>201</v>
      </c>
      <c r="E45" s="5" t="s">
        <v>17</v>
      </c>
      <c r="F45" s="54">
        <v>45799</v>
      </c>
      <c r="G45" s="6" t="s">
        <v>18</v>
      </c>
      <c r="H45" s="6" t="s">
        <v>48</v>
      </c>
      <c r="I45" s="6" t="s">
        <v>20</v>
      </c>
      <c r="J45" s="5" t="s">
        <v>21</v>
      </c>
      <c r="K45" s="5" t="str">
        <f>IF(I45="YES","CAPA VERIFICATION SHOULD BE SCHEDULED",IF(I45="NO","REMINDER LETTER SHOULD BE SENT",""))</f>
        <v>REMINDER LETTER SHOULD BE SENT</v>
      </c>
      <c r="L45" s="26">
        <v>45778</v>
      </c>
      <c r="M45" s="36" t="s">
        <v>202</v>
      </c>
      <c r="N45" s="28" t="str">
        <f>IF(M45="","",HYPERLINK(M45,B45))</f>
        <v>NKOYO CHEMIST</v>
      </c>
    </row>
    <row r="46" spans="1:15" ht="87" hidden="1">
      <c r="A46" s="2">
        <v>47</v>
      </c>
      <c r="B46" s="14" t="s">
        <v>203</v>
      </c>
      <c r="C46" s="5" t="s">
        <v>204</v>
      </c>
      <c r="D46" s="103" t="s">
        <v>205</v>
      </c>
      <c r="E46" s="5" t="s">
        <v>17</v>
      </c>
      <c r="F46" s="54">
        <v>45827</v>
      </c>
      <c r="G46" s="6" t="s">
        <v>47</v>
      </c>
      <c r="H46" s="6" t="s">
        <v>206</v>
      </c>
      <c r="I46" s="6" t="s">
        <v>20</v>
      </c>
      <c r="J46" s="5" t="s">
        <v>21</v>
      </c>
      <c r="K46" s="5" t="str">
        <f>IF(I46="YES","CAPA VERIFICATION SHOULD BE SCHEDULED",IF(I46="NO","REMINDER LETTER SHOULD BE SENT",""))</f>
        <v>REMINDER LETTER SHOULD BE SENT</v>
      </c>
      <c r="L46" s="26">
        <v>46174</v>
      </c>
      <c r="M46" s="27" t="s">
        <v>207</v>
      </c>
      <c r="N46" s="28" t="str">
        <f>IF(M46="","",HYPERLINK(M46,B46))</f>
        <v>EVANS THERAPEUTICS</v>
      </c>
    </row>
    <row r="47" spans="1:15" ht="87" hidden="1">
      <c r="A47" s="2">
        <v>48</v>
      </c>
      <c r="B47" s="14" t="s">
        <v>208</v>
      </c>
      <c r="C47" s="5" t="s">
        <v>209</v>
      </c>
      <c r="D47" s="103" t="s">
        <v>210</v>
      </c>
      <c r="E47" s="5" t="s">
        <v>17</v>
      </c>
      <c r="F47" s="54">
        <v>45827</v>
      </c>
      <c r="G47" s="6" t="s">
        <v>18</v>
      </c>
      <c r="H47" s="6" t="s">
        <v>206</v>
      </c>
      <c r="I47" s="6" t="s">
        <v>20</v>
      </c>
      <c r="J47" s="5" t="s">
        <v>21</v>
      </c>
      <c r="K47" s="5" t="str">
        <f>IF(I47="YES","CAPA VERIFICATION SHOULD BE SCHEDULED",IF(I47="NO","REMINDER LETTER SHOULD BE SENT",""))</f>
        <v>REMINDER LETTER SHOULD BE SENT</v>
      </c>
      <c r="L47" s="26">
        <v>45809</v>
      </c>
      <c r="M47" s="33" t="s">
        <v>211</v>
      </c>
      <c r="N47" s="28" t="str">
        <f>IF(M47="","",HYPERLINK(M47,B47))</f>
        <v>STRIDES LIFESCIENCES LTD</v>
      </c>
    </row>
    <row r="48" spans="1:15" ht="72.75" hidden="1">
      <c r="A48" s="2">
        <v>49</v>
      </c>
      <c r="B48" s="13" t="s">
        <v>212</v>
      </c>
      <c r="C48" s="5" t="s">
        <v>213</v>
      </c>
      <c r="D48" s="103" t="s">
        <v>214</v>
      </c>
      <c r="E48" s="5" t="s">
        <v>17</v>
      </c>
      <c r="F48" s="54">
        <v>45827</v>
      </c>
      <c r="G48" s="6" t="s">
        <v>18</v>
      </c>
      <c r="H48" s="6" t="s">
        <v>206</v>
      </c>
      <c r="I48" s="6" t="s">
        <v>20</v>
      </c>
      <c r="J48" s="5" t="s">
        <v>21</v>
      </c>
      <c r="K48" s="5" t="str">
        <f>IF(I48="YES","CAPA VERIFICATION SHOULD BE SCHEDULED",IF(I48="NO","REMINDER LETTER SHOULD BE SENT",""))</f>
        <v>REMINDER LETTER SHOULD BE SENT</v>
      </c>
      <c r="L48" s="26">
        <v>45809</v>
      </c>
      <c r="M48" s="27" t="s">
        <v>215</v>
      </c>
      <c r="N48" s="28" t="str">
        <f>IF(M48="","",HYPERLINK(M48,B48))</f>
        <v>KUNIMED PHARMACHEM LTD</v>
      </c>
    </row>
    <row r="49" spans="1:15" ht="72.75">
      <c r="A49" s="2">
        <v>50</v>
      </c>
      <c r="B49" s="14" t="s">
        <v>216</v>
      </c>
      <c r="C49" s="5" t="s">
        <v>217</v>
      </c>
      <c r="D49" s="103" t="s">
        <v>218</v>
      </c>
      <c r="E49" s="5" t="s">
        <v>17</v>
      </c>
      <c r="F49" s="54">
        <v>45828</v>
      </c>
      <c r="G49" s="6" t="s">
        <v>81</v>
      </c>
      <c r="H49" s="5" t="s">
        <v>219</v>
      </c>
      <c r="I49" s="5" t="s">
        <v>20</v>
      </c>
      <c r="J49" s="5" t="s">
        <v>21</v>
      </c>
      <c r="K49" s="5" t="str">
        <f>IF(I49="YES","CAPA VERIFICATION SHOULD BE SCHEDULED",IF(I49="NO","REMINDER LETTER SHOULD BE SENT",""))</f>
        <v>REMINDER LETTER SHOULD BE SENT</v>
      </c>
      <c r="L49" s="26">
        <v>46174</v>
      </c>
      <c r="M49" s="27" t="s">
        <v>220</v>
      </c>
      <c r="N49" s="28" t="str">
        <f>IF(M49="","",HYPERLINK(M49,B49))</f>
        <v>PACMAI INTL LTD</v>
      </c>
    </row>
    <row r="50" spans="1:15" ht="72.75" hidden="1">
      <c r="A50" s="2">
        <v>51</v>
      </c>
      <c r="B50" s="14" t="s">
        <v>221</v>
      </c>
      <c r="C50" s="5" t="s">
        <v>222</v>
      </c>
      <c r="D50" s="103" t="s">
        <v>223</v>
      </c>
      <c r="E50" s="5" t="s">
        <v>17</v>
      </c>
      <c r="F50" s="54">
        <v>45828</v>
      </c>
      <c r="G50" s="6" t="s">
        <v>18</v>
      </c>
      <c r="H50" s="6" t="s">
        <v>219</v>
      </c>
      <c r="I50" s="6" t="s">
        <v>20</v>
      </c>
      <c r="J50" s="5" t="s">
        <v>21</v>
      </c>
      <c r="K50" s="5" t="str">
        <f>IF(I50="YES","CAPA VERIFICATION SHOULD BE SCHEDULED",IF(I50="NO","REMINDER LETTER SHOULD BE SENT",""))</f>
        <v>REMINDER LETTER SHOULD BE SENT</v>
      </c>
      <c r="L50" s="26">
        <v>45809</v>
      </c>
      <c r="M50" s="33" t="s">
        <v>224</v>
      </c>
      <c r="N50" s="28" t="str">
        <f>IF(M50="","",HYPERLINK(M50,B50))</f>
        <v>SKIN PHARM LTD</v>
      </c>
    </row>
    <row r="51" spans="1:15" ht="72.75" hidden="1">
      <c r="A51" s="2">
        <v>52</v>
      </c>
      <c r="B51" s="14" t="s">
        <v>225</v>
      </c>
      <c r="C51" s="5" t="s">
        <v>226</v>
      </c>
      <c r="D51" s="103" t="s">
        <v>227</v>
      </c>
      <c r="E51" s="5" t="s">
        <v>17</v>
      </c>
      <c r="F51" s="54">
        <v>45828</v>
      </c>
      <c r="G51" s="6" t="s">
        <v>18</v>
      </c>
      <c r="H51" s="6" t="s">
        <v>219</v>
      </c>
      <c r="I51" s="6" t="s">
        <v>36</v>
      </c>
      <c r="J51" s="5" t="s">
        <v>9</v>
      </c>
      <c r="K51" s="5" t="str">
        <f>IF(I51="YES","CAPA VERIFICATION SHOULD BE SCHEDULED",IF(I51="NO","REMINDER LETTER SHOULD BE SENT",""))</f>
        <v>CAPA VERIFICATION SHOULD BE SCHEDULED</v>
      </c>
      <c r="L51" s="26">
        <v>45809</v>
      </c>
      <c r="M51" s="27" t="s">
        <v>228</v>
      </c>
      <c r="N51" s="28" t="str">
        <f>IF(M51="","",HYPERLINK(M51,B51))</f>
        <v>AMAKIN PHARMACEUTICALS LTD</v>
      </c>
    </row>
    <row r="52" spans="1:15" ht="72.75" hidden="1">
      <c r="A52" s="2">
        <v>53</v>
      </c>
      <c r="B52" s="14" t="s">
        <v>229</v>
      </c>
      <c r="C52" s="5" t="s">
        <v>230</v>
      </c>
      <c r="D52" s="103" t="s">
        <v>231</v>
      </c>
      <c r="E52" s="5" t="s">
        <v>17</v>
      </c>
      <c r="F52" s="54">
        <v>45828</v>
      </c>
      <c r="G52" s="6" t="s">
        <v>18</v>
      </c>
      <c r="H52" s="6" t="s">
        <v>232</v>
      </c>
      <c r="I52" s="6" t="s">
        <v>20</v>
      </c>
      <c r="J52" s="5" t="s">
        <v>21</v>
      </c>
      <c r="K52" s="5" t="str">
        <f>IF(I52="YES","CAPA VERIFICATION SHOULD BE SCHEDULED",IF(I52="NO","REMINDER LETTER SHOULD BE SENT",""))</f>
        <v>REMINDER LETTER SHOULD BE SENT</v>
      </c>
      <c r="L52" s="26">
        <v>45809</v>
      </c>
      <c r="M52" s="27" t="s">
        <v>233</v>
      </c>
      <c r="N52" s="28" t="str">
        <f>IF(M52="","",HYPERLINK(M52,B52))</f>
        <v>MC FORIS PHARM LTD</v>
      </c>
    </row>
    <row r="53" spans="1:15" ht="72.75">
      <c r="A53" s="2">
        <v>54</v>
      </c>
      <c r="B53" s="14" t="s">
        <v>234</v>
      </c>
      <c r="C53" s="5" t="s">
        <v>235</v>
      </c>
      <c r="D53" s="103" t="s">
        <v>236</v>
      </c>
      <c r="E53" s="5" t="s">
        <v>17</v>
      </c>
      <c r="F53" s="54">
        <v>45831</v>
      </c>
      <c r="G53" s="6" t="s">
        <v>81</v>
      </c>
      <c r="H53" s="6" t="s">
        <v>206</v>
      </c>
      <c r="I53" s="6" t="s">
        <v>20</v>
      </c>
      <c r="J53" s="5" t="s">
        <v>21</v>
      </c>
      <c r="K53" s="5" t="str">
        <f>IF(I53="YES","CAPA VERIFICATION SHOULD BE SCHEDULED",IF(I53="NO","REMINDER LETTER SHOULD BE SENT",""))</f>
        <v>REMINDER LETTER SHOULD BE SENT</v>
      </c>
      <c r="L53" s="26">
        <v>45992</v>
      </c>
      <c r="M53" s="27" t="s">
        <v>237</v>
      </c>
      <c r="N53" s="28" t="str">
        <f>IF(M53="","",HYPERLINK(M53,B53))</f>
        <v>BERLIN PHARM &amp; HEALTHCARE</v>
      </c>
    </row>
    <row r="54" spans="1:15" ht="72.75">
      <c r="A54" s="2">
        <v>55</v>
      </c>
      <c r="B54" s="14" t="s">
        <v>238</v>
      </c>
      <c r="C54" s="5" t="s">
        <v>239</v>
      </c>
      <c r="D54" s="103" t="s">
        <v>240</v>
      </c>
      <c r="E54" s="5" t="s">
        <v>17</v>
      </c>
      <c r="F54" s="54">
        <v>45831</v>
      </c>
      <c r="G54" s="6" t="s">
        <v>81</v>
      </c>
      <c r="H54" s="6" t="s">
        <v>206</v>
      </c>
      <c r="I54" s="6" t="s">
        <v>20</v>
      </c>
      <c r="J54" s="5" t="s">
        <v>21</v>
      </c>
      <c r="K54" s="5" t="str">
        <f>IF(I54="YES","CAPA VERIFICATION SHOULD BE SCHEDULED",IF(I54="NO","REMINDER LETTER SHOULD BE SENT",""))</f>
        <v>REMINDER LETTER SHOULD BE SENT</v>
      </c>
      <c r="L54" s="26">
        <v>45992</v>
      </c>
      <c r="M54" s="27" t="s">
        <v>241</v>
      </c>
      <c r="N54" s="28" t="str">
        <f>IF(M54="","",HYPERLINK(M54,B54))</f>
        <v>SUITE LIFE PHARMACEUTICALS</v>
      </c>
    </row>
    <row r="55" spans="1:15" ht="87" hidden="1">
      <c r="A55" s="2">
        <v>56</v>
      </c>
      <c r="B55" s="14" t="s">
        <v>124</v>
      </c>
      <c r="C55" s="5" t="s">
        <v>242</v>
      </c>
      <c r="D55" s="103" t="s">
        <v>243</v>
      </c>
      <c r="E55" s="5" t="s">
        <v>34</v>
      </c>
      <c r="F55" s="54">
        <v>45831</v>
      </c>
      <c r="G55" s="6" t="s">
        <v>47</v>
      </c>
      <c r="H55" s="6" t="s">
        <v>49</v>
      </c>
      <c r="I55" s="6" t="s">
        <v>36</v>
      </c>
      <c r="J55" s="5" t="s">
        <v>49</v>
      </c>
      <c r="K55" s="5" t="s">
        <v>87</v>
      </c>
      <c r="L55" s="26">
        <v>46174</v>
      </c>
      <c r="M55" s="27" t="s">
        <v>128</v>
      </c>
      <c r="N55" s="28" t="str">
        <f>IF(M55="","",HYPERLINK(M55,B55))</f>
        <v>GLOBAL ONE WORD HEALTHCARE</v>
      </c>
    </row>
    <row r="56" spans="1:15" ht="72.75" hidden="1">
      <c r="A56" s="2">
        <v>57</v>
      </c>
      <c r="B56" s="14" t="s">
        <v>244</v>
      </c>
      <c r="C56" s="5" t="s">
        <v>245</v>
      </c>
      <c r="D56" s="103" t="s">
        <v>246</v>
      </c>
      <c r="E56" s="5" t="s">
        <v>17</v>
      </c>
      <c r="F56" s="54">
        <v>45831</v>
      </c>
      <c r="G56" s="6" t="s">
        <v>18</v>
      </c>
      <c r="H56" s="6" t="s">
        <v>219</v>
      </c>
      <c r="I56" s="6" t="s">
        <v>20</v>
      </c>
      <c r="J56" s="5" t="s">
        <v>21</v>
      </c>
      <c r="K56" s="5" t="str">
        <f>IF(I56="YES","CAPA VERIFICATION SHOULD BE SCHEDULED",IF(I56="NO","REMINDER LETTER SHOULD BE SENT",""))</f>
        <v>REMINDER LETTER SHOULD BE SENT</v>
      </c>
      <c r="L56" s="26">
        <v>45809</v>
      </c>
      <c r="M56" s="27" t="s">
        <v>247</v>
      </c>
      <c r="N56" s="28" t="str">
        <f>IF(M56="","",HYPERLINK(M56,B56))</f>
        <v>FRESHBORN INDUSTRIES LTD</v>
      </c>
    </row>
    <row r="57" spans="1:15" ht="72.75">
      <c r="A57" s="2">
        <v>58</v>
      </c>
      <c r="B57" s="14" t="s">
        <v>248</v>
      </c>
      <c r="C57" s="5" t="s">
        <v>249</v>
      </c>
      <c r="D57" s="103" t="s">
        <v>250</v>
      </c>
      <c r="E57" s="5" t="s">
        <v>17</v>
      </c>
      <c r="F57" s="54">
        <v>45831</v>
      </c>
      <c r="G57" s="6" t="s">
        <v>81</v>
      </c>
      <c r="H57" s="6" t="s">
        <v>219</v>
      </c>
      <c r="I57" s="6" t="s">
        <v>20</v>
      </c>
      <c r="J57" s="5" t="s">
        <v>21</v>
      </c>
      <c r="K57" s="5" t="str">
        <f>IF(I57="YES","CAPA VERIFICATION SHOULD BE SCHEDULED",IF(I57="NO","REMINDER LETTER SHOULD BE SENT",""))</f>
        <v>REMINDER LETTER SHOULD BE SENT</v>
      </c>
      <c r="L57" s="26">
        <v>45809</v>
      </c>
      <c r="M57" s="27" t="s">
        <v>251</v>
      </c>
      <c r="N57" s="28" t="str">
        <f>IF(M57="","",HYPERLINK(M57,B57))</f>
        <v>EMINENT DRUGS LIMITED</v>
      </c>
    </row>
    <row r="58" spans="1:15" ht="87" hidden="1">
      <c r="A58" s="2">
        <v>59</v>
      </c>
      <c r="B58" s="14" t="s">
        <v>252</v>
      </c>
      <c r="C58" s="5" t="s">
        <v>253</v>
      </c>
      <c r="D58" s="103" t="s">
        <v>254</v>
      </c>
      <c r="E58" s="5" t="s">
        <v>17</v>
      </c>
      <c r="F58" s="54">
        <v>45855</v>
      </c>
      <c r="G58" s="6" t="s">
        <v>18</v>
      </c>
      <c r="H58" s="6" t="s">
        <v>48</v>
      </c>
      <c r="I58" s="6" t="s">
        <v>20</v>
      </c>
      <c r="J58" s="5" t="s">
        <v>21</v>
      </c>
      <c r="K58" s="5" t="str">
        <f>IF(I58="YES","CAPA VERIFICATION SHOULD BE SCHEDULED",IF(I58="NO","REMINDER LETTER SHOULD BE SENT",""))</f>
        <v>REMINDER LETTER SHOULD BE SENT</v>
      </c>
      <c r="L58" s="26">
        <v>45839</v>
      </c>
      <c r="M58" s="27" t="s">
        <v>255</v>
      </c>
      <c r="N58" s="28" t="str">
        <f>IF(M58="","",HYPERLINK(M58,B58))</f>
        <v>MALVIN MEDICS</v>
      </c>
    </row>
    <row r="59" spans="1:15" ht="72.75">
      <c r="A59" s="2">
        <v>60</v>
      </c>
      <c r="B59" s="14" t="s">
        <v>256</v>
      </c>
      <c r="C59" s="5" t="s">
        <v>257</v>
      </c>
      <c r="D59" s="103" t="s">
        <v>258</v>
      </c>
      <c r="E59" s="5" t="s">
        <v>17</v>
      </c>
      <c r="F59" s="54">
        <v>45855</v>
      </c>
      <c r="G59" s="6" t="s">
        <v>81</v>
      </c>
      <c r="H59" s="6" t="s">
        <v>259</v>
      </c>
      <c r="I59" s="6" t="s">
        <v>36</v>
      </c>
      <c r="J59" s="5" t="s">
        <v>9</v>
      </c>
      <c r="K59" s="5" t="str">
        <f>IF(I59="YES","CAPA VERIFICATION SHOULD BE SCHEDULED",IF(I59="NO","REMINDER LETTER SHOULD BE SENT",""))</f>
        <v>CAPA VERIFICATION SHOULD BE SCHEDULED</v>
      </c>
      <c r="L59" s="26">
        <v>45962</v>
      </c>
      <c r="M59" s="27" t="s">
        <v>260</v>
      </c>
      <c r="N59" s="28" t="str">
        <f>IF(M59="","",HYPERLINK(M59,B59))</f>
        <v>PANGENE BIOTECH</v>
      </c>
      <c r="O59" s="7"/>
    </row>
    <row r="60" spans="1:15" ht="72.75">
      <c r="A60" s="2">
        <v>61</v>
      </c>
      <c r="B60" s="14" t="s">
        <v>261</v>
      </c>
      <c r="C60" s="5" t="s">
        <v>262</v>
      </c>
      <c r="D60" s="103" t="s">
        <v>263</v>
      </c>
      <c r="E60" s="5" t="s">
        <v>17</v>
      </c>
      <c r="F60" s="54">
        <v>45854</v>
      </c>
      <c r="G60" s="6" t="s">
        <v>81</v>
      </c>
      <c r="H60" s="6" t="s">
        <v>264</v>
      </c>
      <c r="I60" s="6" t="s">
        <v>36</v>
      </c>
      <c r="J60" s="5" t="s">
        <v>9</v>
      </c>
      <c r="K60" s="5" t="str">
        <f>IF(I60="YES","CAPA VERIFICATION SHOULD BE SCHEDULED",IF(I60="NO","REMINDER LETTER SHOULD BE SENT",""))</f>
        <v>CAPA VERIFICATION SHOULD BE SCHEDULED</v>
      </c>
      <c r="L60" s="26">
        <v>46023</v>
      </c>
      <c r="M60" s="27" t="s">
        <v>265</v>
      </c>
      <c r="N60" s="28" t="str">
        <f>IF(M60="","",HYPERLINK(M60,B60))</f>
        <v>CEEMIKE PHARMA LTD</v>
      </c>
      <c r="O60" s="7"/>
    </row>
    <row r="61" spans="1:15" ht="87">
      <c r="A61" s="2">
        <v>62</v>
      </c>
      <c r="B61" s="14" t="s">
        <v>266</v>
      </c>
      <c r="C61" s="5" t="s">
        <v>267</v>
      </c>
      <c r="D61" s="103" t="s">
        <v>268</v>
      </c>
      <c r="E61" s="5" t="s">
        <v>17</v>
      </c>
      <c r="F61" s="54">
        <v>45855</v>
      </c>
      <c r="G61" s="6" t="s">
        <v>81</v>
      </c>
      <c r="H61" s="6" t="s">
        <v>259</v>
      </c>
      <c r="I61" s="6" t="s">
        <v>20</v>
      </c>
      <c r="J61" s="5" t="s">
        <v>21</v>
      </c>
      <c r="K61" s="5" t="str">
        <f>IF(I61="YES","CAPA VERIFICATION SHOULD BE SCHEDULED",IF(I61="NO","REMINDER LETTER SHOULD BE SENT",""))</f>
        <v>REMINDER LETTER SHOULD BE SENT</v>
      </c>
      <c r="L61" s="26">
        <v>46023</v>
      </c>
      <c r="M61" s="27" t="s">
        <v>269</v>
      </c>
      <c r="N61" s="28" t="str">
        <f>IF(M61="","",HYPERLINK(M61,B61))</f>
        <v>TOC PHARMACEUTICALS</v>
      </c>
    </row>
    <row r="62" spans="1:15" ht="72.75" hidden="1">
      <c r="A62" s="2">
        <v>63</v>
      </c>
      <c r="B62" s="14" t="s">
        <v>270</v>
      </c>
      <c r="C62" s="5" t="s">
        <v>271</v>
      </c>
      <c r="D62" s="103" t="s">
        <v>272</v>
      </c>
      <c r="E62" s="5" t="s">
        <v>17</v>
      </c>
      <c r="F62" s="54">
        <v>45856</v>
      </c>
      <c r="G62" s="6" t="s">
        <v>18</v>
      </c>
      <c r="H62" s="6" t="s">
        <v>259</v>
      </c>
      <c r="I62" s="6" t="s">
        <v>20</v>
      </c>
      <c r="J62" s="5" t="s">
        <v>21</v>
      </c>
      <c r="K62" s="5" t="str">
        <f>IF(I62="YES","CAPA VERIFICATION SHOULD BE SCHEDULED",IF(I62="NO","REMINDER LETTER SHOULD BE SENT",""))</f>
        <v>REMINDER LETTER SHOULD BE SENT</v>
      </c>
      <c r="L62" s="26">
        <v>45839</v>
      </c>
      <c r="M62" s="50" t="s">
        <v>273</v>
      </c>
      <c r="N62" s="49" t="str">
        <f>IF(M62="","",HYPERLINK(M62,B62))</f>
        <v>GOLDEN GAZELLE</v>
      </c>
    </row>
    <row r="63" spans="1:15" ht="72.75" hidden="1">
      <c r="A63" s="2">
        <v>64</v>
      </c>
      <c r="B63" s="14" t="s">
        <v>65</v>
      </c>
      <c r="C63" s="5" t="s">
        <v>274</v>
      </c>
      <c r="D63" s="103" t="s">
        <v>275</v>
      </c>
      <c r="E63" s="5" t="s">
        <v>34</v>
      </c>
      <c r="F63" s="54">
        <v>45894</v>
      </c>
      <c r="G63" s="6" t="s">
        <v>47</v>
      </c>
      <c r="H63" s="6" t="s">
        <v>276</v>
      </c>
      <c r="I63" s="6" t="s">
        <v>20</v>
      </c>
      <c r="J63" s="5" t="s">
        <v>21</v>
      </c>
      <c r="K63" s="5" t="str">
        <f>IF(I63="YES","CAPA VERIFICATION SHOULD BE SCHEDULED",IF(I63="NO","REMINDER LETTER SHOULD BE SENT",""))</f>
        <v>REMINDER LETTER SHOULD BE SENT</v>
      </c>
      <c r="L63" s="26">
        <v>46600</v>
      </c>
      <c r="M63" s="36" t="s">
        <v>277</v>
      </c>
      <c r="N63" s="28" t="str">
        <f>IF(M63="","",HYPERLINK(M63,B63))</f>
        <v>SHEPHERD HEALTH &amp; VETERINARY LTD.</v>
      </c>
    </row>
    <row r="64" spans="1:15" ht="72.75" hidden="1">
      <c r="A64" s="2">
        <v>65</v>
      </c>
      <c r="B64" s="14" t="s">
        <v>278</v>
      </c>
      <c r="C64" s="5" t="s">
        <v>279</v>
      </c>
      <c r="D64" s="103" t="s">
        <v>280</v>
      </c>
      <c r="E64" s="5" t="s">
        <v>17</v>
      </c>
      <c r="F64" s="54">
        <v>45894</v>
      </c>
      <c r="G64" s="6" t="s">
        <v>47</v>
      </c>
      <c r="H64" s="6" t="s">
        <v>276</v>
      </c>
      <c r="I64" s="6" t="s">
        <v>20</v>
      </c>
      <c r="J64" s="5" t="s">
        <v>21</v>
      </c>
      <c r="K64" s="5" t="str">
        <f>IF(I64="YES","CAPA VERIFICATION SHOULD BE SCHEDULED",IF(I64="NO","REMINDER LETTER SHOULD BE SENT",""))</f>
        <v>REMINDER LETTER SHOULD BE SENT</v>
      </c>
      <c r="L64" s="26">
        <v>46600</v>
      </c>
      <c r="M64" s="27" t="s">
        <v>281</v>
      </c>
      <c r="N64" s="28" t="str">
        <f>IF(M64="","",HYPERLINK(M64,B64))</f>
        <v>TRINITAS APO LIMITED</v>
      </c>
    </row>
    <row r="65" spans="1:15" ht="72.75" hidden="1">
      <c r="A65" s="2">
        <v>66</v>
      </c>
      <c r="B65" s="14" t="s">
        <v>282</v>
      </c>
      <c r="C65" s="5" t="s">
        <v>283</v>
      </c>
      <c r="D65" s="103" t="s">
        <v>284</v>
      </c>
      <c r="E65" s="5" t="s">
        <v>17</v>
      </c>
      <c r="F65" s="54">
        <v>45894</v>
      </c>
      <c r="G65" s="6" t="s">
        <v>47</v>
      </c>
      <c r="H65" s="6" t="s">
        <v>276</v>
      </c>
      <c r="I65" s="6" t="s">
        <v>20</v>
      </c>
      <c r="J65" s="5" t="s">
        <v>21</v>
      </c>
      <c r="K65" s="5" t="str">
        <f>IF(I65="YES","CAPA VERIFICATION SHOULD BE SCHEDULED",IF(I65="NO","REMINDER LETTER SHOULD BE SENT",""))</f>
        <v>REMINDER LETTER SHOULD BE SENT</v>
      </c>
      <c r="L65" s="26">
        <v>46600</v>
      </c>
      <c r="M65" s="27" t="s">
        <v>285</v>
      </c>
      <c r="N65" s="28" t="str">
        <f>IF(M65="","",HYPERLINK(M65,B65))</f>
        <v>RICNOS PHARMA NIG. LTD</v>
      </c>
    </row>
    <row r="66" spans="1:15" ht="72.75" hidden="1">
      <c r="A66" s="2">
        <v>67</v>
      </c>
      <c r="B66" s="14" t="s">
        <v>286</v>
      </c>
      <c r="C66" s="5" t="s">
        <v>287</v>
      </c>
      <c r="D66" s="103" t="s">
        <v>288</v>
      </c>
      <c r="E66" s="5" t="s">
        <v>17</v>
      </c>
      <c r="F66" s="54">
        <v>45894</v>
      </c>
      <c r="G66" s="6" t="s">
        <v>18</v>
      </c>
      <c r="H66" s="6" t="s">
        <v>276</v>
      </c>
      <c r="I66" s="6" t="s">
        <v>36</v>
      </c>
      <c r="J66" s="5" t="s">
        <v>9</v>
      </c>
      <c r="K66" s="5" t="str">
        <f>IF(I66="YES","CAPA VERIFICATION SHOULD BE SCHEDULED",IF(I66="NO","REMINDER LETTER SHOULD BE SENT",""))</f>
        <v>CAPA VERIFICATION SHOULD BE SCHEDULED</v>
      </c>
      <c r="L66" s="31">
        <v>45986</v>
      </c>
      <c r="M66" s="38" t="s">
        <v>289</v>
      </c>
      <c r="N66" s="28" t="str">
        <f>IF(M66="","",HYPERLINK(M66,B66))</f>
        <v xml:space="preserve"> ABTEVIC PHARMACEUTICAL LTD</v>
      </c>
      <c r="O66" s="12"/>
    </row>
    <row r="67" spans="1:15" ht="30" hidden="1">
      <c r="A67" s="2">
        <v>68</v>
      </c>
      <c r="B67" s="14" t="s">
        <v>290</v>
      </c>
      <c r="C67" s="5" t="s">
        <v>291</v>
      </c>
      <c r="D67" s="103" t="s">
        <v>292</v>
      </c>
      <c r="E67" s="5" t="s">
        <v>17</v>
      </c>
      <c r="F67" s="54">
        <v>45894</v>
      </c>
      <c r="G67" s="6" t="s">
        <v>18</v>
      </c>
      <c r="H67" s="6" t="s">
        <v>293</v>
      </c>
      <c r="I67" s="6" t="s">
        <v>20</v>
      </c>
      <c r="J67" s="5" t="s">
        <v>21</v>
      </c>
      <c r="K67" s="5" t="str">
        <f>IF(I67="YES","CAPA VERIFICATION SHOULD BE SCHEDULED",IF(I67="NO","REMINDER LETTER SHOULD BE SENT",""))</f>
        <v>REMINDER LETTER SHOULD BE SENT</v>
      </c>
      <c r="L67" s="26">
        <v>46235</v>
      </c>
      <c r="M67" s="27"/>
      <c r="N67" s="28" t="str">
        <f>IF(M67="","",HYPERLINK(M67,B67))</f>
        <v/>
      </c>
    </row>
    <row r="68" spans="1:15" ht="72.75" hidden="1">
      <c r="A68" s="2">
        <v>69</v>
      </c>
      <c r="B68" s="14" t="s">
        <v>83</v>
      </c>
      <c r="C68" s="5" t="s">
        <v>84</v>
      </c>
      <c r="D68" s="103" t="s">
        <v>294</v>
      </c>
      <c r="E68" s="5" t="s">
        <v>34</v>
      </c>
      <c r="F68" s="54">
        <v>45895</v>
      </c>
      <c r="G68" s="6" t="s">
        <v>47</v>
      </c>
      <c r="H68" s="6" t="s">
        <v>49</v>
      </c>
      <c r="I68" s="6" t="s">
        <v>36</v>
      </c>
      <c r="J68" s="5" t="s">
        <v>49</v>
      </c>
      <c r="K68" s="5" t="s">
        <v>49</v>
      </c>
      <c r="L68" s="35" t="s">
        <v>87</v>
      </c>
      <c r="M68" s="36" t="s">
        <v>295</v>
      </c>
      <c r="N68" s="28" t="str">
        <f>IF(M68="","",HYPERLINK(M68,B68))</f>
        <v>MED EXPRESS</v>
      </c>
    </row>
    <row r="69" spans="1:15" ht="72.75" hidden="1">
      <c r="A69" s="2">
        <v>70</v>
      </c>
      <c r="B69" s="14" t="s">
        <v>296</v>
      </c>
      <c r="C69" s="5" t="s">
        <v>297</v>
      </c>
      <c r="D69" s="103" t="s">
        <v>298</v>
      </c>
      <c r="E69" s="5" t="s">
        <v>17</v>
      </c>
      <c r="F69" s="54">
        <v>45895</v>
      </c>
      <c r="G69" s="6" t="s">
        <v>18</v>
      </c>
      <c r="H69" s="6" t="s">
        <v>299</v>
      </c>
      <c r="I69" s="6" t="s">
        <v>20</v>
      </c>
      <c r="J69" s="5" t="s">
        <v>21</v>
      </c>
      <c r="K69" s="5" t="str">
        <f>IF(I69="YES","CAPA VERIFICATION SHOULD BE SCHEDULED",IF(I69="NO","REMINDER LETTER SHOULD BE SENT",""))</f>
        <v>REMINDER LETTER SHOULD BE SENT</v>
      </c>
      <c r="L69" s="26">
        <v>46235</v>
      </c>
      <c r="M69" s="37" t="s">
        <v>300</v>
      </c>
      <c r="N69" s="28" t="str">
        <f>IF(M69="","",HYPERLINK(M69,B69))</f>
        <v>EXPHARLAB LIMITED</v>
      </c>
    </row>
    <row r="70" spans="1:15" ht="87" hidden="1">
      <c r="A70" s="2">
        <v>71</v>
      </c>
      <c r="B70" s="14" t="s">
        <v>301</v>
      </c>
      <c r="C70" s="5" t="s">
        <v>302</v>
      </c>
      <c r="D70" s="103" t="s">
        <v>303</v>
      </c>
      <c r="E70" s="5" t="s">
        <v>17</v>
      </c>
      <c r="F70" s="54">
        <v>45895</v>
      </c>
      <c r="G70" s="6" t="s">
        <v>18</v>
      </c>
      <c r="H70" s="6" t="s">
        <v>299</v>
      </c>
      <c r="I70" s="6" t="s">
        <v>20</v>
      </c>
      <c r="J70" s="5" t="s">
        <v>21</v>
      </c>
      <c r="K70" s="5" t="str">
        <f>IF(I70="YES","CAPA VERIFICATION SHOULD BE SCHEDULED",IF(I70="NO","REMINDER LETTER SHOULD BE SENT",""))</f>
        <v>REMINDER LETTER SHOULD BE SENT</v>
      </c>
      <c r="L70" s="26">
        <v>46235</v>
      </c>
      <c r="M70" s="36" t="s">
        <v>101</v>
      </c>
      <c r="N70" s="28" t="str">
        <f>IF(M70="","",HYPERLINK(M70,B70))</f>
        <v>ICE REMEDIES LIMITED</v>
      </c>
    </row>
    <row r="71" spans="1:15" ht="29.25" hidden="1">
      <c r="A71" s="2">
        <v>72</v>
      </c>
      <c r="B71" s="14" t="s">
        <v>304</v>
      </c>
      <c r="C71" s="5" t="s">
        <v>305</v>
      </c>
      <c r="D71" s="103" t="s">
        <v>306</v>
      </c>
      <c r="E71" s="5" t="s">
        <v>17</v>
      </c>
      <c r="F71" s="54">
        <v>45896</v>
      </c>
      <c r="G71" s="6" t="s">
        <v>47</v>
      </c>
      <c r="H71" s="6" t="s">
        <v>49</v>
      </c>
      <c r="I71" s="6" t="s">
        <v>48</v>
      </c>
      <c r="J71" s="5" t="s">
        <v>49</v>
      </c>
      <c r="K71" s="5" t="s">
        <v>87</v>
      </c>
      <c r="L71" s="26">
        <v>46600</v>
      </c>
      <c r="N71" s="28" t="str">
        <f>IF(M71="","",HYPERLINK(M71,B71))</f>
        <v/>
      </c>
    </row>
    <row r="72" spans="1:15" ht="87" hidden="1">
      <c r="A72" s="2">
        <v>73</v>
      </c>
      <c r="B72" s="14" t="s">
        <v>307</v>
      </c>
      <c r="C72" s="5" t="s">
        <v>308</v>
      </c>
      <c r="D72" s="103" t="s">
        <v>309</v>
      </c>
      <c r="E72" s="5" t="s">
        <v>17</v>
      </c>
      <c r="F72" s="54">
        <v>45896</v>
      </c>
      <c r="G72" s="6" t="s">
        <v>18</v>
      </c>
      <c r="H72" s="6" t="s">
        <v>276</v>
      </c>
      <c r="I72" s="6" t="s">
        <v>20</v>
      </c>
      <c r="J72" s="5" t="s">
        <v>21</v>
      </c>
      <c r="K72" s="5" t="str">
        <f>IF(I72="YES","CAPA VERIFICATION SHOULD BE SCHEDULED",IF(I72="NO","REMINDER LETTER SHOULD BE SENT",""))</f>
        <v>REMINDER LETTER SHOULD BE SENT</v>
      </c>
      <c r="L72" s="26">
        <v>46600</v>
      </c>
      <c r="M72" s="33" t="s">
        <v>310</v>
      </c>
      <c r="N72" s="28" t="str">
        <f>IF(M72="","",HYPERLINK(M72,B72))</f>
        <v>OLPHARM NIG. LIMITED</v>
      </c>
    </row>
    <row r="73" spans="1:15" ht="72.75" hidden="1">
      <c r="A73" s="2">
        <v>74</v>
      </c>
      <c r="B73" s="14" t="s">
        <v>141</v>
      </c>
      <c r="C73" s="5" t="s">
        <v>311</v>
      </c>
      <c r="D73" s="103" t="s">
        <v>143</v>
      </c>
      <c r="E73" s="5" t="s">
        <v>34</v>
      </c>
      <c r="F73" s="54">
        <v>45896</v>
      </c>
      <c r="G73" s="6" t="s">
        <v>47</v>
      </c>
      <c r="H73" s="6" t="s">
        <v>49</v>
      </c>
      <c r="I73" s="6" t="s">
        <v>48</v>
      </c>
      <c r="J73" s="5" t="s">
        <v>49</v>
      </c>
      <c r="K73" s="5" t="s">
        <v>87</v>
      </c>
      <c r="L73" s="26">
        <v>46600</v>
      </c>
      <c r="M73" s="63" t="s">
        <v>312</v>
      </c>
      <c r="N73" s="28" t="str">
        <f>IF(M73="","",HYPERLINK(M73,B73))</f>
        <v>NANCIL NIG. LTD.</v>
      </c>
    </row>
    <row r="74" spans="1:15" ht="87" hidden="1">
      <c r="A74" s="2">
        <v>75</v>
      </c>
      <c r="B74" s="14" t="s">
        <v>313</v>
      </c>
      <c r="C74" s="5" t="s">
        <v>314</v>
      </c>
      <c r="D74" s="103" t="s">
        <v>315</v>
      </c>
      <c r="E74" s="5" t="s">
        <v>34</v>
      </c>
      <c r="F74" s="54">
        <v>45896</v>
      </c>
      <c r="G74" s="6" t="s">
        <v>47</v>
      </c>
      <c r="H74" s="5" t="s">
        <v>49</v>
      </c>
      <c r="I74" s="5" t="s">
        <v>48</v>
      </c>
      <c r="J74" s="5" t="s">
        <v>49</v>
      </c>
      <c r="K74" s="5" t="s">
        <v>87</v>
      </c>
      <c r="L74" s="26">
        <v>46600</v>
      </c>
      <c r="M74" s="34" t="s">
        <v>316</v>
      </c>
      <c r="N74" s="28" t="str">
        <f>IF(M74="","",HYPERLINK(M74,B74))</f>
        <v>AGARY PHARMACEUTICALS LTD</v>
      </c>
    </row>
    <row r="75" spans="1:15" ht="15.75" hidden="1">
      <c r="A75" s="2">
        <v>76</v>
      </c>
      <c r="B75" s="14" t="s">
        <v>317</v>
      </c>
      <c r="C75" s="5" t="s">
        <v>318</v>
      </c>
      <c r="D75" s="103">
        <v>8037158154</v>
      </c>
      <c r="E75" s="5" t="s">
        <v>17</v>
      </c>
      <c r="F75" s="54">
        <v>45896</v>
      </c>
      <c r="G75" s="6" t="s">
        <v>18</v>
      </c>
      <c r="H75" s="29">
        <v>45939</v>
      </c>
      <c r="I75" s="5" t="s">
        <v>20</v>
      </c>
      <c r="J75" s="5" t="s">
        <v>21</v>
      </c>
      <c r="K75" s="5" t="str">
        <f>IF(I75="YES","CAPA VERIFICATION SHOULD BE SCHEDULED",IF(I75="NO","REMINDER LETTER SHOULD BE SENT",""))</f>
        <v>REMINDER LETTER SHOULD BE SENT</v>
      </c>
      <c r="L75" s="26">
        <v>46235</v>
      </c>
      <c r="M75" s="33" t="s">
        <v>319</v>
      </c>
      <c r="N75" s="28" t="str">
        <f>IF(M75="","",HYPERLINK(M75,B75))</f>
        <v/>
      </c>
    </row>
    <row r="76" spans="1:15" ht="87">
      <c r="A76" s="2">
        <v>77</v>
      </c>
      <c r="B76" s="3" t="s">
        <v>320</v>
      </c>
      <c r="C76" s="8" t="s">
        <v>321</v>
      </c>
      <c r="D76" s="106" t="s">
        <v>322</v>
      </c>
      <c r="E76" s="5" t="s">
        <v>17</v>
      </c>
      <c r="F76" s="54">
        <v>45916</v>
      </c>
      <c r="G76" s="6" t="s">
        <v>81</v>
      </c>
      <c r="H76" s="5" t="s">
        <v>323</v>
      </c>
      <c r="I76" s="5" t="s">
        <v>20</v>
      </c>
      <c r="J76" s="5" t="s">
        <v>21</v>
      </c>
      <c r="K76" s="5" t="str">
        <f>IF(I76="YES","CAPA VERIFICATION SHOULD BE SCHEDULED",IF(I76="NO","REMINDER LETTER SHOULD BE SENT",""))</f>
        <v>REMINDER LETTER SHOULD BE SENT</v>
      </c>
      <c r="L76" s="26">
        <v>46143</v>
      </c>
      <c r="M76" s="33" t="s">
        <v>324</v>
      </c>
      <c r="N76" s="28" t="str">
        <f>IF(M76="","",HYPERLINK(M76,B76))</f>
        <v>CHILINK PHARM LTD. </v>
      </c>
    </row>
    <row r="77" spans="1:15" ht="72.75" hidden="1">
      <c r="A77" s="2">
        <v>78</v>
      </c>
      <c r="B77" s="15" t="s">
        <v>325</v>
      </c>
      <c r="C77" s="16" t="s">
        <v>326</v>
      </c>
      <c r="D77" s="106" t="s">
        <v>327</v>
      </c>
      <c r="E77" s="5" t="s">
        <v>34</v>
      </c>
      <c r="F77" s="54">
        <v>45916</v>
      </c>
      <c r="G77" s="6" t="s">
        <v>47</v>
      </c>
      <c r="H77" s="5" t="s">
        <v>49</v>
      </c>
      <c r="I77" s="5" t="s">
        <v>48</v>
      </c>
      <c r="J77" s="5" t="s">
        <v>328</v>
      </c>
      <c r="K77" s="5" t="s">
        <v>87</v>
      </c>
      <c r="L77" s="26">
        <v>46631</v>
      </c>
      <c r="M77" s="27" t="s">
        <v>329</v>
      </c>
      <c r="N77" s="28" t="str">
        <f>IF(M77="","",HYPERLINK(M77,B77))</f>
        <v>FAES FARMA NIG LTD (CAPA) </v>
      </c>
    </row>
    <row r="78" spans="1:15" ht="72.75">
      <c r="A78" s="2">
        <v>79</v>
      </c>
      <c r="B78" s="17" t="s">
        <v>330</v>
      </c>
      <c r="C78" s="8" t="s">
        <v>331</v>
      </c>
      <c r="D78" s="106" t="s">
        <v>332</v>
      </c>
      <c r="E78" s="5" t="s">
        <v>17</v>
      </c>
      <c r="F78" s="54">
        <v>45916</v>
      </c>
      <c r="G78" s="6" t="s">
        <v>81</v>
      </c>
      <c r="H78" s="5" t="s">
        <v>333</v>
      </c>
      <c r="I78" s="5" t="s">
        <v>20</v>
      </c>
      <c r="J78" s="5" t="s">
        <v>21</v>
      </c>
      <c r="K78" s="5" t="str">
        <f>IF(I78="YES","CAPA VERIFICATION SHOULD BE SCHEDULED",IF(I78="NO","REMINDER LETTER SHOULD BE SENT",""))</f>
        <v>REMINDER LETTER SHOULD BE SENT</v>
      </c>
      <c r="L78" s="26">
        <v>46143</v>
      </c>
      <c r="M78" s="27" t="s">
        <v>334</v>
      </c>
      <c r="N78" s="28" t="str">
        <f>IF(M78="","",HYPERLINK(M78,B78))</f>
        <v>CEMCEE PHARM. LTD. </v>
      </c>
    </row>
    <row r="79" spans="1:15" ht="26.25" hidden="1" customHeight="1">
      <c r="A79" s="2">
        <v>80</v>
      </c>
      <c r="B79" s="17" t="s">
        <v>335</v>
      </c>
      <c r="C79" s="16" t="s">
        <v>336</v>
      </c>
      <c r="D79" s="106" t="s">
        <v>337</v>
      </c>
      <c r="E79" s="5" t="s">
        <v>34</v>
      </c>
      <c r="F79" s="54">
        <v>45916</v>
      </c>
      <c r="G79" s="6" t="s">
        <v>18</v>
      </c>
      <c r="H79" s="5" t="s">
        <v>338</v>
      </c>
      <c r="I79" s="5" t="s">
        <v>36</v>
      </c>
      <c r="J79" s="5" t="s">
        <v>9</v>
      </c>
      <c r="K79" s="5" t="str">
        <f>IF(I79="YES","CAPA VERIFICATION SHOULD BE SCHEDULED",IF(I79="NO","REMINDER LETTER SHOULD BE SENT",""))</f>
        <v>CAPA VERIFICATION SHOULD BE SCHEDULED</v>
      </c>
      <c r="L79" s="26">
        <v>46266</v>
      </c>
      <c r="M79" s="27" t="s">
        <v>132</v>
      </c>
      <c r="N79" s="28" t="str">
        <f>IF(M79="","",HYPERLINK(M79,B79))</f>
        <v>LABETA DRUGS LTD (CAPA) </v>
      </c>
    </row>
    <row r="80" spans="1:15" ht="72.75" hidden="1">
      <c r="A80" s="2">
        <v>81</v>
      </c>
      <c r="B80" s="3" t="s">
        <v>339</v>
      </c>
      <c r="C80" s="8" t="s">
        <v>340</v>
      </c>
      <c r="D80" s="106" t="s">
        <v>341</v>
      </c>
      <c r="E80" s="5" t="s">
        <v>17</v>
      </c>
      <c r="F80" s="54">
        <v>45917</v>
      </c>
      <c r="G80" s="6" t="s">
        <v>18</v>
      </c>
      <c r="H80" s="5" t="s">
        <v>342</v>
      </c>
      <c r="I80" s="5" t="s">
        <v>20</v>
      </c>
      <c r="J80" s="5" t="s">
        <v>21</v>
      </c>
      <c r="K80" s="5" t="str">
        <f>IF(I80="YES","CAPA VERIFICATION SHOULD BE SCHEDULED",IF(I80="NO","REMINDER LETTER SHOULD BE SENT",""))</f>
        <v>REMINDER LETTER SHOULD BE SENT</v>
      </c>
      <c r="L80" s="26">
        <v>46266</v>
      </c>
      <c r="M80" s="27" t="s">
        <v>343</v>
      </c>
      <c r="N80" s="49" t="str">
        <f>IF(M80="","",HYPERLINK(M80,B80))</f>
        <v>PHARMADEAL NIG. LTD </v>
      </c>
    </row>
    <row r="81" spans="1:14" ht="72.75" hidden="1">
      <c r="A81" s="2">
        <v>82</v>
      </c>
      <c r="B81" s="18" t="s">
        <v>344</v>
      </c>
      <c r="C81" s="16" t="s">
        <v>345</v>
      </c>
      <c r="D81" s="106" t="s">
        <v>346</v>
      </c>
      <c r="E81" s="5" t="s">
        <v>34</v>
      </c>
      <c r="F81" s="54">
        <v>45917</v>
      </c>
      <c r="G81" s="5"/>
      <c r="H81" s="5"/>
      <c r="I81" s="5"/>
      <c r="J81" s="5" t="s">
        <v>21</v>
      </c>
      <c r="K81" s="5" t="str">
        <f>IF(I81="YES","CAPA VERIFICATION SHOULD BE SCHEDULED",IF(I81="NO","REMINDER LETTER SHOULD BE SENT",""))</f>
        <v/>
      </c>
      <c r="L81" s="35"/>
      <c r="M81" s="27" t="s">
        <v>228</v>
      </c>
      <c r="N81" s="28" t="str">
        <f>IF(M81="","",HYPERLINK(M81,B81))</f>
        <v>AMAKIN PHARM (CAPA) </v>
      </c>
    </row>
    <row r="82" spans="1:14" ht="87" hidden="1">
      <c r="A82" s="2">
        <v>83</v>
      </c>
      <c r="B82" s="9" t="s">
        <v>347</v>
      </c>
      <c r="C82" s="16" t="s">
        <v>348</v>
      </c>
      <c r="D82" s="106" t="s">
        <v>327</v>
      </c>
      <c r="E82" s="5" t="s">
        <v>34</v>
      </c>
      <c r="F82" s="54">
        <v>45917</v>
      </c>
      <c r="G82" s="6" t="s">
        <v>47</v>
      </c>
      <c r="H82" s="5" t="s">
        <v>349</v>
      </c>
      <c r="I82" s="5" t="s">
        <v>20</v>
      </c>
      <c r="J82" s="5" t="s">
        <v>21</v>
      </c>
      <c r="K82" s="5" t="str">
        <f>IF(I82="YES","CAPA VERIFICATION SHOULD BE SCHEDULED",IF(I82="NO","REMINDER LETTER SHOULD BE SENT",""))</f>
        <v>REMINDER LETTER SHOULD BE SENT</v>
      </c>
      <c r="L82" s="26">
        <v>46631</v>
      </c>
      <c r="M82" s="33" t="s">
        <v>350</v>
      </c>
      <c r="N82" s="28" t="str">
        <f>IF(M82="","",HYPERLINK(M82,B82))</f>
        <v>SEAGREEN PHARMACEUTICALS (CAPA) </v>
      </c>
    </row>
    <row r="83" spans="1:14" ht="72.75" hidden="1">
      <c r="A83" s="2">
        <v>84</v>
      </c>
      <c r="B83" s="18" t="s">
        <v>351</v>
      </c>
      <c r="C83" s="16" t="s">
        <v>352</v>
      </c>
      <c r="D83" s="106" t="s">
        <v>327</v>
      </c>
      <c r="E83" s="5" t="s">
        <v>34</v>
      </c>
      <c r="F83" s="54">
        <v>45917</v>
      </c>
      <c r="G83" s="6" t="s">
        <v>18</v>
      </c>
      <c r="H83" s="5" t="s">
        <v>353</v>
      </c>
      <c r="I83" s="5" t="s">
        <v>20</v>
      </c>
      <c r="J83" s="5" t="s">
        <v>21</v>
      </c>
      <c r="K83" s="5" t="str">
        <f>IF(I83="YES","CAPA VERIFICATION SHOULD BE SCHEDULED",IF(I83="NO","REMINDER LETTER SHOULD BE SENT",""))</f>
        <v>REMINDER LETTER SHOULD BE SENT</v>
      </c>
      <c r="L83" s="26">
        <v>46266</v>
      </c>
      <c r="M83" s="36" t="s">
        <v>354</v>
      </c>
      <c r="N83" s="28" t="str">
        <f>IF(M83="","",HYPERLINK(M83,B83))</f>
        <v>MAYDON PHARMACEUTICAL (CAPA) </v>
      </c>
    </row>
    <row r="84" spans="1:14" ht="72.75" hidden="1">
      <c r="A84" s="2">
        <v>85</v>
      </c>
      <c r="B84" s="18" t="s">
        <v>355</v>
      </c>
      <c r="C84" s="16" t="s">
        <v>356</v>
      </c>
      <c r="D84" s="106" t="s">
        <v>327</v>
      </c>
      <c r="E84" s="5" t="s">
        <v>34</v>
      </c>
      <c r="F84" s="54">
        <v>45917</v>
      </c>
      <c r="G84" s="6" t="s">
        <v>18</v>
      </c>
      <c r="H84" s="5"/>
      <c r="I84" s="5" t="s">
        <v>20</v>
      </c>
      <c r="J84" s="5" t="s">
        <v>21</v>
      </c>
      <c r="K84" s="5" t="str">
        <f>IF(I84="YES","CAPA VERIFICATION SHOULD BE SCHEDULED",IF(I84="NO","REMINDER LETTER SHOULD BE SENT",""))</f>
        <v>REMINDER LETTER SHOULD BE SENT</v>
      </c>
      <c r="L84" s="35"/>
      <c r="M84" s="27" t="s">
        <v>357</v>
      </c>
      <c r="N84" s="28" t="str">
        <f>IF(M84="","",HYPERLINK(M84,B84))</f>
        <v>EXXON PHARM (CAPA) </v>
      </c>
    </row>
    <row r="85" spans="1:14" ht="72.75" hidden="1">
      <c r="A85" s="2">
        <v>86</v>
      </c>
      <c r="B85" s="13" t="s">
        <v>358</v>
      </c>
      <c r="C85" s="5" t="s">
        <v>359</v>
      </c>
      <c r="D85" s="103" t="s">
        <v>360</v>
      </c>
      <c r="E85" s="5" t="s">
        <v>34</v>
      </c>
      <c r="F85" s="54">
        <v>45951</v>
      </c>
      <c r="G85" s="6" t="s">
        <v>18</v>
      </c>
      <c r="H85" s="5"/>
      <c r="I85" s="5"/>
      <c r="J85" s="5" t="s">
        <v>21</v>
      </c>
      <c r="K85" s="5" t="str">
        <f>IF(I85="YES","CAPA VERIFICATION SHOULD BE SCHEDULED",IF(I85="NO","REMINDER LETTER SHOULD BE SENT",""))</f>
        <v/>
      </c>
      <c r="L85" s="35"/>
      <c r="M85" s="27" t="s">
        <v>73</v>
      </c>
      <c r="N85" s="28" t="str">
        <f>IF(M85="","",HYPERLINK(M85,B85))</f>
        <v>ADCEM (CAPA)</v>
      </c>
    </row>
    <row r="86" spans="1:14" ht="87" hidden="1">
      <c r="A86" s="2">
        <v>87</v>
      </c>
      <c r="B86" s="19" t="s">
        <v>361</v>
      </c>
      <c r="C86" s="39" t="s">
        <v>362</v>
      </c>
      <c r="D86" s="107" t="s">
        <v>363</v>
      </c>
      <c r="E86" s="5" t="s">
        <v>17</v>
      </c>
      <c r="F86" s="54">
        <v>45951</v>
      </c>
      <c r="G86" s="6" t="s">
        <v>18</v>
      </c>
      <c r="H86" s="5" t="s">
        <v>364</v>
      </c>
      <c r="I86" s="5" t="s">
        <v>20</v>
      </c>
      <c r="J86" s="5" t="s">
        <v>21</v>
      </c>
      <c r="K86" s="5" t="str">
        <f>IF(I86="YES","CAPA VERIFICATION SHOULD BE SCHEDULED",IF(I86="NO","REMINDER LETTER SHOULD BE SENT",""))</f>
        <v>REMINDER LETTER SHOULD BE SENT</v>
      </c>
      <c r="L86" s="26">
        <v>46143</v>
      </c>
      <c r="M86" s="27" t="s">
        <v>365</v>
      </c>
      <c r="N86" s="28" t="str">
        <f>IF(M86="","",HYPERLINK(M86,B86))</f>
        <v>JIN SPECTRAL PHARMACEUTICAL</v>
      </c>
    </row>
    <row r="87" spans="1:14" ht="87" hidden="1">
      <c r="A87" s="2">
        <v>88</v>
      </c>
      <c r="B87" s="20" t="s">
        <v>366</v>
      </c>
      <c r="C87" s="40" t="s">
        <v>367</v>
      </c>
      <c r="D87" s="107" t="s">
        <v>368</v>
      </c>
      <c r="E87" s="5" t="s">
        <v>17</v>
      </c>
      <c r="F87" s="54">
        <v>45951</v>
      </c>
      <c r="G87" s="6" t="s">
        <v>47</v>
      </c>
      <c r="H87" s="5"/>
      <c r="I87" s="5"/>
      <c r="J87" s="5" t="s">
        <v>9</v>
      </c>
      <c r="K87" s="5" t="str">
        <f>IF(I87="YES","CAPA VERIFICATION SHOULD BE SCHEDULED",IF(I87="NO","REMINDER LETTER SHOULD BE SENT",""))</f>
        <v/>
      </c>
      <c r="L87" s="26">
        <v>46296</v>
      </c>
      <c r="M87" s="36" t="s">
        <v>369</v>
      </c>
      <c r="N87" s="28" t="str">
        <f>IF(M87="","",HYPERLINK(M87,B87))</f>
        <v>AFRAB-CHEM LIMITED </v>
      </c>
    </row>
    <row r="88" spans="1:14" ht="72.75" hidden="1">
      <c r="A88" s="2">
        <v>89</v>
      </c>
      <c r="B88" s="20" t="s">
        <v>370</v>
      </c>
      <c r="C88" s="40" t="s">
        <v>371</v>
      </c>
      <c r="D88" s="107" t="s">
        <v>372</v>
      </c>
      <c r="E88" s="5" t="s">
        <v>34</v>
      </c>
      <c r="F88" s="54">
        <v>45951</v>
      </c>
      <c r="G88" s="6" t="s">
        <v>47</v>
      </c>
      <c r="H88" s="5"/>
      <c r="I88" s="5" t="s">
        <v>36</v>
      </c>
      <c r="J88" s="5" t="s">
        <v>9</v>
      </c>
      <c r="K88" s="5" t="str">
        <f>IF(I88="YES","CAPA VERIFICATION SHOULD BE SCHEDULED",IF(I88="NO","REMINDER LETTER SHOULD BE SENT",""))</f>
        <v>CAPA VERIFICATION SHOULD BE SCHEDULED</v>
      </c>
      <c r="L88" s="26">
        <v>46661</v>
      </c>
      <c r="M88" s="37" t="s">
        <v>373</v>
      </c>
      <c r="N88" s="49" t="str">
        <f>IF(M88="","",HYPERLINK(M88,B88))</f>
        <v>ARTEMIS LIFE SCIENCE LTD</v>
      </c>
    </row>
    <row r="89" spans="1:14" ht="87" hidden="1">
      <c r="A89" s="2">
        <v>90</v>
      </c>
      <c r="B89" s="19" t="s">
        <v>374</v>
      </c>
      <c r="C89" s="39" t="s">
        <v>375</v>
      </c>
      <c r="D89" s="107" t="s">
        <v>376</v>
      </c>
      <c r="E89" s="5" t="s">
        <v>17</v>
      </c>
      <c r="F89" s="54">
        <v>45951</v>
      </c>
      <c r="G89" s="6" t="s">
        <v>18</v>
      </c>
      <c r="H89" s="5"/>
      <c r="I89" s="5"/>
      <c r="J89" s="5" t="s">
        <v>21</v>
      </c>
      <c r="K89" s="5" t="str">
        <f>IF(I89="YES","CAPA VERIFICATION SHOULD BE SCHEDULED",IF(I89="NO","REMINDER LETTER SHOULD BE SENT",""))</f>
        <v/>
      </c>
      <c r="L89" s="26">
        <v>46296</v>
      </c>
      <c r="M89" s="41" t="s">
        <v>377</v>
      </c>
      <c r="N89" s="28" t="str">
        <f>IF(M89="","",HYPERLINK(M89,B89))</f>
        <v>STANDARD GENERICS LTD</v>
      </c>
    </row>
    <row r="90" spans="1:14" ht="87" hidden="1">
      <c r="A90" s="2">
        <v>91</v>
      </c>
      <c r="B90" s="19" t="s">
        <v>378</v>
      </c>
      <c r="C90" s="39" t="s">
        <v>379</v>
      </c>
      <c r="D90" s="107" t="s">
        <v>380</v>
      </c>
      <c r="E90" s="5" t="s">
        <v>17</v>
      </c>
      <c r="F90" s="54">
        <v>45951</v>
      </c>
      <c r="G90" s="6" t="s">
        <v>18</v>
      </c>
      <c r="H90" s="5" t="s">
        <v>381</v>
      </c>
      <c r="I90" s="5" t="s">
        <v>20</v>
      </c>
      <c r="J90" s="5" t="s">
        <v>21</v>
      </c>
      <c r="K90" s="5" t="str">
        <f>IF(I90="YES","CAPA VERIFICATION SHOULD BE SCHEDULED",IF(I90="NO","REMINDER LETTER SHOULD BE SENT",""))</f>
        <v>REMINDER LETTER SHOULD BE SENT</v>
      </c>
      <c r="L90" s="26">
        <v>46296</v>
      </c>
      <c r="M90" s="27" t="s">
        <v>382</v>
      </c>
      <c r="N90" s="28" t="str">
        <f>IF(M90="","",HYPERLINK(M90,B90))</f>
        <v>PHARMABOX VENTURES LIMITED</v>
      </c>
    </row>
    <row r="91" spans="1:14" ht="87">
      <c r="A91" s="2">
        <v>92</v>
      </c>
      <c r="B91" s="19" t="s">
        <v>383</v>
      </c>
      <c r="C91" s="39" t="s">
        <v>384</v>
      </c>
      <c r="D91" s="107" t="s">
        <v>385</v>
      </c>
      <c r="E91" s="5" t="s">
        <v>17</v>
      </c>
      <c r="F91" s="54">
        <v>45952</v>
      </c>
      <c r="G91" s="6" t="s">
        <v>81</v>
      </c>
      <c r="H91" s="5" t="s">
        <v>386</v>
      </c>
      <c r="I91" s="5" t="s">
        <v>20</v>
      </c>
      <c r="J91" s="5" t="s">
        <v>21</v>
      </c>
      <c r="K91" s="5" t="str">
        <f>IF(I91="YES","CAPA VERIFICATION SHOULD BE SCHEDULED",IF(I91="NO","REMINDER LETTER SHOULD BE SENT",""))</f>
        <v>REMINDER LETTER SHOULD BE SENT</v>
      </c>
      <c r="L91" s="26">
        <v>46143</v>
      </c>
      <c r="M91" s="27" t="s">
        <v>387</v>
      </c>
      <c r="N91" s="28" t="str">
        <f>IF(M91="","",HYPERLINK(M91,B91))</f>
        <v>JONCO PHARMACEUTICS</v>
      </c>
    </row>
    <row r="92" spans="1:14" ht="72.75" hidden="1">
      <c r="A92" s="2">
        <v>93</v>
      </c>
      <c r="B92" s="19" t="s">
        <v>388</v>
      </c>
      <c r="C92" s="39" t="s">
        <v>389</v>
      </c>
      <c r="D92" s="107" t="s">
        <v>390</v>
      </c>
      <c r="E92" s="5" t="s">
        <v>17</v>
      </c>
      <c r="F92" s="54">
        <v>45952</v>
      </c>
      <c r="G92" s="6" t="s">
        <v>18</v>
      </c>
      <c r="H92" s="5" t="s">
        <v>381</v>
      </c>
      <c r="I92" s="5" t="s">
        <v>20</v>
      </c>
      <c r="J92" s="5" t="s">
        <v>21</v>
      </c>
      <c r="K92" s="5" t="str">
        <f>IF(I92="YES","CAPA VERIFICATION SHOULD BE SCHEDULED",IF(I92="NO","REMINDER LETTER SHOULD BE SENT",""))</f>
        <v>REMINDER LETTER SHOULD BE SENT</v>
      </c>
      <c r="L92" s="26">
        <v>46296</v>
      </c>
      <c r="M92" s="27" t="s">
        <v>391</v>
      </c>
      <c r="N92" s="28" t="str">
        <f>IF(M92="","",HYPERLINK(M92,B92))</f>
        <v>BOUCIA LIMITED</v>
      </c>
    </row>
    <row r="93" spans="1:14" ht="101.25">
      <c r="A93" s="2">
        <v>94</v>
      </c>
      <c r="B93" s="19" t="s">
        <v>392</v>
      </c>
      <c r="C93" s="40" t="s">
        <v>393</v>
      </c>
      <c r="D93" s="107" t="s">
        <v>394</v>
      </c>
      <c r="E93" s="5" t="s">
        <v>17</v>
      </c>
      <c r="F93" s="54">
        <v>45953</v>
      </c>
      <c r="G93" s="6" t="s">
        <v>81</v>
      </c>
      <c r="H93" s="5" t="s">
        <v>386</v>
      </c>
      <c r="I93" s="5" t="s">
        <v>36</v>
      </c>
      <c r="J93" s="5" t="s">
        <v>9</v>
      </c>
      <c r="K93" s="5" t="str">
        <f>IF(I93="YES","CAPA VERIFICATION SHOULD BE SCHEDULED",IF(I93="NO","REMINDER LETTER SHOULD BE SENT",""))</f>
        <v>CAPA VERIFICATION SHOULD BE SCHEDULED</v>
      </c>
      <c r="L93" s="26">
        <v>46143</v>
      </c>
      <c r="M93" s="27" t="s">
        <v>395</v>
      </c>
      <c r="N93" s="28" t="str">
        <f>IF(M93="","",HYPERLINK(M93,B93))</f>
        <v>BASIC PHARMACEUTICAL &amp; HERBAL HEALTHCARE LTD</v>
      </c>
    </row>
    <row r="94" spans="1:14" ht="87" hidden="1">
      <c r="A94" s="2">
        <v>95</v>
      </c>
      <c r="B94" s="20" t="s">
        <v>396</v>
      </c>
      <c r="C94" s="40" t="s">
        <v>397</v>
      </c>
      <c r="D94" s="107" t="s">
        <v>398</v>
      </c>
      <c r="E94" s="5" t="s">
        <v>17</v>
      </c>
      <c r="F94" s="54">
        <v>45953</v>
      </c>
      <c r="G94" s="6" t="s">
        <v>47</v>
      </c>
      <c r="H94" s="5" t="s">
        <v>386</v>
      </c>
      <c r="I94" s="5" t="s">
        <v>20</v>
      </c>
      <c r="J94" s="5" t="s">
        <v>21</v>
      </c>
      <c r="K94" s="5" t="str">
        <f>IF(I94="YES","CAPA VERIFICATION SHOULD BE SCHEDULED",IF(I94="NO","REMINDER LETTER SHOULD BE SENT",""))</f>
        <v>REMINDER LETTER SHOULD BE SENT</v>
      </c>
      <c r="L94" s="26">
        <v>46661</v>
      </c>
      <c r="M94" s="27" t="s">
        <v>399</v>
      </c>
      <c r="N94" s="28" t="str">
        <f>IF(M94="","",HYPERLINK(M94,B94))</f>
        <v>BAZREAL GLOBAL LIMITED </v>
      </c>
    </row>
    <row r="95" spans="1:14" ht="72.75" hidden="1">
      <c r="A95" s="2">
        <v>96</v>
      </c>
      <c r="B95" s="19" t="s">
        <v>400</v>
      </c>
      <c r="C95" s="39" t="s">
        <v>401</v>
      </c>
      <c r="D95" s="107">
        <v>8037247821</v>
      </c>
      <c r="E95" s="5" t="s">
        <v>34</v>
      </c>
      <c r="F95" s="54">
        <v>45953</v>
      </c>
      <c r="G95" s="6" t="s">
        <v>47</v>
      </c>
      <c r="H95" s="5" t="s">
        <v>386</v>
      </c>
      <c r="I95" s="5" t="s">
        <v>20</v>
      </c>
      <c r="J95" s="5" t="s">
        <v>21</v>
      </c>
      <c r="K95" s="5" t="str">
        <f>IF(I95="YES","CAPA VERIFICATION SHOULD BE SCHEDULED",IF(I95="NO","REMINDER LETTER SHOULD BE SENT",""))</f>
        <v>REMINDER LETTER SHOULD BE SENT</v>
      </c>
      <c r="L95" s="26">
        <v>46661</v>
      </c>
      <c r="M95" s="33" t="s">
        <v>402</v>
      </c>
      <c r="N95" s="28" t="str">
        <f>IF(M95="","",HYPERLINK(M95,B95))</f>
        <v>IDEAL EAGLE LIMITED (CAPA) </v>
      </c>
    </row>
    <row r="96" spans="1:14" ht="87" hidden="1">
      <c r="A96" s="2">
        <v>97</v>
      </c>
      <c r="B96" s="19" t="s">
        <v>403</v>
      </c>
      <c r="C96" s="39" t="s">
        <v>404</v>
      </c>
      <c r="D96" s="108">
        <v>7060954163</v>
      </c>
      <c r="E96" s="5" t="s">
        <v>34</v>
      </c>
      <c r="F96" s="54">
        <v>45953</v>
      </c>
      <c r="G96" s="6" t="s">
        <v>47</v>
      </c>
      <c r="H96" s="5" t="s">
        <v>49</v>
      </c>
      <c r="I96" s="5" t="s">
        <v>48</v>
      </c>
      <c r="J96" s="5" t="s">
        <v>9</v>
      </c>
      <c r="K96" s="5" t="s">
        <v>87</v>
      </c>
      <c r="L96" s="26">
        <v>46661</v>
      </c>
      <c r="M96" s="36" t="s">
        <v>405</v>
      </c>
      <c r="N96" s="28" t="str">
        <f>IF(M96="","",HYPERLINK(M96,B96))</f>
        <v>THOMPSON AND GRACE (CAPA) </v>
      </c>
    </row>
    <row r="97" spans="1:14" ht="87">
      <c r="A97" s="2">
        <v>98</v>
      </c>
      <c r="B97" s="19" t="s">
        <v>406</v>
      </c>
      <c r="C97" s="39" t="s">
        <v>407</v>
      </c>
      <c r="D97" s="107" t="s">
        <v>408</v>
      </c>
      <c r="E97" s="5" t="s">
        <v>17</v>
      </c>
      <c r="F97" s="54">
        <v>45953</v>
      </c>
      <c r="G97" s="6" t="s">
        <v>81</v>
      </c>
      <c r="H97" s="5" t="s">
        <v>386</v>
      </c>
      <c r="I97" s="5" t="s">
        <v>20</v>
      </c>
      <c r="J97" s="5" t="s">
        <v>21</v>
      </c>
      <c r="K97" s="5" t="s">
        <v>409</v>
      </c>
      <c r="L97" s="26">
        <v>46143</v>
      </c>
      <c r="M97" s="63" t="s">
        <v>410</v>
      </c>
      <c r="N97" s="28" t="str">
        <f>IF(M97="","",HYPERLINK(M97,B97))</f>
        <v>BLUE SUMMIT HEALTH CARE LTD </v>
      </c>
    </row>
    <row r="98" spans="1:14" ht="72.75" hidden="1">
      <c r="A98" s="2">
        <v>99</v>
      </c>
      <c r="B98" s="13" t="s">
        <v>411</v>
      </c>
      <c r="C98" s="5" t="s">
        <v>412</v>
      </c>
      <c r="D98" s="103">
        <v>7064946450</v>
      </c>
      <c r="E98" s="5" t="s">
        <v>34</v>
      </c>
      <c r="F98" s="54">
        <v>45979</v>
      </c>
      <c r="G98" s="6" t="s">
        <v>18</v>
      </c>
      <c r="H98" s="5" t="s">
        <v>413</v>
      </c>
      <c r="I98" s="5" t="s">
        <v>20</v>
      </c>
      <c r="J98" s="5" t="s">
        <v>21</v>
      </c>
      <c r="K98" s="5" t="str">
        <f>IF(I98="YES","CAPA VERIFICATION SHOULD BE SCHEDULED",IF(I98="NO","REMINDER LETTER SHOULD BE SENT",""))</f>
        <v>REMINDER LETTER SHOULD BE SENT</v>
      </c>
      <c r="L98" s="26">
        <v>46327</v>
      </c>
      <c r="M98" s="27" t="s">
        <v>414</v>
      </c>
      <c r="N98" s="28" t="str">
        <f>IF(M98="","",HYPERLINK(M98,B98))</f>
        <v xml:space="preserve">BRIGHTMEX PHARMACY LIMITED </v>
      </c>
    </row>
    <row r="99" spans="1:14" ht="87" hidden="1">
      <c r="A99" s="2">
        <v>100</v>
      </c>
      <c r="B99" s="13" t="s">
        <v>415</v>
      </c>
      <c r="C99" s="5" t="s">
        <v>416</v>
      </c>
      <c r="D99" s="103">
        <v>8162734653</v>
      </c>
      <c r="E99" s="5" t="s">
        <v>17</v>
      </c>
      <c r="F99" s="54">
        <v>45979</v>
      </c>
      <c r="G99" s="6" t="s">
        <v>47</v>
      </c>
      <c r="H99" s="5" t="s">
        <v>413</v>
      </c>
      <c r="I99" s="5" t="s">
        <v>36</v>
      </c>
      <c r="J99" s="5" t="s">
        <v>9</v>
      </c>
      <c r="K99" s="5" t="str">
        <f>IF(I99="YES","CAPA VERIFICATION SHOULD BE SCHEDULED",IF(I99="NO","REMINDER LETTER SHOULD BE SENT",""))</f>
        <v>CAPA VERIFICATION SHOULD BE SCHEDULED</v>
      </c>
      <c r="L99" s="26">
        <v>46692</v>
      </c>
      <c r="M99" s="27" t="s">
        <v>417</v>
      </c>
      <c r="N99" s="49" t="str">
        <f>IF(M99="","",HYPERLINK(M99,B99))</f>
        <v>JAWA INTL LIMITED</v>
      </c>
    </row>
    <row r="100" spans="1:14" ht="87">
      <c r="A100" s="2">
        <v>101</v>
      </c>
      <c r="B100" s="13" t="s">
        <v>418</v>
      </c>
      <c r="C100" s="5" t="s">
        <v>419</v>
      </c>
      <c r="D100" s="103">
        <v>8158990100</v>
      </c>
      <c r="E100" s="5" t="s">
        <v>34</v>
      </c>
      <c r="F100" s="54">
        <v>45979</v>
      </c>
      <c r="G100" s="6" t="s">
        <v>81</v>
      </c>
      <c r="H100" s="5" t="s">
        <v>413</v>
      </c>
      <c r="I100" s="5" t="s">
        <v>20</v>
      </c>
      <c r="J100" s="5" t="s">
        <v>21</v>
      </c>
      <c r="K100" s="5" t="str">
        <f>IF(I100="YES","CAPA VERIFICATION SHOULD BE SCHEDULED",IF(I100="NO","REMINDER LETTER SHOULD BE SENT",""))</f>
        <v>REMINDER LETTER SHOULD BE SENT</v>
      </c>
      <c r="L100" s="26">
        <v>46143</v>
      </c>
      <c r="M100" s="27" t="s">
        <v>420</v>
      </c>
      <c r="N100" s="28" t="str">
        <f>IF(M100="","",HYPERLINK(M100,B100))</f>
        <v>CLARION MEDICALS LTD (CAPA)</v>
      </c>
    </row>
    <row r="101" spans="1:14" ht="87" hidden="1">
      <c r="A101" s="2">
        <v>102</v>
      </c>
      <c r="B101" s="13" t="s">
        <v>421</v>
      </c>
      <c r="C101" s="5" t="s">
        <v>422</v>
      </c>
      <c r="D101" s="103">
        <v>7064946450</v>
      </c>
      <c r="E101" s="5" t="s">
        <v>17</v>
      </c>
      <c r="F101" s="54">
        <v>45979</v>
      </c>
      <c r="G101" s="6" t="s">
        <v>18</v>
      </c>
      <c r="H101" s="5" t="s">
        <v>423</v>
      </c>
      <c r="I101" s="5" t="s">
        <v>20</v>
      </c>
      <c r="J101" s="5" t="s">
        <v>21</v>
      </c>
      <c r="K101" s="5" t="str">
        <f>IF(I101="YES","CAPA VERIFICATION SHOULD BE SCHEDULED",IF(I101="NO","REMINDER LETTER SHOULD BE SENT",""))</f>
        <v>REMINDER LETTER SHOULD BE SENT</v>
      </c>
      <c r="L101" s="26">
        <v>46327</v>
      </c>
      <c r="M101" s="27" t="s">
        <v>424</v>
      </c>
      <c r="N101" s="28" t="str">
        <f>IF(M101="","",HYPERLINK(M101,B101))</f>
        <v>GENEX LIFESCIENCE</v>
      </c>
    </row>
    <row r="102" spans="1:14" ht="72.75" hidden="1">
      <c r="A102" s="2">
        <v>103</v>
      </c>
      <c r="B102" s="13" t="s">
        <v>425</v>
      </c>
      <c r="C102" s="5" t="s">
        <v>426</v>
      </c>
      <c r="D102" s="103">
        <v>8030753413</v>
      </c>
      <c r="E102" s="5" t="s">
        <v>34</v>
      </c>
      <c r="F102" s="54">
        <v>45979</v>
      </c>
      <c r="G102" s="6" t="s">
        <v>47</v>
      </c>
      <c r="H102" s="5" t="s">
        <v>49</v>
      </c>
      <c r="I102" s="5" t="s">
        <v>48</v>
      </c>
      <c r="J102" s="5" t="s">
        <v>328</v>
      </c>
      <c r="K102" s="5" t="s">
        <v>87</v>
      </c>
      <c r="L102" s="26">
        <v>46692</v>
      </c>
      <c r="M102" s="27" t="s">
        <v>427</v>
      </c>
      <c r="N102" s="28" t="str">
        <f>IF(M102="","",HYPERLINK(M102,B102))</f>
        <v>ARINZESON PHARM CO LTD (CAPA)</v>
      </c>
    </row>
    <row r="103" spans="1:14" ht="87">
      <c r="A103" s="2">
        <v>104</v>
      </c>
      <c r="B103" s="13" t="s">
        <v>428</v>
      </c>
      <c r="C103" s="5" t="s">
        <v>429</v>
      </c>
      <c r="D103" s="103"/>
      <c r="E103" s="5" t="s">
        <v>17</v>
      </c>
      <c r="F103" s="54">
        <v>45979</v>
      </c>
      <c r="G103" s="6" t="s">
        <v>81</v>
      </c>
      <c r="H103" s="5" t="s">
        <v>423</v>
      </c>
      <c r="I103" s="5" t="s">
        <v>36</v>
      </c>
      <c r="J103" s="5" t="s">
        <v>9</v>
      </c>
      <c r="K103" s="5" t="str">
        <f>IF(I103="YES","CAPA VERIFICATION SHOULD BE SCHEDULED",IF(I103="NO","REMINDER LETTER SHOULD BE SENT",""))</f>
        <v>CAPA VERIFICATION SHOULD BE SCHEDULED</v>
      </c>
      <c r="L103" s="26">
        <v>46143</v>
      </c>
      <c r="M103" s="27" t="s">
        <v>430</v>
      </c>
      <c r="N103" s="49" t="str">
        <f>IF(M103="","",HYPERLINK(M103,B103))</f>
        <v>SEPAT PHARM LTD</v>
      </c>
    </row>
    <row r="104" spans="1:14" ht="72.75" hidden="1">
      <c r="A104" s="2">
        <v>105</v>
      </c>
      <c r="B104" s="13" t="s">
        <v>431</v>
      </c>
      <c r="C104" s="5" t="s">
        <v>432</v>
      </c>
      <c r="D104" s="103">
        <v>7068995285</v>
      </c>
      <c r="E104" s="5" t="s">
        <v>17</v>
      </c>
      <c r="F104" s="54">
        <v>45980</v>
      </c>
      <c r="G104" s="6" t="s">
        <v>18</v>
      </c>
      <c r="H104" s="5" t="s">
        <v>433</v>
      </c>
      <c r="I104" s="5" t="s">
        <v>20</v>
      </c>
      <c r="J104" s="5" t="s">
        <v>21</v>
      </c>
      <c r="K104" s="5" t="str">
        <f>IF(I104="YES","CAPA VERIFICATION SHOULD BE SCHEDULED",IF(I104="NO","REMINDER LETTER SHOULD BE SENT",""))</f>
        <v>REMINDER LETTER SHOULD BE SENT</v>
      </c>
      <c r="L104" s="26">
        <v>46327</v>
      </c>
      <c r="M104" s="37" t="s">
        <v>434</v>
      </c>
      <c r="N104" s="28" t="str">
        <f>IF(M104="","",HYPERLINK(M104,B104))</f>
        <v>NUGENIC PHARMACEUTICAL LTD</v>
      </c>
    </row>
    <row r="105" spans="1:14" ht="87" hidden="1">
      <c r="A105" s="2">
        <v>106</v>
      </c>
      <c r="B105" s="13" t="s">
        <v>435</v>
      </c>
      <c r="C105" s="5" t="s">
        <v>436</v>
      </c>
      <c r="D105" s="103">
        <v>8185905205</v>
      </c>
      <c r="E105" s="5" t="s">
        <v>17</v>
      </c>
      <c r="F105" s="54">
        <v>45981</v>
      </c>
      <c r="G105" s="6" t="s">
        <v>18</v>
      </c>
      <c r="H105" s="5" t="s">
        <v>437</v>
      </c>
      <c r="I105" s="5" t="s">
        <v>20</v>
      </c>
      <c r="J105" s="5" t="s">
        <v>21</v>
      </c>
      <c r="K105" s="5" t="str">
        <f>IF(I105="YES","CAPA VERIFICATION SHOULD BE SCHEDULED",IF(I105="NO","REMINDER LETTER SHOULD BE SENT",""))</f>
        <v>REMINDER LETTER SHOULD BE SENT</v>
      </c>
      <c r="L105" s="26">
        <v>46327</v>
      </c>
      <c r="M105" s="27" t="s">
        <v>438</v>
      </c>
      <c r="N105" s="28" t="str">
        <f>IF(M105="","",HYPERLINK(M105,B105))</f>
        <v>SAVOCENT PHARMA</v>
      </c>
    </row>
    <row r="106" spans="1:14" ht="72.75" hidden="1">
      <c r="A106" s="2">
        <v>107</v>
      </c>
      <c r="B106" s="13" t="s">
        <v>439</v>
      </c>
      <c r="C106" s="5" t="s">
        <v>440</v>
      </c>
      <c r="D106" s="103">
        <v>8036767902</v>
      </c>
      <c r="E106" s="5" t="s">
        <v>17</v>
      </c>
      <c r="F106" s="54">
        <v>45981</v>
      </c>
      <c r="G106" s="6" t="s">
        <v>18</v>
      </c>
      <c r="H106" s="5" t="s">
        <v>441</v>
      </c>
      <c r="I106" s="5" t="s">
        <v>20</v>
      </c>
      <c r="J106" s="5" t="s">
        <v>21</v>
      </c>
      <c r="K106" s="5" t="str">
        <f>IF(I106="YES","CAPA VERIFICATION SHOULD BE SCHEDULED",IF(I106="NO","REMINDER LETTER SHOULD BE SENT",""))</f>
        <v>REMINDER LETTER SHOULD BE SENT</v>
      </c>
      <c r="L106" s="26">
        <v>46327</v>
      </c>
      <c r="M106" s="27" t="s">
        <v>442</v>
      </c>
      <c r="N106" s="28" t="str">
        <f>IF(M106="","",HYPERLINK(M106,B106))</f>
        <v>KENIX PHARMACY</v>
      </c>
    </row>
    <row r="107" spans="1:14" ht="87">
      <c r="A107" s="2">
        <v>108</v>
      </c>
      <c r="B107" s="13" t="s">
        <v>443</v>
      </c>
      <c r="C107" s="5" t="s">
        <v>444</v>
      </c>
      <c r="D107" s="103"/>
      <c r="E107" s="5" t="s">
        <v>34</v>
      </c>
      <c r="F107" s="54">
        <v>45981</v>
      </c>
      <c r="G107" s="6" t="s">
        <v>81</v>
      </c>
      <c r="H107" s="5" t="s">
        <v>445</v>
      </c>
      <c r="I107" s="5" t="s">
        <v>20</v>
      </c>
      <c r="J107" s="5" t="s">
        <v>21</v>
      </c>
      <c r="K107" s="5" t="str">
        <f>IF(I107="YES","CAPA VERIFICATION SHOULD BE SCHEDULED",IF(I107="NO","REMINDER LETTER SHOULD BE SENT",""))</f>
        <v>REMINDER LETTER SHOULD BE SENT</v>
      </c>
      <c r="L107" s="26">
        <v>46143</v>
      </c>
      <c r="M107" s="33" t="s">
        <v>446</v>
      </c>
      <c r="N107" s="28" t="str">
        <f>IF(M107="","",HYPERLINK(M107,B107))</f>
        <v xml:space="preserve">CA &amp; JO (CAPA) </v>
      </c>
    </row>
    <row r="108" spans="1:14" ht="72.75" hidden="1">
      <c r="A108" s="2">
        <v>109</v>
      </c>
      <c r="B108" s="21" t="s">
        <v>447</v>
      </c>
      <c r="C108" s="22" t="s">
        <v>448</v>
      </c>
      <c r="D108" s="109">
        <v>8023065270</v>
      </c>
      <c r="E108" s="22" t="s">
        <v>34</v>
      </c>
      <c r="F108" s="54">
        <v>45981</v>
      </c>
      <c r="G108" s="62" t="s">
        <v>47</v>
      </c>
      <c r="H108" s="22" t="s">
        <v>49</v>
      </c>
      <c r="I108" s="22" t="s">
        <v>48</v>
      </c>
      <c r="J108" s="22" t="s">
        <v>328</v>
      </c>
      <c r="K108" s="22" t="s">
        <v>87</v>
      </c>
      <c r="L108" s="26">
        <v>46692</v>
      </c>
      <c r="M108" s="42" t="s">
        <v>289</v>
      </c>
      <c r="N108" s="28" t="str">
        <f>IF(M108="","",HYPERLINK(M108,B108))</f>
        <v>ABTEVIC (CAPA)</v>
      </c>
    </row>
    <row r="109" spans="1:14" hidden="1">
      <c r="A109" s="51" t="s">
        <v>449</v>
      </c>
      <c r="B109" s="21"/>
      <c r="C109" s="22"/>
      <c r="D109" s="109"/>
      <c r="E109" s="22"/>
      <c r="F109" s="55"/>
      <c r="G109" s="22"/>
      <c r="H109" s="22"/>
      <c r="I109" s="22"/>
      <c r="J109" s="22"/>
      <c r="K109" s="22" t="str">
        <f>IF(I109="YES","CAPA VERIFICATION SHOULD BE SCHEDULED",IF(I109="NO","REMINDER LETTER SHOULD BE SENT",""))</f>
        <v/>
      </c>
      <c r="L109" s="52"/>
      <c r="M109" s="22"/>
      <c r="N109" s="53" t="str">
        <f>IF(M109="","",HYPERLINK(M109,B109))</f>
        <v/>
      </c>
    </row>
  </sheetData>
  <mergeCells count="1">
    <mergeCell ref="A1:J1"/>
  </mergeCells>
  <dataValidations count="1">
    <dataValidation type="list" allowBlank="1" showInputMessage="1" showErrorMessage="1" sqref="I3:I1048576" xr:uid="{95712C72-EB7F-4E57-8F8E-93162747BDB0}">
      <formula1>"YES,NO,N/A"</formula1>
    </dataValidation>
  </dataValidations>
  <hyperlinks>
    <hyperlink ref="M3:M4" r:id="rId1" display="https://nafdacng.sharepoint.com/sites/PMSLAGOS/Shared Documents/GDP (GOOD DISTRIBUTION PRATICE)/GSDP COMPANY FILES\Santa Care LTD" xr:uid="{5928CD3C-4F2B-4107-AB93-13FAD54405A4}"/>
    <hyperlink ref="M16" r:id="rId2" xr:uid="{7EEB3A62-E1A1-4778-93BD-B3E25A0DB981}"/>
    <hyperlink ref="M74" r:id="rId3" xr:uid="{AFD6F2BC-FFA5-4428-94FE-7CB6BFDA2970}"/>
    <hyperlink ref="M7" r:id="rId4" xr:uid="{CEE3C66F-7E9E-4A75-90CD-5A54D7805805}"/>
    <hyperlink ref="M23" r:id="rId5" xr:uid="{D1482EB3-3584-4EA5-8976-99DC926AA1C4}"/>
    <hyperlink ref="M97" r:id="rId6" xr:uid="{DAADDCE8-0086-46A6-993D-3D4EB8C7333D}"/>
    <hyperlink ref="M69" r:id="rId7" xr:uid="{DCC1553B-F462-4E18-AA9C-FDEB72E5A6CF}"/>
    <hyperlink ref="M70" r:id="rId8" xr:uid="{DC7A35BC-769F-4C8A-99CD-008C91DD5908}"/>
    <hyperlink ref="M21" r:id="rId9" xr:uid="{560D92D8-FE41-4E15-BC5E-6B574AB0AAD4}"/>
    <hyperlink ref="M38" r:id="rId10" xr:uid="{4B3E895F-0CF6-4838-B447-D22AC9C514D1}"/>
    <hyperlink ref="M45" r:id="rId11" xr:uid="{77726DDE-50CF-49A7-9307-8B0151305568}"/>
    <hyperlink ref="M63" r:id="rId12" xr:uid="{90D2D83E-FF52-4811-9F67-B02A30A0DA1C}"/>
    <hyperlink ref="M62" r:id="rId13" xr:uid="{8182AC89-4B39-418C-90B0-495D073180B0}"/>
    <hyperlink ref="M68" r:id="rId14" xr:uid="{116965EA-C61A-4F8B-9483-2FAA19DD3348}"/>
    <hyperlink ref="M73" r:id="rId15" xr:uid="{9246D444-CEBD-45E0-B2F9-0BB1781BAE5E}"/>
    <hyperlink ref="M83" r:id="rId16" xr:uid="{56A8F30F-8FE0-4D46-AFE7-825E7056ABF2}"/>
    <hyperlink ref="M96" r:id="rId17" xr:uid="{221F9BB6-C39F-4F0A-B3DC-C71089E06E6A}"/>
    <hyperlink ref="M43" r:id="rId18" xr:uid="{C85ABEFE-3DFA-4A40-99A8-7701EB6FAC1B}"/>
    <hyperlink ref="M44" r:id="rId19" xr:uid="{99935B90-67D7-4C07-AE5A-9F2ABF415C4E}"/>
    <hyperlink ref="M87" r:id="rId20" xr:uid="{BFEC64E2-2253-4470-804B-6F30D0C4F5F6}"/>
    <hyperlink ref="M88" r:id="rId21" xr:uid="{F8817E8B-C8E2-4685-886E-72C4E4105081}"/>
    <hyperlink ref="M89" r:id="rId22" xr:uid="{3A4861CB-47FC-48C4-8A81-5A60B90E91D5}"/>
    <hyperlink ref="M104" r:id="rId23" xr:uid="{BE9C7FA3-3596-4A5A-8322-CF869FAD98E5}"/>
    <hyperlink ref="N3" r:id="rId24" xr:uid="{B4B03DA8-7CF7-443C-9507-3166DF345B13}"/>
  </hyperlinks>
  <pageMargins left="0.7" right="0.7" top="0.75" bottom="0.75" header="0.3" footer="0.3"/>
  <pageSetup orientation="portrait"/>
  <tableParts count="1"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7A25-BC5D-4883-881E-B99310313E17}">
  <dimension ref="A1:O7"/>
  <sheetViews>
    <sheetView workbookViewId="0">
      <selection activeCell="A3" sqref="A3:O7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12.140625" customWidth="1"/>
    <col min="6" max="6" width="27.42578125" bestFit="1" customWidth="1"/>
    <col min="7" max="7" width="12.28515625" bestFit="1" customWidth="1"/>
    <col min="8" max="8" width="20.7109375" bestFit="1" customWidth="1"/>
    <col min="9" max="9" width="8.42578125" customWidth="1"/>
    <col min="10" max="10" width="15.85546875" bestFit="1" customWidth="1"/>
    <col min="11" max="11" width="12.140625" bestFit="1" customWidth="1"/>
    <col min="12" max="12" width="13.140625" customWidth="1"/>
    <col min="14" max="14" width="16.85546875" bestFit="1" customWidth="1"/>
  </cols>
  <sheetData>
    <row r="1" spans="1:1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 ht="17.25" customHeight="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450</v>
      </c>
    </row>
    <row r="3" spans="1:15" ht="29.25" customHeight="1">
      <c r="A3" s="2">
        <v>1</v>
      </c>
      <c r="B3" s="3" t="s">
        <v>15</v>
      </c>
      <c r="C3" s="4" t="s">
        <v>16</v>
      </c>
      <c r="D3" s="5">
        <v>8127926887</v>
      </c>
      <c r="E3" s="5" t="s">
        <v>17</v>
      </c>
      <c r="F3" s="54">
        <v>45678</v>
      </c>
      <c r="G3" s="6" t="s">
        <v>18</v>
      </c>
      <c r="H3" s="6" t="s">
        <v>19</v>
      </c>
      <c r="I3" s="6" t="s">
        <v>20</v>
      </c>
      <c r="J3" s="5" t="s">
        <v>21</v>
      </c>
      <c r="K3" s="5" t="str">
        <f>IF(I3="YES","CAPA VERIFICATION SHOULD BE SCHEDULED",IF(I3="NO","REMINDER LETTER SHOULD BE SENT",""))</f>
        <v>REMINDER LETTER SHOULD BE SENT</v>
      </c>
      <c r="L3" s="26">
        <v>46023</v>
      </c>
      <c r="M3" s="30" t="s">
        <v>22</v>
      </c>
      <c r="N3" s="28" t="s">
        <v>23</v>
      </c>
      <c r="O3" s="101" t="s">
        <v>451</v>
      </c>
    </row>
    <row r="4" spans="1:15" ht="29.25" customHeight="1">
      <c r="A4" s="2">
        <v>2</v>
      </c>
      <c r="B4" s="3" t="s">
        <v>24</v>
      </c>
      <c r="C4" s="8" t="s">
        <v>25</v>
      </c>
      <c r="D4" s="5">
        <v>9035803090</v>
      </c>
      <c r="E4" s="5" t="s">
        <v>17</v>
      </c>
      <c r="F4" s="54">
        <v>45680</v>
      </c>
      <c r="G4" s="6" t="s">
        <v>18</v>
      </c>
      <c r="H4" s="6" t="s">
        <v>26</v>
      </c>
      <c r="I4" s="6" t="s">
        <v>20</v>
      </c>
      <c r="J4" s="5" t="s">
        <v>21</v>
      </c>
      <c r="K4" s="5" t="str">
        <f>IF(I4="YES","CAPA VERIFICATION SHOULD BE SCHEDULED",IF(I4="NO","REMINDER LETTER SHOULD BE SENT",""))</f>
        <v>REMINDER LETTER SHOULD BE SENT</v>
      </c>
      <c r="L4" s="26">
        <v>46023</v>
      </c>
      <c r="M4" s="27" t="s">
        <v>27</v>
      </c>
      <c r="N4" s="28" t="str">
        <f>IF(M4="","",HYPERLINK(M4,B4))</f>
        <v>JANE-MADOK PHARMACY &amp; WELLNESS CENTER</v>
      </c>
      <c r="O4" s="101" t="s">
        <v>452</v>
      </c>
    </row>
    <row r="5" spans="1:15" ht="30" customHeight="1">
      <c r="A5" s="2">
        <v>3</v>
      </c>
      <c r="B5" s="9" t="s">
        <v>28</v>
      </c>
      <c r="C5" s="10" t="s">
        <v>29</v>
      </c>
      <c r="D5" s="5">
        <v>7033089165</v>
      </c>
      <c r="E5" s="5" t="s">
        <v>17</v>
      </c>
      <c r="F5" s="54">
        <v>45680</v>
      </c>
      <c r="G5" s="6" t="s">
        <v>18</v>
      </c>
      <c r="H5" s="6" t="s">
        <v>30</v>
      </c>
      <c r="I5" s="6" t="s">
        <v>20</v>
      </c>
      <c r="J5" s="5" t="s">
        <v>21</v>
      </c>
      <c r="K5" s="5" t="str">
        <f>IF(I5="YES","CAPA VERIFICATION SHOULD BE SCHEDULED",IF(I5="NO","REMINDER LETTER SHOULD BE SENT",""))</f>
        <v>REMINDER LETTER SHOULD BE SENT</v>
      </c>
      <c r="L5" s="26">
        <v>46054</v>
      </c>
      <c r="M5" s="27" t="s">
        <v>31</v>
      </c>
      <c r="N5" s="28" t="str">
        <f>IF(M5="","",HYPERLINK(M5,B5))</f>
        <v>ROCHE PRODUCTS LIMITED (MEDICAL DEVICES)</v>
      </c>
      <c r="O5" s="1"/>
    </row>
    <row r="6" spans="1:15" ht="30" customHeight="1">
      <c r="A6" s="2">
        <v>4</v>
      </c>
      <c r="B6" s="9" t="s">
        <v>32</v>
      </c>
      <c r="C6" s="8" t="s">
        <v>33</v>
      </c>
      <c r="D6" s="5">
        <v>8022317625</v>
      </c>
      <c r="E6" s="5" t="s">
        <v>34</v>
      </c>
      <c r="F6" s="54">
        <v>45685</v>
      </c>
      <c r="G6" s="6" t="s">
        <v>18</v>
      </c>
      <c r="H6" s="6" t="s">
        <v>35</v>
      </c>
      <c r="I6" s="6" t="s">
        <v>36</v>
      </c>
      <c r="J6" s="5" t="s">
        <v>9</v>
      </c>
      <c r="K6" s="5" t="str">
        <f>IF(I6="YES","CAPA VERIFICATION SHOULD BE SCHEDULED",IF(I6="NO","REMINDER LETTER SHOULD BE SENT",""))</f>
        <v>CAPA VERIFICATION SHOULD BE SCHEDULED</v>
      </c>
      <c r="L6" s="26">
        <v>46023</v>
      </c>
      <c r="M6" s="27" t="s">
        <v>37</v>
      </c>
      <c r="N6" s="28" t="str">
        <f>IF(M6="","",HYPERLINK(M6,B6))</f>
        <v>KCH CONSUMER HEALTHCARE LTD. (CAPA)</v>
      </c>
      <c r="O6" s="1"/>
    </row>
    <row r="7" spans="1:15" ht="30" customHeight="1">
      <c r="A7" s="2">
        <v>5</v>
      </c>
      <c r="B7" s="3" t="s">
        <v>38</v>
      </c>
      <c r="C7" s="8" t="s">
        <v>39</v>
      </c>
      <c r="D7" s="5">
        <v>8033268130</v>
      </c>
      <c r="E7" s="5" t="s">
        <v>17</v>
      </c>
      <c r="F7" s="54">
        <v>45685</v>
      </c>
      <c r="G7" s="6" t="s">
        <v>18</v>
      </c>
      <c r="H7" s="11">
        <v>45685</v>
      </c>
      <c r="I7" s="6" t="s">
        <v>20</v>
      </c>
      <c r="J7" s="5" t="s">
        <v>21</v>
      </c>
      <c r="K7" s="5" t="str">
        <f>IF(I7="YES","CAPA VERIFICATION SHOULD BE SCHEDULED",IF(I7="NO","REMINDER LETTER SHOULD BE SENT",""))</f>
        <v>REMINDER LETTER SHOULD BE SENT</v>
      </c>
      <c r="L7" s="26">
        <v>46023</v>
      </c>
      <c r="M7" s="30" t="s">
        <v>40</v>
      </c>
      <c r="N7" s="28" t="str">
        <f>IF(M7="","",HYPERLINK(M7,B7))</f>
        <v>MUJID HEALTHCARE LTD</v>
      </c>
      <c r="O7" s="7"/>
    </row>
  </sheetData>
  <mergeCells count="1">
    <mergeCell ref="A1:N1"/>
  </mergeCells>
  <dataValidations count="1">
    <dataValidation type="list" allowBlank="1" showInputMessage="1" showErrorMessage="1" sqref="I3:I7" xr:uid="{3C21EB5B-2DE2-42AB-A471-4055BD9D5BE1}">
      <formula1>"YES,NO,N/A"</formula1>
    </dataValidation>
  </dataValidations>
  <hyperlinks>
    <hyperlink ref="M3:M4" r:id="rId1" display="https://nafdacng.sharepoint.com/sites/PMSLAGOS/Shared Documents/GDP (GOOD DISTRIBUTION PRATICE)/GSDP COMPANY FILES\Santa Care LTD" xr:uid="{95C47AA0-2584-4A88-987F-A8EA5FAF50EA}"/>
    <hyperlink ref="M7" r:id="rId2" xr:uid="{5B7AF785-4611-48C8-A6A7-C50819FB6E1A}"/>
    <hyperlink ref="N3" r:id="rId3" xr:uid="{62CBA331-A081-4572-A88D-4C05A9F02F74}"/>
    <hyperlink ref="O3" r:id="rId4" xr:uid="{43012F70-3D4E-4683-B50F-89625D2A03DA}"/>
    <hyperlink ref="M3" r:id="rId5" display="https://nafdacng.sharepoint.com/sites/PMSLAGOS/Shared Documents/GDP (GOOD DISTRIBUTION PRATICE)/GSDP COMPANY FILES\Santa Care LTD" xr:uid="{92051340-A050-4436-93B2-021C2CADD135}"/>
    <hyperlink ref="O4" r:id="rId6" xr:uid="{15D918A3-10BE-4677-BB6D-417C7F666794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B997-3ABC-484F-9738-44B19BD910BD}">
  <dimension ref="A1:O3"/>
  <sheetViews>
    <sheetView workbookViewId="0">
      <selection activeCell="A2" sqref="A2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38.5703125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152.25">
      <c r="A3" s="51">
        <v>6</v>
      </c>
      <c r="B3" s="64" t="s">
        <v>28</v>
      </c>
      <c r="C3" s="65" t="s">
        <v>41</v>
      </c>
      <c r="D3" s="22">
        <v>7044644915</v>
      </c>
      <c r="E3" s="22" t="s">
        <v>17</v>
      </c>
      <c r="F3" s="66">
        <v>45693</v>
      </c>
      <c r="G3" s="62" t="s">
        <v>18</v>
      </c>
      <c r="H3" s="67">
        <v>45685</v>
      </c>
      <c r="I3" s="62" t="s">
        <v>20</v>
      </c>
      <c r="J3" s="22" t="s">
        <v>21</v>
      </c>
      <c r="K3" s="22" t="str">
        <f>IF(I3="YES","CAPA VERIFICATION SHOULD BE SCHEDULED",IF(I3="NO","REMINDER LETTER SHOULD BE SENT",""))</f>
        <v>REMINDER LETTER SHOULD BE SENT</v>
      </c>
      <c r="L3" s="68">
        <v>45683</v>
      </c>
      <c r="M3" s="69"/>
      <c r="N3" s="70" t="str">
        <f>IF(M3="","",HYPERLINK(M3,B3))</f>
        <v/>
      </c>
      <c r="O3" s="12"/>
    </row>
  </sheetData>
  <mergeCells count="1">
    <mergeCell ref="A1:N1"/>
  </mergeCells>
  <dataValidations count="1">
    <dataValidation type="list" allowBlank="1" showInputMessage="1" showErrorMessage="1" sqref="I3" xr:uid="{3FDE0361-2788-4FFA-AA3E-3613EB627D0D}">
      <formula1>"YES,NO,N/A"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FDBA-377A-4071-BFA7-75DB81668BDD}">
  <dimension ref="A1:O15"/>
  <sheetViews>
    <sheetView topLeftCell="A9" workbookViewId="0">
      <selection activeCell="D11" sqref="D11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23.25" customHeight="1">
      <c r="A3" s="75">
        <v>7</v>
      </c>
      <c r="B3" s="76" t="s">
        <v>42</v>
      </c>
      <c r="C3" s="77"/>
      <c r="D3" s="33"/>
      <c r="E3" s="33" t="s">
        <v>17</v>
      </c>
      <c r="F3" s="78">
        <v>45734</v>
      </c>
      <c r="G3" s="79" t="s">
        <v>18</v>
      </c>
      <c r="H3" s="33" t="s">
        <v>43</v>
      </c>
      <c r="I3" s="33" t="s">
        <v>36</v>
      </c>
      <c r="J3" s="33" t="s">
        <v>9</v>
      </c>
      <c r="K3" s="33" t="str">
        <f>IF(I3="YES","CAPA VERIFICATION SHOULD BE SCHEDULED",IF(I3="NO","REMINDER LETTER SHOULD BE SENT",""))</f>
        <v>CAPA VERIFICATION SHOULD BE SCHEDULED</v>
      </c>
      <c r="L3" s="80">
        <v>45870</v>
      </c>
      <c r="M3" s="27" t="s">
        <v>44</v>
      </c>
      <c r="N3" s="34" t="str">
        <f>IF(M3="","",HYPERLINK(M3,B3))</f>
        <v>EUROMED LTD</v>
      </c>
      <c r="O3" s="7"/>
    </row>
    <row r="4" spans="1:15" ht="23.25" customHeight="1">
      <c r="A4" s="75">
        <v>8</v>
      </c>
      <c r="B4" s="76" t="s">
        <v>45</v>
      </c>
      <c r="C4" s="77" t="s">
        <v>46</v>
      </c>
      <c r="D4" s="33">
        <v>8132993626</v>
      </c>
      <c r="E4" s="33" t="s">
        <v>34</v>
      </c>
      <c r="F4" s="78">
        <v>45734</v>
      </c>
      <c r="G4" s="79" t="s">
        <v>47</v>
      </c>
      <c r="H4" s="79" t="s">
        <v>48</v>
      </c>
      <c r="I4" s="79" t="s">
        <v>36</v>
      </c>
      <c r="J4" s="33" t="s">
        <v>49</v>
      </c>
      <c r="K4" s="33" t="s">
        <v>49</v>
      </c>
      <c r="L4" s="80">
        <v>46447</v>
      </c>
      <c r="M4" s="33" t="s">
        <v>50</v>
      </c>
      <c r="N4" s="34" t="str">
        <f>IF(M4="","",HYPERLINK(M4,B4))</f>
        <v>GREENLIFE PHARMA CEUTICALS LTD. (CAPA)</v>
      </c>
      <c r="O4" s="1"/>
    </row>
    <row r="5" spans="1:15" ht="23.25" customHeight="1">
      <c r="A5" s="75">
        <v>9</v>
      </c>
      <c r="B5" s="76" t="s">
        <v>51</v>
      </c>
      <c r="C5" s="81" t="s">
        <v>52</v>
      </c>
      <c r="D5" s="33" t="s">
        <v>53</v>
      </c>
      <c r="E5" s="33" t="s">
        <v>17</v>
      </c>
      <c r="F5" s="78">
        <v>45734</v>
      </c>
      <c r="G5" s="79" t="s">
        <v>18</v>
      </c>
      <c r="H5" s="79" t="s">
        <v>54</v>
      </c>
      <c r="I5" s="79" t="s">
        <v>20</v>
      </c>
      <c r="J5" s="33" t="s">
        <v>21</v>
      </c>
      <c r="K5" s="33" t="str">
        <f>IF(I5="YES","CAPA VERIFICATION SHOULD BE SCHEDULED",IF(I5="NO","REMINDER LETTER SHOULD BE SENT",""))</f>
        <v>REMINDER LETTER SHOULD BE SENT</v>
      </c>
      <c r="L5" s="80">
        <v>46082</v>
      </c>
      <c r="M5" s="27" t="s">
        <v>55</v>
      </c>
      <c r="N5" s="34" t="str">
        <f>IF(M5="","",HYPERLINK(M5,B5))</f>
        <v>DORTEMAG PHARM. &amp; STORES</v>
      </c>
      <c r="O5" s="7"/>
    </row>
    <row r="6" spans="1:15" ht="23.25" customHeight="1">
      <c r="A6" s="75">
        <v>10</v>
      </c>
      <c r="B6" s="76" t="s">
        <v>56</v>
      </c>
      <c r="C6" s="81" t="s">
        <v>57</v>
      </c>
      <c r="D6" s="33" t="s">
        <v>58</v>
      </c>
      <c r="E6" s="33" t="s">
        <v>17</v>
      </c>
      <c r="F6" s="78">
        <v>45734</v>
      </c>
      <c r="G6" s="79" t="s">
        <v>18</v>
      </c>
      <c r="H6" s="79" t="s">
        <v>59</v>
      </c>
      <c r="I6" s="79" t="s">
        <v>20</v>
      </c>
      <c r="J6" s="33" t="s">
        <v>21</v>
      </c>
      <c r="K6" s="33" t="str">
        <f>IF(I6="YES","CAPA VERIFICATION SHOULD BE SCHEDULED",IF(I6="NO","REMINDER LETTER SHOULD BE SENT",""))</f>
        <v>REMINDER LETTER SHOULD BE SENT</v>
      </c>
      <c r="L6" s="80">
        <v>45717</v>
      </c>
      <c r="M6" s="27" t="s">
        <v>60</v>
      </c>
      <c r="N6" s="34" t="str">
        <f>IF(M6="","",HYPERLINK(M6,B6))</f>
        <v>HEALTHLINE NIG. LTD</v>
      </c>
      <c r="O6" s="12"/>
    </row>
    <row r="7" spans="1:15" ht="23.25" customHeight="1">
      <c r="A7" s="75">
        <v>11</v>
      </c>
      <c r="B7" s="76" t="s">
        <v>61</v>
      </c>
      <c r="C7" s="81" t="s">
        <v>62</v>
      </c>
      <c r="D7" s="33" t="s">
        <v>63</v>
      </c>
      <c r="E7" s="33" t="s">
        <v>17</v>
      </c>
      <c r="F7" s="78">
        <v>45734</v>
      </c>
      <c r="G7" s="79" t="s">
        <v>18</v>
      </c>
      <c r="H7" s="79" t="s">
        <v>54</v>
      </c>
      <c r="I7" s="79" t="s">
        <v>20</v>
      </c>
      <c r="J7" s="33" t="s">
        <v>21</v>
      </c>
      <c r="K7" s="33" t="str">
        <f>IF(I7="YES","CAPA VERIFICATION SHOULD BE SCHEDULED",IF(I7="NO","REMINDER LETTER SHOULD BE SENT",""))</f>
        <v>REMINDER LETTER SHOULD BE SENT</v>
      </c>
      <c r="L7" s="80">
        <v>45717</v>
      </c>
      <c r="M7" s="27" t="s">
        <v>64</v>
      </c>
      <c r="N7" s="34" t="str">
        <f>IF(M7="","",HYPERLINK(M7,B7))</f>
        <v>GETZPHARMA NIG. LTD</v>
      </c>
      <c r="O7" s="12"/>
    </row>
    <row r="8" spans="1:15" ht="23.25" customHeight="1">
      <c r="A8" s="75">
        <v>12</v>
      </c>
      <c r="B8" s="76" t="s">
        <v>65</v>
      </c>
      <c r="C8" s="81" t="s">
        <v>66</v>
      </c>
      <c r="D8" s="33" t="s">
        <v>67</v>
      </c>
      <c r="E8" s="33" t="s">
        <v>17</v>
      </c>
      <c r="F8" s="78">
        <v>45735</v>
      </c>
      <c r="G8" s="79" t="s">
        <v>18</v>
      </c>
      <c r="H8" s="79" t="s">
        <v>68</v>
      </c>
      <c r="I8" s="79" t="s">
        <v>36</v>
      </c>
      <c r="J8" s="33" t="s">
        <v>21</v>
      </c>
      <c r="K8" s="33" t="str">
        <f>IF(I8="YES","CAPA VERIFICATION SHOULD BE SCHEDULED",IF(I8="NO","REMINDER LETTER SHOULD BE SENT",""))</f>
        <v>CAPA VERIFICATION SHOULD BE SCHEDULED</v>
      </c>
      <c r="L8" s="80">
        <v>45717</v>
      </c>
      <c r="M8" s="27" t="s">
        <v>69</v>
      </c>
      <c r="N8" s="34" t="str">
        <f>IF(M8="","",HYPERLINK(M8,B8))</f>
        <v>SHEPHERD HEALTH &amp; VETERINARY LTD.</v>
      </c>
      <c r="O8" s="1"/>
    </row>
    <row r="9" spans="1:15" ht="23.25" customHeight="1">
      <c r="A9" s="75">
        <v>13</v>
      </c>
      <c r="B9" s="76" t="s">
        <v>70</v>
      </c>
      <c r="C9" s="81" t="s">
        <v>71</v>
      </c>
      <c r="D9" s="33" t="s">
        <v>72</v>
      </c>
      <c r="E9" s="33" t="s">
        <v>17</v>
      </c>
      <c r="F9" s="78">
        <v>45735</v>
      </c>
      <c r="G9" s="79" t="s">
        <v>18</v>
      </c>
      <c r="H9" s="79"/>
      <c r="I9" s="79" t="s">
        <v>48</v>
      </c>
      <c r="J9" s="33" t="s">
        <v>21</v>
      </c>
      <c r="K9" s="33" t="str">
        <f>IF(I9="YES","CAPA VERIFICATION SHOULD BE SCHEDULED",IF(I9="NO","REMINDER LETTER SHOULD BE SENT",""))</f>
        <v/>
      </c>
      <c r="L9" s="80">
        <v>45717</v>
      </c>
      <c r="M9" s="33" t="s">
        <v>73</v>
      </c>
      <c r="N9" s="34" t="str">
        <f>IF(M9="","",HYPERLINK(M9,B9))</f>
        <v>ADCEM PHARMACEUTICALS LTD</v>
      </c>
      <c r="O9" s="1"/>
    </row>
    <row r="10" spans="1:15" ht="23.25" customHeight="1">
      <c r="A10" s="75">
        <v>14</v>
      </c>
      <c r="B10" s="76" t="s">
        <v>74</v>
      </c>
      <c r="C10" s="81" t="s">
        <v>75</v>
      </c>
      <c r="D10" s="33" t="s">
        <v>76</v>
      </c>
      <c r="E10" s="33" t="s">
        <v>17</v>
      </c>
      <c r="F10" s="78">
        <v>45735</v>
      </c>
      <c r="G10" s="79" t="s">
        <v>18</v>
      </c>
      <c r="H10" s="79" t="s">
        <v>68</v>
      </c>
      <c r="I10" s="79" t="s">
        <v>20</v>
      </c>
      <c r="J10" s="33" t="s">
        <v>21</v>
      </c>
      <c r="K10" s="33" t="str">
        <f>IF(I10="YES","CAPA VERIFICATION SHOULD BE SCHEDULED",IF(I10="NO","REMINDER LETTER SHOULD BE SENT",""))</f>
        <v>REMINDER LETTER SHOULD BE SENT</v>
      </c>
      <c r="L10" s="80">
        <v>45717</v>
      </c>
      <c r="M10" s="34" t="s">
        <v>77</v>
      </c>
      <c r="N10" s="34" t="str">
        <f>IF(M10="","",HYPERLINK(M10,B10))</f>
        <v>ADDMORE PHARMACY</v>
      </c>
      <c r="O10" s="7"/>
    </row>
    <row r="11" spans="1:15" ht="23.25" customHeight="1">
      <c r="A11" s="75">
        <v>15</v>
      </c>
      <c r="B11" s="76" t="s">
        <v>78</v>
      </c>
      <c r="C11" s="81" t="s">
        <v>79</v>
      </c>
      <c r="D11" s="33" t="s">
        <v>80</v>
      </c>
      <c r="E11" s="33" t="s">
        <v>17</v>
      </c>
      <c r="F11" s="78">
        <v>45736</v>
      </c>
      <c r="G11" s="79" t="s">
        <v>81</v>
      </c>
      <c r="H11" s="79" t="s">
        <v>48</v>
      </c>
      <c r="I11" s="79" t="s">
        <v>20</v>
      </c>
      <c r="J11" s="33" t="s">
        <v>21</v>
      </c>
      <c r="K11" s="33" t="str">
        <f>IF(I11="YES","CAPA VERIFICATION SHOULD BE SCHEDULED",IF(I11="NO","REMINDER LETTER SHOULD BE SENT",""))</f>
        <v>REMINDER LETTER SHOULD BE SENT</v>
      </c>
      <c r="L11" s="80">
        <v>45901</v>
      </c>
      <c r="M11" s="27" t="s">
        <v>82</v>
      </c>
      <c r="N11" s="34" t="str">
        <f>IF(M11="","",HYPERLINK(M11,B11))</f>
        <v>AXION PHARMACEUTICALS LTD</v>
      </c>
      <c r="O11" s="1"/>
    </row>
    <row r="12" spans="1:15" ht="23.25" customHeight="1">
      <c r="A12" s="75">
        <v>16</v>
      </c>
      <c r="B12" s="82" t="s">
        <v>83</v>
      </c>
      <c r="C12" s="77" t="s">
        <v>84</v>
      </c>
      <c r="D12" s="33" t="s">
        <v>85</v>
      </c>
      <c r="E12" s="33" t="s">
        <v>17</v>
      </c>
      <c r="F12" s="78">
        <v>45736</v>
      </c>
      <c r="G12" s="79" t="s">
        <v>47</v>
      </c>
      <c r="H12" s="79" t="s">
        <v>68</v>
      </c>
      <c r="I12" s="79" t="s">
        <v>36</v>
      </c>
      <c r="J12" s="33" t="s">
        <v>9</v>
      </c>
      <c r="K12" s="33" t="s">
        <v>86</v>
      </c>
      <c r="L12" s="83" t="s">
        <v>87</v>
      </c>
      <c r="M12" s="27" t="s">
        <v>88</v>
      </c>
      <c r="N12" s="34" t="str">
        <f>IF(M12="","",HYPERLINK(M12,B12))</f>
        <v>MED EXPRESS</v>
      </c>
      <c r="O12" s="1"/>
    </row>
    <row r="13" spans="1:15" ht="19.5" customHeight="1">
      <c r="A13" s="75">
        <v>20</v>
      </c>
      <c r="B13" s="76" t="s">
        <v>89</v>
      </c>
      <c r="C13" s="81" t="s">
        <v>90</v>
      </c>
      <c r="D13" s="33" t="s">
        <v>91</v>
      </c>
      <c r="E13" s="33" t="s">
        <v>17</v>
      </c>
      <c r="F13" s="78">
        <v>45736</v>
      </c>
      <c r="G13" s="79" t="s">
        <v>81</v>
      </c>
      <c r="H13" s="79" t="s">
        <v>92</v>
      </c>
      <c r="I13" s="79" t="s">
        <v>36</v>
      </c>
      <c r="J13" s="33" t="s">
        <v>9</v>
      </c>
      <c r="K13" s="33" t="str">
        <f>IF(I13="YES","CAPA VERIFICATION SHOULD BE SCHEDULED",IF(I13="NO","REMINDER LETTER SHOULD BE SENT",""))</f>
        <v>CAPA VERIFICATION SHOULD BE SCHEDULED</v>
      </c>
      <c r="L13" s="80">
        <v>45742</v>
      </c>
      <c r="M13" s="27" t="s">
        <v>93</v>
      </c>
      <c r="N13" s="34" t="str">
        <f>IF(M13="","",HYPERLINK(M13,B13))</f>
        <v>SOLID ACCORD LTD</v>
      </c>
      <c r="O13" s="12"/>
    </row>
    <row r="14" spans="1:15" ht="19.5" customHeight="1">
      <c r="A14" s="75">
        <v>21</v>
      </c>
      <c r="B14" s="76" t="s">
        <v>94</v>
      </c>
      <c r="C14" s="81" t="s">
        <v>95</v>
      </c>
      <c r="D14" s="33" t="s">
        <v>96</v>
      </c>
      <c r="E14" s="33" t="s">
        <v>17</v>
      </c>
      <c r="F14" s="78">
        <v>45736</v>
      </c>
      <c r="G14" s="79" t="s">
        <v>47</v>
      </c>
      <c r="H14" s="79" t="s">
        <v>92</v>
      </c>
      <c r="I14" s="79" t="s">
        <v>20</v>
      </c>
      <c r="J14" s="33" t="s">
        <v>21</v>
      </c>
      <c r="K14" s="33" t="str">
        <f>IF(I14="YES","CAPA VERIFICATION SHOULD BE SCHEDULED",IF(I14="NO","REMINDER LETTER SHOULD BE SENT",""))</f>
        <v>REMINDER LETTER SHOULD BE SENT</v>
      </c>
      <c r="L14" s="80">
        <v>45925</v>
      </c>
      <c r="M14" s="27" t="s">
        <v>97</v>
      </c>
      <c r="N14" s="34" t="str">
        <f>IF(M14="","",HYPERLINK(M14,B14))</f>
        <v>AQUATIX PHARM. LTD</v>
      </c>
      <c r="O14" s="12"/>
    </row>
    <row r="15" spans="1:15" ht="42.75" customHeight="1">
      <c r="A15" s="75">
        <v>22</v>
      </c>
      <c r="B15" s="82" t="s">
        <v>98</v>
      </c>
      <c r="C15" s="77" t="s">
        <v>99</v>
      </c>
      <c r="D15" s="33" t="s">
        <v>100</v>
      </c>
      <c r="E15" s="33" t="s">
        <v>17</v>
      </c>
      <c r="F15" s="78">
        <v>45736</v>
      </c>
      <c r="G15" s="79" t="s">
        <v>81</v>
      </c>
      <c r="H15" s="79" t="s">
        <v>92</v>
      </c>
      <c r="I15" s="79" t="s">
        <v>20</v>
      </c>
      <c r="J15" s="33" t="s">
        <v>21</v>
      </c>
      <c r="K15" s="33" t="str">
        <f>IF(I15="YES","CAPA VERIFICATION SHOULD BE SCHEDULED",IF(I15="NO","REMINDER LETTER SHOULD BE SENT",""))</f>
        <v>REMINDER LETTER SHOULD BE SENT</v>
      </c>
      <c r="L15" s="80">
        <v>45901</v>
      </c>
      <c r="M15" s="30" t="s">
        <v>101</v>
      </c>
      <c r="N15" s="34" t="str">
        <f>IF(M15="","",HYPERLINK(M15,B15))</f>
        <v>SAI SAGAR</v>
      </c>
      <c r="O15" s="1"/>
    </row>
  </sheetData>
  <mergeCells count="1">
    <mergeCell ref="A1:N1"/>
  </mergeCells>
  <dataValidations count="1">
    <dataValidation type="list" allowBlank="1" showInputMessage="1" showErrorMessage="1" sqref="I3:I15" xr:uid="{9B12CD2E-0F3A-4E6D-A3FF-28DB8BBF4A0F}">
      <formula1>"YES,NO,N/A"</formula1>
    </dataValidation>
  </dataValidations>
  <hyperlinks>
    <hyperlink ref="M10" r:id="rId1" xr:uid="{AA5AC5F4-6232-48BB-B3CA-A1E513D408AA}"/>
    <hyperlink ref="M15" r:id="rId2" xr:uid="{2F1DB0CE-80D0-452B-A991-203E1875F98B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CE86-F97C-46BA-809B-0CA4F39E1851}">
  <dimension ref="A1:O14"/>
  <sheetViews>
    <sheetView workbookViewId="0">
      <selection activeCell="A14" sqref="A14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25.5" customHeight="1">
      <c r="A3" s="2">
        <v>23</v>
      </c>
      <c r="B3" s="13" t="s">
        <v>102</v>
      </c>
      <c r="C3" s="10" t="s">
        <v>103</v>
      </c>
      <c r="D3" s="5" t="s">
        <v>104</v>
      </c>
      <c r="E3" s="5" t="s">
        <v>17</v>
      </c>
      <c r="F3" s="54">
        <v>45762</v>
      </c>
      <c r="G3" s="6" t="s">
        <v>18</v>
      </c>
      <c r="H3" s="6" t="s">
        <v>105</v>
      </c>
      <c r="I3" s="6" t="s">
        <v>36</v>
      </c>
      <c r="J3" s="5" t="s">
        <v>9</v>
      </c>
      <c r="K3" s="5" t="str">
        <f>IF(I3="YES","CAPA VERIFICATION SHOULD BE SCHEDULED",IF(I3="NO","REMINDER LETTER SHOULD BE SENT",""))</f>
        <v>CAPA VERIFICATION SHOULD BE SCHEDULED</v>
      </c>
      <c r="L3" s="26">
        <v>45748</v>
      </c>
      <c r="M3" s="27" t="s">
        <v>106</v>
      </c>
      <c r="N3" s="28" t="str">
        <f>IF(M3="","",HYPERLINK(M3,B3))</f>
        <v>MAYDON PHARM. &amp; CHEM. CO. LTD.</v>
      </c>
      <c r="O3" s="1"/>
    </row>
    <row r="4" spans="1:15" ht="25.5" customHeight="1">
      <c r="A4" s="2">
        <v>24</v>
      </c>
      <c r="B4" s="3" t="s">
        <v>107</v>
      </c>
      <c r="C4" s="10" t="s">
        <v>108</v>
      </c>
      <c r="D4" s="5" t="s">
        <v>109</v>
      </c>
      <c r="E4" s="5" t="s">
        <v>17</v>
      </c>
      <c r="F4" s="54">
        <v>45762</v>
      </c>
      <c r="G4" s="6" t="s">
        <v>18</v>
      </c>
      <c r="H4" s="6" t="s">
        <v>105</v>
      </c>
      <c r="I4" s="6" t="s">
        <v>20</v>
      </c>
      <c r="J4" s="5" t="s">
        <v>21</v>
      </c>
      <c r="K4" s="5" t="str">
        <f>IF(I4="YES","CAPA VERIFICATION SHOULD BE SCHEDULED",IF(I4="NO","REMINDER LETTER SHOULD BE SENT",""))</f>
        <v>REMINDER LETTER SHOULD BE SENT</v>
      </c>
      <c r="L4" s="26">
        <v>45748</v>
      </c>
      <c r="M4" s="36" t="s">
        <v>110</v>
      </c>
      <c r="N4" s="28" t="str">
        <f>IF(M4="","",HYPERLINK(M4,B4))</f>
        <v>ALMOND ETHICALS LTD</v>
      </c>
      <c r="O4" s="1"/>
    </row>
    <row r="5" spans="1:15" ht="25.5" customHeight="1">
      <c r="A5" s="2">
        <v>25</v>
      </c>
      <c r="B5" s="9" t="s">
        <v>111</v>
      </c>
      <c r="C5" s="10" t="s">
        <v>112</v>
      </c>
      <c r="D5" s="5" t="s">
        <v>113</v>
      </c>
      <c r="E5" s="5" t="s">
        <v>17</v>
      </c>
      <c r="F5" s="54">
        <v>45762</v>
      </c>
      <c r="G5" s="6" t="s">
        <v>18</v>
      </c>
      <c r="H5" s="6" t="s">
        <v>114</v>
      </c>
      <c r="I5" s="6" t="s">
        <v>20</v>
      </c>
      <c r="J5" s="5" t="s">
        <v>21</v>
      </c>
      <c r="K5" s="5" t="str">
        <f>IF(I5="YES","CAPA VERIFICATION SHOULD BE SCHEDULED",IF(I5="NO","REMINDER LETTER SHOULD BE SENT",""))</f>
        <v>REMINDER LETTER SHOULD BE SENT</v>
      </c>
      <c r="L5" s="31">
        <v>45773</v>
      </c>
      <c r="M5" s="27" t="s">
        <v>115</v>
      </c>
      <c r="N5" s="28" t="str">
        <f>IF(M5="","",HYPERLINK(M5,B5))</f>
        <v>EJIMATH PHARMACY LTD.</v>
      </c>
      <c r="O5" s="12"/>
    </row>
    <row r="6" spans="1:15" ht="25.5" customHeight="1">
      <c r="A6" s="2">
        <v>26</v>
      </c>
      <c r="B6" s="3" t="s">
        <v>116</v>
      </c>
      <c r="C6" s="8" t="s">
        <v>117</v>
      </c>
      <c r="D6" s="5" t="s">
        <v>118</v>
      </c>
      <c r="E6" s="5" t="s">
        <v>17</v>
      </c>
      <c r="F6" s="54">
        <v>45762</v>
      </c>
      <c r="G6" s="6" t="s">
        <v>18</v>
      </c>
      <c r="H6" s="6" t="s">
        <v>114</v>
      </c>
      <c r="I6" s="6" t="s">
        <v>20</v>
      </c>
      <c r="J6" s="5" t="s">
        <v>21</v>
      </c>
      <c r="K6" s="5" t="str">
        <f>IF(I6="YES","CAPA VERIFICATION SHOULD BE SCHEDULED",IF(I6="NO","REMINDER LETTER SHOULD BE SENT",""))</f>
        <v>REMINDER LETTER SHOULD BE SENT</v>
      </c>
      <c r="L6" s="26">
        <v>45748</v>
      </c>
      <c r="M6" s="27" t="s">
        <v>119</v>
      </c>
      <c r="N6" s="28" t="str">
        <f>IF(M6="","",HYPERLINK(M6,B6))</f>
        <v>NAFRO PHARMA NIG. LTD.</v>
      </c>
      <c r="O6" s="1"/>
    </row>
    <row r="7" spans="1:15" ht="25.5" customHeight="1">
      <c r="A7" s="43">
        <v>27</v>
      </c>
      <c r="B7" s="9" t="s">
        <v>120</v>
      </c>
      <c r="C7" s="44" t="s">
        <v>121</v>
      </c>
      <c r="D7" s="44" t="s">
        <v>122</v>
      </c>
      <c r="E7" s="44" t="s">
        <v>17</v>
      </c>
      <c r="F7" s="54">
        <v>45763</v>
      </c>
      <c r="G7" s="6" t="s">
        <v>18</v>
      </c>
      <c r="H7" s="17"/>
      <c r="I7" s="17"/>
      <c r="J7" s="44" t="s">
        <v>21</v>
      </c>
      <c r="K7" s="44" t="str">
        <f>IF(I7="YES","CAPA VERIFICATION SHOULD BE SCHEDULED",IF(I7="NO","REMINDER LETTER SHOULD BE SENT",""))</f>
        <v/>
      </c>
      <c r="L7" s="45">
        <v>45748</v>
      </c>
      <c r="M7" s="46" t="s">
        <v>123</v>
      </c>
      <c r="N7" s="47" t="str">
        <f>IF(M7="","",HYPERLINK(M7,B7))</f>
        <v>THOMPSON &amp; GRACE PHARM. LTD.</v>
      </c>
      <c r="O7" s="48"/>
    </row>
    <row r="8" spans="1:15" ht="25.5" customHeight="1">
      <c r="A8" s="2">
        <v>28</v>
      </c>
      <c r="B8" s="3" t="s">
        <v>124</v>
      </c>
      <c r="C8" s="10" t="s">
        <v>125</v>
      </c>
      <c r="D8" s="5" t="s">
        <v>126</v>
      </c>
      <c r="E8" s="5" t="s">
        <v>17</v>
      </c>
      <c r="F8" s="54">
        <v>45763</v>
      </c>
      <c r="G8" s="6" t="s">
        <v>18</v>
      </c>
      <c r="H8" s="6" t="s">
        <v>127</v>
      </c>
      <c r="I8" s="6" t="s">
        <v>36</v>
      </c>
      <c r="J8" s="5" t="s">
        <v>9</v>
      </c>
      <c r="K8" s="5" t="str">
        <f>IF(I8="YES","CAPA VERIFICATION SHOULD BE SCHEDULED",IF(I8="NO","REMINDER LETTER SHOULD BE SENT",""))</f>
        <v>CAPA VERIFICATION SHOULD BE SCHEDULED</v>
      </c>
      <c r="L8" s="26">
        <v>45748</v>
      </c>
      <c r="M8" s="27" t="s">
        <v>128</v>
      </c>
      <c r="N8" s="28" t="str">
        <f>IF(M8="","",HYPERLINK(M8,B8))</f>
        <v>GLOBAL ONE WORD HEALTHCARE</v>
      </c>
      <c r="O8" s="1"/>
    </row>
    <row r="9" spans="1:15" ht="25.5" customHeight="1">
      <c r="A9" s="2">
        <v>29</v>
      </c>
      <c r="B9" s="3" t="s">
        <v>129</v>
      </c>
      <c r="C9" s="10" t="s">
        <v>130</v>
      </c>
      <c r="D9" s="5" t="s">
        <v>131</v>
      </c>
      <c r="E9" s="5" t="s">
        <v>17</v>
      </c>
      <c r="F9" s="54">
        <v>45763</v>
      </c>
      <c r="G9" s="6" t="s">
        <v>18</v>
      </c>
      <c r="H9" s="6" t="s">
        <v>127</v>
      </c>
      <c r="I9" s="6" t="s">
        <v>36</v>
      </c>
      <c r="J9" s="5" t="s">
        <v>9</v>
      </c>
      <c r="K9" s="5" t="str">
        <f>IF(I9="YES","CAPA VERIFICATION SHOULD BE SCHEDULED",IF(I9="NO","REMINDER LETTER SHOULD BE SENT",""))</f>
        <v>CAPA VERIFICATION SHOULD BE SCHEDULED</v>
      </c>
      <c r="L9" s="26">
        <v>45748</v>
      </c>
      <c r="M9" s="27" t="s">
        <v>132</v>
      </c>
      <c r="N9" s="28" t="str">
        <f>IF(M9="","",HYPERLINK(M9,B9))</f>
        <v>LABETA DRUGS LTD.</v>
      </c>
      <c r="O9" s="1"/>
    </row>
    <row r="10" spans="1:15" ht="25.5" customHeight="1">
      <c r="A10" s="2">
        <v>30</v>
      </c>
      <c r="B10" s="9" t="s">
        <v>133</v>
      </c>
      <c r="C10" s="10" t="s">
        <v>134</v>
      </c>
      <c r="D10" s="5">
        <v>8033183813</v>
      </c>
      <c r="E10" s="5" t="s">
        <v>17</v>
      </c>
      <c r="F10" s="54">
        <v>45764</v>
      </c>
      <c r="G10" s="6" t="s">
        <v>47</v>
      </c>
      <c r="H10" s="6"/>
      <c r="I10" s="6" t="s">
        <v>36</v>
      </c>
      <c r="J10" s="5" t="s">
        <v>135</v>
      </c>
      <c r="K10" s="5" t="str">
        <f>IF(I10="YES","CAPA VERIFICATION SHOULD BE SCHEDULED",IF(I10="NO","REMINDER LETTER SHOULD BE SENT",""))</f>
        <v>CAPA VERIFICATION SHOULD BE SCHEDULED</v>
      </c>
      <c r="L10" s="26">
        <v>46113</v>
      </c>
      <c r="M10" s="27" t="s">
        <v>136</v>
      </c>
      <c r="N10" s="28" t="str">
        <f>IF(M10="","",HYPERLINK(M10,B10))</f>
        <v>MULTIBASE PHARMA IND. NIG. LTD</v>
      </c>
      <c r="O10" s="1"/>
    </row>
    <row r="11" spans="1:15" ht="25.5" customHeight="1">
      <c r="A11" s="2">
        <v>31</v>
      </c>
      <c r="B11" s="3" t="s">
        <v>137</v>
      </c>
      <c r="C11" s="10" t="s">
        <v>95</v>
      </c>
      <c r="D11" s="5" t="s">
        <v>138</v>
      </c>
      <c r="E11" s="5" t="s">
        <v>34</v>
      </c>
      <c r="F11" s="54">
        <v>45764</v>
      </c>
      <c r="G11" s="6" t="s">
        <v>47</v>
      </c>
      <c r="H11" s="6"/>
      <c r="I11" s="6"/>
      <c r="J11" s="5" t="s">
        <v>49</v>
      </c>
      <c r="K11" s="5" t="s">
        <v>139</v>
      </c>
      <c r="L11" s="35" t="s">
        <v>87</v>
      </c>
      <c r="M11" s="27" t="s">
        <v>140</v>
      </c>
      <c r="N11" s="28" t="str">
        <f>IF(M11="","",HYPERLINK(M11,B11))</f>
        <v>GENERICS &amp; SPECIALITIES LTD (CAPA)</v>
      </c>
      <c r="O11" s="1"/>
    </row>
    <row r="12" spans="1:15" ht="25.5" customHeight="1">
      <c r="A12" s="2">
        <v>32</v>
      </c>
      <c r="B12" s="9" t="s">
        <v>141</v>
      </c>
      <c r="C12" s="10" t="s">
        <v>142</v>
      </c>
      <c r="D12" s="5" t="s">
        <v>143</v>
      </c>
      <c r="E12" s="5" t="s">
        <v>17</v>
      </c>
      <c r="F12" s="54">
        <v>45764</v>
      </c>
      <c r="G12" s="6" t="s">
        <v>18</v>
      </c>
      <c r="H12" s="6" t="s">
        <v>144</v>
      </c>
      <c r="I12" s="6" t="s">
        <v>36</v>
      </c>
      <c r="J12" s="5" t="s">
        <v>9</v>
      </c>
      <c r="K12" s="5" t="s">
        <v>86</v>
      </c>
      <c r="L12" s="35" t="s">
        <v>87</v>
      </c>
      <c r="M12" s="27" t="s">
        <v>145</v>
      </c>
      <c r="N12" s="28" t="str">
        <f>IF(M12="","",HYPERLINK(M12,B12))</f>
        <v>NANCIL NIG. LTD.</v>
      </c>
      <c r="O12" s="1"/>
    </row>
    <row r="13" spans="1:15" ht="25.5" customHeight="1">
      <c r="A13" s="2">
        <v>33</v>
      </c>
      <c r="B13" s="9" t="s">
        <v>146</v>
      </c>
      <c r="C13" s="10" t="s">
        <v>147</v>
      </c>
      <c r="D13" s="5" t="s">
        <v>148</v>
      </c>
      <c r="E13" s="5" t="s">
        <v>34</v>
      </c>
      <c r="F13" s="54">
        <v>45764</v>
      </c>
      <c r="G13" s="6" t="s">
        <v>18</v>
      </c>
      <c r="H13" s="6" t="s">
        <v>127</v>
      </c>
      <c r="I13" s="6" t="s">
        <v>36</v>
      </c>
      <c r="J13" s="5" t="s">
        <v>9</v>
      </c>
      <c r="K13" s="5" t="str">
        <f>IF(I13="YES","CAPA VERIFICATION SHOULD BE SCHEDULED",IF(I13="NO","REMINDER LETTER SHOULD BE SENT",""))</f>
        <v>CAPA VERIFICATION SHOULD BE SCHEDULED</v>
      </c>
      <c r="L13" s="26">
        <v>45748</v>
      </c>
      <c r="M13" s="27" t="s">
        <v>149</v>
      </c>
      <c r="N13" s="28" t="str">
        <f>IF(M13="","",HYPERLINK(M13,B13))</f>
        <v>TETA PHARM. LTD.(CAPA)</v>
      </c>
      <c r="O13" s="12"/>
    </row>
    <row r="14" spans="1:15" ht="25.5" customHeight="1">
      <c r="A14" s="2">
        <v>34</v>
      </c>
      <c r="B14" s="13" t="s">
        <v>150</v>
      </c>
      <c r="C14" s="10"/>
      <c r="D14" s="10" t="s">
        <v>151</v>
      </c>
      <c r="E14" s="5" t="s">
        <v>17</v>
      </c>
      <c r="F14" s="54">
        <v>45762</v>
      </c>
      <c r="G14" s="6" t="s">
        <v>47</v>
      </c>
      <c r="H14" s="6"/>
      <c r="I14" s="6"/>
      <c r="J14" s="5" t="s">
        <v>21</v>
      </c>
      <c r="K14" s="5" t="str">
        <f>IF(I14="YES","CAPA VERIFICATION SHOULD BE SCHEDULED",IF(I14="NO","REMINDER LETTER SHOULD BE SENT",""))</f>
        <v/>
      </c>
      <c r="L14" s="26">
        <v>46113</v>
      </c>
      <c r="M14" s="24"/>
      <c r="N14" s="28" t="str">
        <f>IF(M14="","",HYPERLINK(M14,B14))</f>
        <v/>
      </c>
      <c r="O14" s="1"/>
    </row>
  </sheetData>
  <mergeCells count="1">
    <mergeCell ref="A1:N1"/>
  </mergeCells>
  <dataValidations count="1">
    <dataValidation type="list" allowBlank="1" showInputMessage="1" showErrorMessage="1" sqref="I3:I14" xr:uid="{4A79A662-E9D5-452C-9537-AA16296FA2E2}">
      <formula1>"YES,NO,N/A"</formula1>
    </dataValidation>
  </dataValidations>
  <hyperlinks>
    <hyperlink ref="M4" r:id="rId1" xr:uid="{ED31C6ED-D1D2-4C83-896F-7F18608F038B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6B18-8D09-47E0-A62F-29A980C7536D}">
  <dimension ref="A1:O14"/>
  <sheetViews>
    <sheetView workbookViewId="0">
      <selection activeCell="A14" sqref="A14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26.25" customHeight="1">
      <c r="A3" s="2">
        <v>35</v>
      </c>
      <c r="B3" s="13" t="s">
        <v>152</v>
      </c>
      <c r="C3" s="10" t="s">
        <v>153</v>
      </c>
      <c r="D3" s="5">
        <v>8036005454</v>
      </c>
      <c r="E3" s="5" t="s">
        <v>17</v>
      </c>
      <c r="F3" s="54">
        <v>45797</v>
      </c>
      <c r="G3" s="6" t="s">
        <v>18</v>
      </c>
      <c r="H3" s="6" t="s">
        <v>154</v>
      </c>
      <c r="I3" s="6" t="s">
        <v>20</v>
      </c>
      <c r="J3" s="5" t="s">
        <v>21</v>
      </c>
      <c r="K3" s="5" t="str">
        <f>IF(I3="YES","CAPA VERIFICATION SHOULD BE SCHEDULED",IF(I3="NO","REMINDER LETTER SHOULD BE SENT",""))</f>
        <v>REMINDER LETTER SHOULD BE SENT</v>
      </c>
      <c r="L3" s="26">
        <v>45778</v>
      </c>
      <c r="M3" s="27" t="s">
        <v>155</v>
      </c>
      <c r="N3" s="28" t="str">
        <f>IF(M3="","",HYPERLINK(M3,B3))</f>
        <v>ORANGE DRUGS LTD.</v>
      </c>
      <c r="O3" s="7"/>
    </row>
    <row r="4" spans="1:15" ht="26.25" customHeight="1">
      <c r="A4" s="2">
        <v>36</v>
      </c>
      <c r="B4" s="13" t="s">
        <v>156</v>
      </c>
      <c r="C4" s="10" t="s">
        <v>157</v>
      </c>
      <c r="D4" s="5" t="s">
        <v>158</v>
      </c>
      <c r="E4" s="5" t="s">
        <v>17</v>
      </c>
      <c r="F4" s="54">
        <v>45797</v>
      </c>
      <c r="G4" s="6" t="s">
        <v>18</v>
      </c>
      <c r="H4" s="6" t="s">
        <v>154</v>
      </c>
      <c r="I4" s="6" t="s">
        <v>20</v>
      </c>
      <c r="J4" s="5" t="s">
        <v>21</v>
      </c>
      <c r="K4" s="5" t="str">
        <f>IF(I4="YES","CAPA VERIFICATION SHOULD BE SCHEDULED",IF(I4="NO","REMINDER LETTER SHOULD BE SENT",""))</f>
        <v>REMINDER LETTER SHOULD BE SENT</v>
      </c>
      <c r="L4" s="26">
        <v>45778</v>
      </c>
      <c r="M4" s="27" t="s">
        <v>159</v>
      </c>
      <c r="N4" s="28" t="str">
        <f>IF(M4="","",HYPERLINK(M4,B4))</f>
        <v>GLOBAL HEALTHCARE LTD</v>
      </c>
      <c r="O4" s="1"/>
    </row>
    <row r="5" spans="1:15" ht="26.25" customHeight="1">
      <c r="A5" s="2">
        <v>37</v>
      </c>
      <c r="B5" s="13" t="s">
        <v>160</v>
      </c>
      <c r="C5" s="10" t="s">
        <v>161</v>
      </c>
      <c r="D5" s="5" t="s">
        <v>162</v>
      </c>
      <c r="E5" s="5" t="s">
        <v>17</v>
      </c>
      <c r="F5" s="54">
        <v>45797</v>
      </c>
      <c r="G5" s="6" t="s">
        <v>18</v>
      </c>
      <c r="H5" s="6" t="s">
        <v>154</v>
      </c>
      <c r="I5" s="6" t="s">
        <v>20</v>
      </c>
      <c r="J5" s="5" t="s">
        <v>21</v>
      </c>
      <c r="K5" s="5" t="str">
        <f>IF(I5="YES","CAPA VERIFICATION SHOULD BE SCHEDULED",IF(I5="NO","REMINDER LETTER SHOULD BE SENT",""))</f>
        <v>REMINDER LETTER SHOULD BE SENT</v>
      </c>
      <c r="L5" s="26">
        <v>45778</v>
      </c>
      <c r="M5" s="33" t="s">
        <v>163</v>
      </c>
      <c r="N5" s="28" t="str">
        <f>IF(M5="","",HYPERLINK(M5,B5))</f>
        <v>OXUS PHARMA LTD.</v>
      </c>
      <c r="O5" s="1"/>
    </row>
    <row r="6" spans="1:15" ht="26.25" customHeight="1">
      <c r="A6" s="2">
        <v>38</v>
      </c>
      <c r="B6" s="3" t="s">
        <v>164</v>
      </c>
      <c r="C6" s="10" t="s">
        <v>165</v>
      </c>
      <c r="D6" s="5" t="s">
        <v>166</v>
      </c>
      <c r="E6" s="5" t="s">
        <v>17</v>
      </c>
      <c r="F6" s="54">
        <v>45797</v>
      </c>
      <c r="G6" s="6" t="s">
        <v>18</v>
      </c>
      <c r="H6" s="6" t="s">
        <v>167</v>
      </c>
      <c r="I6" s="6" t="s">
        <v>20</v>
      </c>
      <c r="J6" s="5" t="s">
        <v>21</v>
      </c>
      <c r="K6" s="5" t="str">
        <f>IF(I6="YES","CAPA VERIFICATION SHOULD BE SCHEDULED",IF(I6="NO","REMINDER LETTER SHOULD BE SENT",""))</f>
        <v>REMINDER LETTER SHOULD BE SENT</v>
      </c>
      <c r="L6" s="26">
        <v>45778</v>
      </c>
      <c r="M6" s="27" t="s">
        <v>168</v>
      </c>
      <c r="N6" s="28" t="str">
        <f>IF(M6="","",HYPERLINK(M6,B6))</f>
        <v>MICRONOVA PHARM. INDT. LTD</v>
      </c>
      <c r="O6" s="1"/>
    </row>
    <row r="7" spans="1:15" ht="26.25" customHeight="1">
      <c r="A7" s="2">
        <v>39</v>
      </c>
      <c r="B7" s="3" t="s">
        <v>169</v>
      </c>
      <c r="C7" s="10" t="s">
        <v>170</v>
      </c>
      <c r="D7" s="5" t="s">
        <v>171</v>
      </c>
      <c r="E7" s="5" t="s">
        <v>17</v>
      </c>
      <c r="F7" s="54">
        <v>45797</v>
      </c>
      <c r="G7" s="6" t="s">
        <v>18</v>
      </c>
      <c r="H7" s="6" t="s">
        <v>172</v>
      </c>
      <c r="I7" s="6" t="s">
        <v>20</v>
      </c>
      <c r="J7" s="5" t="s">
        <v>21</v>
      </c>
      <c r="K7" s="5" t="str">
        <f>IF(I7="YES","CAPA VERIFICATION SHOULD BE SCHEDULED",IF(I7="NO","REMINDER LETTER SHOULD BE SENT",""))</f>
        <v>REMINDER LETTER SHOULD BE SENT</v>
      </c>
      <c r="L7" s="26">
        <v>45778</v>
      </c>
      <c r="M7" s="63" t="s">
        <v>173</v>
      </c>
      <c r="N7" s="28" t="str">
        <f>IF(M7="","",HYPERLINK(M7,B7))</f>
        <v xml:space="preserve">TURNER WRIGHT LTD. </v>
      </c>
      <c r="O7" s="1"/>
    </row>
    <row r="8" spans="1:15" ht="26.25" customHeight="1">
      <c r="A8" s="2">
        <v>40</v>
      </c>
      <c r="B8" s="9" t="s">
        <v>174</v>
      </c>
      <c r="C8" s="10" t="s">
        <v>175</v>
      </c>
      <c r="D8" s="5" t="s">
        <v>176</v>
      </c>
      <c r="E8" s="5" t="s">
        <v>17</v>
      </c>
      <c r="F8" s="54">
        <v>45799</v>
      </c>
      <c r="G8" s="6" t="s">
        <v>18</v>
      </c>
      <c r="H8" s="6" t="s">
        <v>177</v>
      </c>
      <c r="I8" s="6" t="s">
        <v>20</v>
      </c>
      <c r="J8" s="5" t="s">
        <v>21</v>
      </c>
      <c r="K8" s="5" t="str">
        <f>IF(I8="YES","CAPA VERIFICATION SHOULD BE SCHEDULED",IF(I8="NO","REMINDER LETTER SHOULD BE SENT",""))</f>
        <v>REMINDER LETTER SHOULD BE SENT</v>
      </c>
      <c r="L8" s="26">
        <v>45778</v>
      </c>
      <c r="M8" s="27" t="s">
        <v>178</v>
      </c>
      <c r="N8" s="28" t="str">
        <f>IF(M8="","",HYPERLINK(M8,B8))</f>
        <v>BRIAN MUNRO LTD</v>
      </c>
      <c r="O8" s="1"/>
    </row>
    <row r="9" spans="1:15" ht="26.25" customHeight="1">
      <c r="A9" s="2">
        <v>41</v>
      </c>
      <c r="B9" s="9" t="s">
        <v>179</v>
      </c>
      <c r="C9" s="10" t="s">
        <v>180</v>
      </c>
      <c r="D9" s="5" t="s">
        <v>181</v>
      </c>
      <c r="E9" s="5" t="s">
        <v>34</v>
      </c>
      <c r="F9" s="54">
        <v>45799</v>
      </c>
      <c r="G9" s="6" t="s">
        <v>47</v>
      </c>
      <c r="H9" s="6" t="s">
        <v>177</v>
      </c>
      <c r="I9" s="6" t="s">
        <v>36</v>
      </c>
      <c r="J9" s="5" t="s">
        <v>9</v>
      </c>
      <c r="K9" s="5" t="s">
        <v>49</v>
      </c>
      <c r="L9" s="26">
        <v>45778</v>
      </c>
      <c r="M9" s="27" t="s">
        <v>182</v>
      </c>
      <c r="N9" s="28" t="str">
        <f>IF(M9="","",HYPERLINK(M9,B9))</f>
        <v>SAGAR VITACEUTICALS (CAPA)</v>
      </c>
      <c r="O9" s="1"/>
    </row>
    <row r="10" spans="1:15" ht="26.25" customHeight="1">
      <c r="A10" s="2">
        <v>42</v>
      </c>
      <c r="B10" s="9" t="s">
        <v>183</v>
      </c>
      <c r="C10" s="10" t="s">
        <v>184</v>
      </c>
      <c r="D10" s="5" t="s">
        <v>185</v>
      </c>
      <c r="E10" s="5" t="s">
        <v>17</v>
      </c>
      <c r="F10" s="54">
        <v>45799</v>
      </c>
      <c r="G10" s="6" t="s">
        <v>18</v>
      </c>
      <c r="H10" s="6" t="s">
        <v>177</v>
      </c>
      <c r="I10" s="6" t="s">
        <v>36</v>
      </c>
      <c r="J10" s="5" t="s">
        <v>9</v>
      </c>
      <c r="K10" s="5" t="str">
        <f>IF(I10="YES","CAPA VERIFICATION SHOULD BE SCHEDULED",IF(I10="NO","REMINDER LETTER SHOULD BE SENT",""))</f>
        <v>CAPA VERIFICATION SHOULD BE SCHEDULED</v>
      </c>
      <c r="L10" s="26">
        <v>46143</v>
      </c>
      <c r="M10" s="27" t="s">
        <v>186</v>
      </c>
      <c r="N10" s="28" t="str">
        <f>IF(M10="","",HYPERLINK(M10,B10))</f>
        <v>NEIMETH INTERNATIONAL PHARMACEUTICALS PLC</v>
      </c>
      <c r="O10" s="7"/>
    </row>
    <row r="11" spans="1:15" ht="26.25" customHeight="1">
      <c r="A11" s="2">
        <v>43</v>
      </c>
      <c r="B11" s="9" t="s">
        <v>187</v>
      </c>
      <c r="C11" s="10" t="s">
        <v>188</v>
      </c>
      <c r="D11" s="5" t="s">
        <v>189</v>
      </c>
      <c r="E11" s="5" t="s">
        <v>34</v>
      </c>
      <c r="F11" s="54">
        <v>45799</v>
      </c>
      <c r="G11" s="6" t="s">
        <v>18</v>
      </c>
      <c r="H11" s="6" t="s">
        <v>177</v>
      </c>
      <c r="I11" s="6" t="s">
        <v>20</v>
      </c>
      <c r="J11" s="5" t="s">
        <v>21</v>
      </c>
      <c r="K11" s="5" t="str">
        <f>IF(I11="YES","CAPA VERIFICATION SHOULD BE SCHEDULED",IF(I11="NO","REMINDER LETTER SHOULD BE SENT",""))</f>
        <v>REMINDER LETTER SHOULD BE SENT</v>
      </c>
      <c r="L11" s="26">
        <v>45778</v>
      </c>
      <c r="M11" s="27" t="s">
        <v>190</v>
      </c>
      <c r="N11" s="28" t="str">
        <f>IF(M11="","",HYPERLINK(M11,B11))</f>
        <v>EVERSHINE PHARMACEUTICAL NIG. LTD. (CAPA)</v>
      </c>
      <c r="O11" s="1"/>
    </row>
    <row r="12" spans="1:15" ht="26.25" customHeight="1">
      <c r="A12" s="2">
        <v>44</v>
      </c>
      <c r="B12" s="9" t="s">
        <v>191</v>
      </c>
      <c r="C12" s="10" t="s">
        <v>192</v>
      </c>
      <c r="D12" s="5" t="s">
        <v>193</v>
      </c>
      <c r="E12" s="5" t="s">
        <v>17</v>
      </c>
      <c r="F12" s="54">
        <v>45799</v>
      </c>
      <c r="G12" s="6" t="s">
        <v>47</v>
      </c>
      <c r="H12" s="6" t="s">
        <v>48</v>
      </c>
      <c r="I12" s="6" t="s">
        <v>20</v>
      </c>
      <c r="J12" s="5" t="s">
        <v>49</v>
      </c>
      <c r="K12" s="5" t="s">
        <v>49</v>
      </c>
      <c r="L12" s="35" t="s">
        <v>87</v>
      </c>
      <c r="M12" s="37" t="s">
        <v>194</v>
      </c>
      <c r="N12" s="28" t="str">
        <f>IF(M12="","",HYPERLINK(M12,B12))</f>
        <v>ASSENE-LABOREX LTD</v>
      </c>
      <c r="O12" s="1"/>
    </row>
    <row r="13" spans="1:15" ht="26.25" customHeight="1">
      <c r="A13" s="2">
        <v>45</v>
      </c>
      <c r="B13" s="9" t="s">
        <v>195</v>
      </c>
      <c r="C13" s="10" t="s">
        <v>196</v>
      </c>
      <c r="D13" s="5" t="s">
        <v>197</v>
      </c>
      <c r="E13" s="5" t="s">
        <v>17</v>
      </c>
      <c r="F13" s="54">
        <v>45799</v>
      </c>
      <c r="G13" s="6" t="s">
        <v>18</v>
      </c>
      <c r="H13" s="6" t="s">
        <v>48</v>
      </c>
      <c r="I13" s="6" t="s">
        <v>20</v>
      </c>
      <c r="J13" s="5" t="s">
        <v>21</v>
      </c>
      <c r="K13" s="5" t="str">
        <f>IF(I13="YES","CAPA VERIFICATION SHOULD BE SCHEDULED",IF(I13="NO","REMINDER LETTER SHOULD BE SENT",""))</f>
        <v>REMINDER LETTER SHOULD BE SENT</v>
      </c>
      <c r="L13" s="26">
        <v>45778</v>
      </c>
      <c r="M13" s="37" t="s">
        <v>198</v>
      </c>
      <c r="N13" s="28" t="str">
        <f>IF(M13="","",HYPERLINK(M13,B13))</f>
        <v>PEMASON PHARMACY LTD</v>
      </c>
      <c r="O13" s="1"/>
    </row>
    <row r="14" spans="1:15" ht="26.25" customHeight="1">
      <c r="A14" s="2">
        <v>46</v>
      </c>
      <c r="B14" s="3" t="s">
        <v>199</v>
      </c>
      <c r="C14" s="10" t="s">
        <v>200</v>
      </c>
      <c r="D14" s="5" t="s">
        <v>201</v>
      </c>
      <c r="E14" s="5" t="s">
        <v>17</v>
      </c>
      <c r="F14" s="54">
        <v>45799</v>
      </c>
      <c r="G14" s="6" t="s">
        <v>18</v>
      </c>
      <c r="H14" s="6" t="s">
        <v>48</v>
      </c>
      <c r="I14" s="6" t="s">
        <v>20</v>
      </c>
      <c r="J14" s="5" t="s">
        <v>21</v>
      </c>
      <c r="K14" s="5" t="str">
        <f>IF(I14="YES","CAPA VERIFICATION SHOULD BE SCHEDULED",IF(I14="NO","REMINDER LETTER SHOULD BE SENT",""))</f>
        <v>REMINDER LETTER SHOULD BE SENT</v>
      </c>
      <c r="L14" s="26">
        <v>45778</v>
      </c>
      <c r="M14" s="36" t="s">
        <v>202</v>
      </c>
      <c r="N14" s="28" t="str">
        <f>IF(M14="","",HYPERLINK(M14,B14))</f>
        <v>NKOYO CHEMIST</v>
      </c>
      <c r="O14" s="1"/>
    </row>
  </sheetData>
  <mergeCells count="1">
    <mergeCell ref="A1:N1"/>
  </mergeCells>
  <dataValidations count="1">
    <dataValidation type="list" allowBlank="1" showInputMessage="1" showErrorMessage="1" sqref="I3:I14" xr:uid="{2435A123-190D-4141-94E4-D7A8DB56B629}">
      <formula1>"YES,NO,N/A"</formula1>
    </dataValidation>
  </dataValidations>
  <hyperlinks>
    <hyperlink ref="M7" r:id="rId1" xr:uid="{3FAE67AD-7408-43B6-895F-813C75BE4445}"/>
    <hyperlink ref="M14" r:id="rId2" xr:uid="{1D1641FB-1D82-4DC9-A5CF-5ECA346E5C0D}"/>
    <hyperlink ref="M12" r:id="rId3" xr:uid="{B69FE0BC-7341-42F5-9656-968EF11962D8}"/>
    <hyperlink ref="M13" r:id="rId4" xr:uid="{2CE36817-602A-47D2-B471-74B91F3F9381}"/>
  </hyperlinks>
  <pageMargins left="0.7" right="0.7" top="0.75" bottom="0.75" header="0.3" footer="0.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649E-ADE4-42FC-B57E-14712C488F91}">
  <dimension ref="A1:O14"/>
  <sheetViews>
    <sheetView tabSelected="1" workbookViewId="0">
      <selection activeCell="E9" sqref="E9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21" customHeight="1">
      <c r="A3" s="2">
        <v>47</v>
      </c>
      <c r="B3" s="14" t="s">
        <v>203</v>
      </c>
      <c r="C3" s="5" t="s">
        <v>204</v>
      </c>
      <c r="D3" s="5" t="s">
        <v>205</v>
      </c>
      <c r="E3" s="5" t="s">
        <v>17</v>
      </c>
      <c r="F3" s="54">
        <v>45827</v>
      </c>
      <c r="G3" s="6" t="s">
        <v>47</v>
      </c>
      <c r="H3" s="6" t="s">
        <v>206</v>
      </c>
      <c r="I3" s="6" t="s">
        <v>20</v>
      </c>
      <c r="J3" s="5" t="s">
        <v>21</v>
      </c>
      <c r="K3" s="5" t="str">
        <f>IF(I3="YES","CAPA VERIFICATION SHOULD BE SCHEDULED",IF(I3="NO","REMINDER LETTER SHOULD BE SENT",""))</f>
        <v>REMINDER LETTER SHOULD BE SENT</v>
      </c>
      <c r="L3" s="26">
        <v>46174</v>
      </c>
      <c r="M3" s="27" t="s">
        <v>207</v>
      </c>
      <c r="N3" s="28" t="str">
        <f>IF(M3="","",HYPERLINK(M3,B3))</f>
        <v>EVANS THERAPEUTICS</v>
      </c>
      <c r="O3" s="1"/>
    </row>
    <row r="4" spans="1:15" ht="21" customHeight="1">
      <c r="A4" s="2">
        <v>48</v>
      </c>
      <c r="B4" s="14" t="s">
        <v>208</v>
      </c>
      <c r="C4" s="5" t="s">
        <v>209</v>
      </c>
      <c r="D4" s="5" t="s">
        <v>210</v>
      </c>
      <c r="E4" s="5" t="s">
        <v>17</v>
      </c>
      <c r="F4" s="54">
        <v>45827</v>
      </c>
      <c r="G4" s="6" t="s">
        <v>18</v>
      </c>
      <c r="H4" s="6" t="s">
        <v>206</v>
      </c>
      <c r="I4" s="6" t="s">
        <v>20</v>
      </c>
      <c r="J4" s="5" t="s">
        <v>21</v>
      </c>
      <c r="K4" s="5" t="str">
        <f>IF(I4="YES","CAPA VERIFICATION SHOULD BE SCHEDULED",IF(I4="NO","REMINDER LETTER SHOULD BE SENT",""))</f>
        <v>REMINDER LETTER SHOULD BE SENT</v>
      </c>
      <c r="L4" s="26">
        <v>45809</v>
      </c>
      <c r="M4" s="33" t="s">
        <v>211</v>
      </c>
      <c r="N4" s="28" t="str">
        <f>IF(M4="","",HYPERLINK(M4,B4))</f>
        <v>STRIDES LIFESCIENCES LTD</v>
      </c>
      <c r="O4" s="1"/>
    </row>
    <row r="5" spans="1:15" ht="21" customHeight="1">
      <c r="A5" s="2">
        <v>49</v>
      </c>
      <c r="B5" s="13" t="s">
        <v>212</v>
      </c>
      <c r="C5" s="5" t="s">
        <v>213</v>
      </c>
      <c r="D5" s="5" t="s">
        <v>214</v>
      </c>
      <c r="E5" s="5" t="s">
        <v>17</v>
      </c>
      <c r="F5" s="54">
        <v>45827</v>
      </c>
      <c r="G5" s="6" t="s">
        <v>18</v>
      </c>
      <c r="H5" s="6" t="s">
        <v>206</v>
      </c>
      <c r="I5" s="6" t="s">
        <v>20</v>
      </c>
      <c r="J5" s="5" t="s">
        <v>21</v>
      </c>
      <c r="K5" s="5" t="str">
        <f>IF(I5="YES","CAPA VERIFICATION SHOULD BE SCHEDULED",IF(I5="NO","REMINDER LETTER SHOULD BE SENT",""))</f>
        <v>REMINDER LETTER SHOULD BE SENT</v>
      </c>
      <c r="L5" s="26">
        <v>45809</v>
      </c>
      <c r="M5" s="27" t="s">
        <v>215</v>
      </c>
      <c r="N5" s="28" t="str">
        <f>IF(M5="","",HYPERLINK(M5,B5))</f>
        <v>KUNIMED PHARMACHEM LTD</v>
      </c>
      <c r="O5" s="1"/>
    </row>
    <row r="6" spans="1:15" ht="21" customHeight="1">
      <c r="A6" s="2">
        <v>50</v>
      </c>
      <c r="B6" s="14" t="s">
        <v>216</v>
      </c>
      <c r="C6" s="5" t="s">
        <v>217</v>
      </c>
      <c r="D6" s="5" t="s">
        <v>218</v>
      </c>
      <c r="E6" s="5" t="s">
        <v>17</v>
      </c>
      <c r="F6" s="54">
        <v>45828</v>
      </c>
      <c r="G6" s="6" t="s">
        <v>81</v>
      </c>
      <c r="H6" s="5" t="s">
        <v>219</v>
      </c>
      <c r="I6" s="5" t="s">
        <v>20</v>
      </c>
      <c r="J6" s="5" t="s">
        <v>21</v>
      </c>
      <c r="K6" s="5" t="str">
        <f>IF(I6="YES","CAPA VERIFICATION SHOULD BE SCHEDULED",IF(I6="NO","REMINDER LETTER SHOULD BE SENT",""))</f>
        <v>REMINDER LETTER SHOULD BE SENT</v>
      </c>
      <c r="L6" s="26">
        <v>46174</v>
      </c>
      <c r="M6" s="27" t="s">
        <v>220</v>
      </c>
      <c r="N6" s="28" t="str">
        <f>IF(M6="","",HYPERLINK(M6,B6))</f>
        <v>PACMAI INTL LTD</v>
      </c>
      <c r="O6" s="1"/>
    </row>
    <row r="7" spans="1:15" ht="21" customHeight="1">
      <c r="A7" s="2">
        <v>51</v>
      </c>
      <c r="B7" s="14" t="s">
        <v>221</v>
      </c>
      <c r="C7" s="5" t="s">
        <v>222</v>
      </c>
      <c r="D7" s="5" t="s">
        <v>223</v>
      </c>
      <c r="E7" s="5" t="s">
        <v>17</v>
      </c>
      <c r="F7" s="54">
        <v>45828</v>
      </c>
      <c r="G7" s="6" t="s">
        <v>18</v>
      </c>
      <c r="H7" s="6" t="s">
        <v>219</v>
      </c>
      <c r="I7" s="6" t="s">
        <v>20</v>
      </c>
      <c r="J7" s="5" t="s">
        <v>21</v>
      </c>
      <c r="K7" s="5" t="str">
        <f>IF(I7="YES","CAPA VERIFICATION SHOULD BE SCHEDULED",IF(I7="NO","REMINDER LETTER SHOULD BE SENT",""))</f>
        <v>REMINDER LETTER SHOULD BE SENT</v>
      </c>
      <c r="L7" s="26">
        <v>45809</v>
      </c>
      <c r="M7" s="33" t="s">
        <v>224</v>
      </c>
      <c r="N7" s="28" t="str">
        <f>IF(M7="","",HYPERLINK(M7,B7))</f>
        <v>SKIN PHARM LTD</v>
      </c>
      <c r="O7" s="1"/>
    </row>
    <row r="8" spans="1:15" ht="21" customHeight="1">
      <c r="A8" s="2">
        <v>52</v>
      </c>
      <c r="B8" s="14" t="s">
        <v>225</v>
      </c>
      <c r="C8" s="5" t="s">
        <v>226</v>
      </c>
      <c r="D8" s="5" t="s">
        <v>227</v>
      </c>
      <c r="E8" s="5" t="s">
        <v>17</v>
      </c>
      <c r="F8" s="54">
        <v>45828</v>
      </c>
      <c r="G8" s="6" t="s">
        <v>18</v>
      </c>
      <c r="H8" s="6" t="s">
        <v>219</v>
      </c>
      <c r="I8" s="6" t="s">
        <v>36</v>
      </c>
      <c r="J8" s="5" t="s">
        <v>9</v>
      </c>
      <c r="K8" s="5" t="str">
        <f>IF(I8="YES","CAPA VERIFICATION SHOULD BE SCHEDULED",IF(I8="NO","REMINDER LETTER SHOULD BE SENT",""))</f>
        <v>CAPA VERIFICATION SHOULD BE SCHEDULED</v>
      </c>
      <c r="L8" s="26">
        <v>45809</v>
      </c>
      <c r="M8" s="27" t="s">
        <v>228</v>
      </c>
      <c r="N8" s="28" t="str">
        <f>IF(M8="","",HYPERLINK(M8,B8))</f>
        <v>AMAKIN PHARMACEUTICALS LTD</v>
      </c>
      <c r="O8" s="1"/>
    </row>
    <row r="9" spans="1:15" ht="21" customHeight="1">
      <c r="A9" s="2">
        <v>53</v>
      </c>
      <c r="B9" s="14" t="s">
        <v>229</v>
      </c>
      <c r="C9" s="5" t="s">
        <v>230</v>
      </c>
      <c r="D9" s="5" t="s">
        <v>231</v>
      </c>
      <c r="E9" s="5" t="s">
        <v>17</v>
      </c>
      <c r="F9" s="54">
        <v>45828</v>
      </c>
      <c r="G9" s="6" t="s">
        <v>18</v>
      </c>
      <c r="H9" s="6" t="s">
        <v>232</v>
      </c>
      <c r="I9" s="6" t="s">
        <v>20</v>
      </c>
      <c r="J9" s="5" t="s">
        <v>21</v>
      </c>
      <c r="K9" s="5" t="str">
        <f>IF(I9="YES","CAPA VERIFICATION SHOULD BE SCHEDULED",IF(I9="NO","REMINDER LETTER SHOULD BE SENT",""))</f>
        <v>REMINDER LETTER SHOULD BE SENT</v>
      </c>
      <c r="L9" s="26">
        <v>45809</v>
      </c>
      <c r="M9" s="27" t="s">
        <v>233</v>
      </c>
      <c r="N9" s="28" t="str">
        <f>IF(M9="","",HYPERLINK(M9,B9))</f>
        <v>MC FORIS PHARM LTD</v>
      </c>
      <c r="O9" s="1"/>
    </row>
    <row r="10" spans="1:15" ht="21" customHeight="1">
      <c r="A10" s="2">
        <v>54</v>
      </c>
      <c r="B10" s="14" t="s">
        <v>234</v>
      </c>
      <c r="C10" s="5" t="s">
        <v>235</v>
      </c>
      <c r="D10" s="5" t="s">
        <v>453</v>
      </c>
      <c r="E10" s="5" t="s">
        <v>17</v>
      </c>
      <c r="F10" s="54">
        <v>45831</v>
      </c>
      <c r="G10" s="6" t="s">
        <v>81</v>
      </c>
      <c r="H10" s="6" t="s">
        <v>206</v>
      </c>
      <c r="I10" s="6" t="s">
        <v>20</v>
      </c>
      <c r="J10" s="5" t="s">
        <v>21</v>
      </c>
      <c r="K10" s="5" t="str">
        <f>IF(I10="YES","CAPA VERIFICATION SHOULD BE SCHEDULED",IF(I10="NO","REMINDER LETTER SHOULD BE SENT",""))</f>
        <v>REMINDER LETTER SHOULD BE SENT</v>
      </c>
      <c r="L10" s="26">
        <v>45992</v>
      </c>
      <c r="M10" s="27" t="s">
        <v>237</v>
      </c>
      <c r="N10" s="28" t="str">
        <f>IF(M10="","",HYPERLINK(M10,B10))</f>
        <v>BERLIN PHARM &amp; HEALTHCARE</v>
      </c>
      <c r="O10" s="1"/>
    </row>
    <row r="11" spans="1:15" ht="21" customHeight="1">
      <c r="A11" s="2">
        <v>55</v>
      </c>
      <c r="B11" s="14" t="s">
        <v>238</v>
      </c>
      <c r="C11" s="5" t="s">
        <v>239</v>
      </c>
      <c r="D11" s="5" t="s">
        <v>240</v>
      </c>
      <c r="E11" s="5" t="s">
        <v>17</v>
      </c>
      <c r="F11" s="54">
        <v>45831</v>
      </c>
      <c r="G11" s="6" t="s">
        <v>81</v>
      </c>
      <c r="H11" s="6" t="s">
        <v>206</v>
      </c>
      <c r="I11" s="6" t="s">
        <v>20</v>
      </c>
      <c r="J11" s="5" t="s">
        <v>21</v>
      </c>
      <c r="K11" s="5" t="str">
        <f>IF(I11="YES","CAPA VERIFICATION SHOULD BE SCHEDULED",IF(I11="NO","REMINDER LETTER SHOULD BE SENT",""))</f>
        <v>REMINDER LETTER SHOULD BE SENT</v>
      </c>
      <c r="L11" s="26">
        <v>45992</v>
      </c>
      <c r="M11" s="27" t="s">
        <v>241</v>
      </c>
      <c r="N11" s="28" t="str">
        <f>IF(M11="","",HYPERLINK(M11,B11))</f>
        <v>SUITE LIFE PHARMACEUTICALS</v>
      </c>
      <c r="O11" s="1"/>
    </row>
    <row r="12" spans="1:15" ht="21" customHeight="1">
      <c r="A12" s="2">
        <v>56</v>
      </c>
      <c r="B12" s="14" t="s">
        <v>124</v>
      </c>
      <c r="C12" s="5" t="s">
        <v>242</v>
      </c>
      <c r="D12" s="5" t="s">
        <v>243</v>
      </c>
      <c r="E12" s="5" t="s">
        <v>34</v>
      </c>
      <c r="F12" s="54">
        <v>45831</v>
      </c>
      <c r="G12" s="6" t="s">
        <v>47</v>
      </c>
      <c r="H12" s="6" t="s">
        <v>49</v>
      </c>
      <c r="I12" s="6" t="s">
        <v>36</v>
      </c>
      <c r="J12" s="5" t="s">
        <v>49</v>
      </c>
      <c r="K12" s="5" t="s">
        <v>87</v>
      </c>
      <c r="L12" s="26">
        <v>46174</v>
      </c>
      <c r="M12" s="27" t="s">
        <v>128</v>
      </c>
      <c r="N12" s="28" t="str">
        <f>IF(M12="","",HYPERLINK(M12,B12))</f>
        <v>GLOBAL ONE WORD HEALTHCARE</v>
      </c>
      <c r="O12" s="1"/>
    </row>
    <row r="13" spans="1:15" ht="21" customHeight="1">
      <c r="A13" s="2">
        <v>57</v>
      </c>
      <c r="B13" s="14" t="s">
        <v>244</v>
      </c>
      <c r="C13" s="5" t="s">
        <v>245</v>
      </c>
      <c r="D13" s="5" t="s">
        <v>246</v>
      </c>
      <c r="E13" s="5" t="s">
        <v>17</v>
      </c>
      <c r="F13" s="54">
        <v>45831</v>
      </c>
      <c r="G13" s="6" t="s">
        <v>18</v>
      </c>
      <c r="H13" s="6" t="s">
        <v>219</v>
      </c>
      <c r="I13" s="6" t="s">
        <v>20</v>
      </c>
      <c r="J13" s="5" t="s">
        <v>21</v>
      </c>
      <c r="K13" s="5" t="str">
        <f>IF(I13="YES","CAPA VERIFICATION SHOULD BE SCHEDULED",IF(I13="NO","REMINDER LETTER SHOULD BE SENT",""))</f>
        <v>REMINDER LETTER SHOULD BE SENT</v>
      </c>
      <c r="L13" s="26">
        <v>45809</v>
      </c>
      <c r="M13" s="27" t="s">
        <v>247</v>
      </c>
      <c r="N13" s="28" t="str">
        <f>IF(M13="","",HYPERLINK(M13,B13))</f>
        <v>FRESHBORN INDUSTRIES LTD</v>
      </c>
      <c r="O13" s="1"/>
    </row>
    <row r="14" spans="1:15" ht="21" customHeight="1">
      <c r="A14" s="2">
        <v>58</v>
      </c>
      <c r="B14" s="14" t="s">
        <v>248</v>
      </c>
      <c r="C14" s="5" t="s">
        <v>249</v>
      </c>
      <c r="D14" s="5" t="s">
        <v>250</v>
      </c>
      <c r="E14" s="5" t="s">
        <v>17</v>
      </c>
      <c r="F14" s="54">
        <v>45831</v>
      </c>
      <c r="G14" s="6" t="s">
        <v>81</v>
      </c>
      <c r="H14" s="6" t="s">
        <v>219</v>
      </c>
      <c r="I14" s="6" t="s">
        <v>20</v>
      </c>
      <c r="J14" s="5" t="s">
        <v>21</v>
      </c>
      <c r="K14" s="5" t="str">
        <f>IF(I14="YES","CAPA VERIFICATION SHOULD BE SCHEDULED",IF(I14="NO","REMINDER LETTER SHOULD BE SENT",""))</f>
        <v>REMINDER LETTER SHOULD BE SENT</v>
      </c>
      <c r="L14" s="26">
        <v>45809</v>
      </c>
      <c r="M14" s="27" t="s">
        <v>251</v>
      </c>
      <c r="N14" s="28" t="str">
        <f>IF(M14="","",HYPERLINK(M14,B14))</f>
        <v>EMINENT DRUGS LIMITED</v>
      </c>
      <c r="O14" s="1"/>
    </row>
  </sheetData>
  <mergeCells count="1">
    <mergeCell ref="A1:N1"/>
  </mergeCells>
  <dataValidations count="1">
    <dataValidation type="list" allowBlank="1" showInputMessage="1" showErrorMessage="1" sqref="I3:I14" xr:uid="{92AAE8B1-7861-4159-B1EB-204469DD96FF}">
      <formula1>"YES,NO,N/A"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5F98-7488-4F58-96AD-FC68B5802A4F}">
  <dimension ref="A1:O7"/>
  <sheetViews>
    <sheetView workbookViewId="0">
      <selection activeCell="D6" sqref="D6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25.5" customHeight="1">
      <c r="A3" s="2">
        <v>59</v>
      </c>
      <c r="B3" s="14" t="s">
        <v>252</v>
      </c>
      <c r="C3" s="5" t="s">
        <v>253</v>
      </c>
      <c r="D3" s="5" t="s">
        <v>254</v>
      </c>
      <c r="E3" s="5" t="s">
        <v>17</v>
      </c>
      <c r="F3" s="54">
        <v>45855</v>
      </c>
      <c r="G3" s="6" t="s">
        <v>18</v>
      </c>
      <c r="H3" s="6" t="s">
        <v>48</v>
      </c>
      <c r="I3" s="6" t="s">
        <v>20</v>
      </c>
      <c r="J3" s="5" t="s">
        <v>21</v>
      </c>
      <c r="K3" s="5" t="str">
        <f>IF(I3="YES","CAPA VERIFICATION SHOULD BE SCHEDULED",IF(I3="NO","REMINDER LETTER SHOULD BE SENT",""))</f>
        <v>REMINDER LETTER SHOULD BE SENT</v>
      </c>
      <c r="L3" s="26">
        <v>45839</v>
      </c>
      <c r="M3" s="27" t="s">
        <v>255</v>
      </c>
      <c r="N3" s="28" t="str">
        <f>IF(M3="","",HYPERLINK(M3,B3))</f>
        <v>MALVIN MEDICS</v>
      </c>
      <c r="O3" s="1"/>
    </row>
    <row r="4" spans="1:15" ht="25.5" customHeight="1">
      <c r="A4" s="2">
        <v>60</v>
      </c>
      <c r="B4" s="14" t="s">
        <v>256</v>
      </c>
      <c r="C4" s="5" t="s">
        <v>257</v>
      </c>
      <c r="D4" s="5" t="s">
        <v>258</v>
      </c>
      <c r="E4" s="5" t="s">
        <v>17</v>
      </c>
      <c r="F4" s="54">
        <v>45855</v>
      </c>
      <c r="G4" s="6" t="s">
        <v>81</v>
      </c>
      <c r="H4" s="6" t="s">
        <v>259</v>
      </c>
      <c r="I4" s="6" t="s">
        <v>36</v>
      </c>
      <c r="J4" s="5" t="s">
        <v>9</v>
      </c>
      <c r="K4" s="5" t="str">
        <f>IF(I4="YES","CAPA VERIFICATION SHOULD BE SCHEDULED",IF(I4="NO","REMINDER LETTER SHOULD BE SENT",""))</f>
        <v>CAPA VERIFICATION SHOULD BE SCHEDULED</v>
      </c>
      <c r="L4" s="26">
        <v>45962</v>
      </c>
      <c r="M4" s="27" t="s">
        <v>260</v>
      </c>
      <c r="N4" s="28" t="str">
        <f>IF(M4="","",HYPERLINK(M4,B4))</f>
        <v>PANGENE BIOTECH</v>
      </c>
      <c r="O4" s="7"/>
    </row>
    <row r="5" spans="1:15" ht="25.5" customHeight="1">
      <c r="A5" s="2">
        <v>61</v>
      </c>
      <c r="B5" s="14" t="s">
        <v>261</v>
      </c>
      <c r="C5" s="5" t="s">
        <v>262</v>
      </c>
      <c r="D5" s="5" t="s">
        <v>263</v>
      </c>
      <c r="E5" s="5" t="s">
        <v>17</v>
      </c>
      <c r="F5" s="54">
        <v>45854</v>
      </c>
      <c r="G5" s="6" t="s">
        <v>81</v>
      </c>
      <c r="H5" s="6" t="s">
        <v>264</v>
      </c>
      <c r="I5" s="6" t="s">
        <v>36</v>
      </c>
      <c r="J5" s="5" t="s">
        <v>9</v>
      </c>
      <c r="K5" s="5" t="str">
        <f>IF(I5="YES","CAPA VERIFICATION SHOULD BE SCHEDULED",IF(I5="NO","REMINDER LETTER SHOULD BE SENT",""))</f>
        <v>CAPA VERIFICATION SHOULD BE SCHEDULED</v>
      </c>
      <c r="L5" s="26">
        <v>46023</v>
      </c>
      <c r="M5" s="27" t="s">
        <v>265</v>
      </c>
      <c r="N5" s="28" t="str">
        <f>IF(M5="","",HYPERLINK(M5,B5))</f>
        <v>CEEMIKE PHARMA LTD</v>
      </c>
      <c r="O5" s="7"/>
    </row>
    <row r="6" spans="1:15" ht="25.5" customHeight="1">
      <c r="A6" s="2">
        <v>62</v>
      </c>
      <c r="B6" s="14" t="s">
        <v>266</v>
      </c>
      <c r="C6" s="5" t="s">
        <v>267</v>
      </c>
      <c r="D6" s="5" t="s">
        <v>268</v>
      </c>
      <c r="E6" s="5" t="s">
        <v>17</v>
      </c>
      <c r="F6" s="54">
        <v>45855</v>
      </c>
      <c r="G6" s="6" t="s">
        <v>81</v>
      </c>
      <c r="H6" s="6" t="s">
        <v>259</v>
      </c>
      <c r="I6" s="6" t="s">
        <v>20</v>
      </c>
      <c r="J6" s="5" t="s">
        <v>21</v>
      </c>
      <c r="K6" s="5" t="str">
        <f>IF(I6="YES","CAPA VERIFICATION SHOULD BE SCHEDULED",IF(I6="NO","REMINDER LETTER SHOULD BE SENT",""))</f>
        <v>REMINDER LETTER SHOULD BE SENT</v>
      </c>
      <c r="L6" s="26">
        <v>46023</v>
      </c>
      <c r="M6" s="27" t="s">
        <v>269</v>
      </c>
      <c r="N6" s="28" t="str">
        <f>IF(M6="","",HYPERLINK(M6,B6))</f>
        <v>TOC PHARMACEUTICALS</v>
      </c>
      <c r="O6" s="1"/>
    </row>
    <row r="7" spans="1:15" ht="25.5" customHeight="1">
      <c r="A7" s="2">
        <v>63</v>
      </c>
      <c r="B7" s="14" t="s">
        <v>270</v>
      </c>
      <c r="C7" s="5" t="s">
        <v>271</v>
      </c>
      <c r="D7" s="5" t="s">
        <v>272</v>
      </c>
      <c r="E7" s="5" t="s">
        <v>17</v>
      </c>
      <c r="F7" s="54">
        <v>45856</v>
      </c>
      <c r="G7" s="6" t="s">
        <v>18</v>
      </c>
      <c r="H7" s="6" t="s">
        <v>259</v>
      </c>
      <c r="I7" s="6" t="s">
        <v>20</v>
      </c>
      <c r="J7" s="5" t="s">
        <v>21</v>
      </c>
      <c r="K7" s="5" t="str">
        <f>IF(I7="YES","CAPA VERIFICATION SHOULD BE SCHEDULED",IF(I7="NO","REMINDER LETTER SHOULD BE SENT",""))</f>
        <v>REMINDER LETTER SHOULD BE SENT</v>
      </c>
      <c r="L7" s="26">
        <v>45839</v>
      </c>
      <c r="M7" s="50" t="s">
        <v>273</v>
      </c>
      <c r="N7" s="49" t="str">
        <f>IF(M7="","",HYPERLINK(M7,B7))</f>
        <v>GOLDEN GAZELLE</v>
      </c>
      <c r="O7" s="1"/>
    </row>
  </sheetData>
  <mergeCells count="1">
    <mergeCell ref="A1:N1"/>
  </mergeCells>
  <dataValidations count="1">
    <dataValidation type="list" allowBlank="1" showInputMessage="1" showErrorMessage="1" sqref="I3:I7" xr:uid="{FCBC7803-542C-4117-8101-4D1B6007E336}">
      <formula1>"YES,NO,N/A"</formula1>
    </dataValidation>
  </dataValidations>
  <hyperlinks>
    <hyperlink ref="M7" r:id="rId1" xr:uid="{577304B4-7CE9-4D21-8853-DF538F0F3E32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C9DE-B801-4D48-9740-DE07F0CA04BD}">
  <dimension ref="A1:O15"/>
  <sheetViews>
    <sheetView workbookViewId="0">
      <selection activeCell="A3" sqref="A3:N15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5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27" customHeight="1">
      <c r="A3" s="2">
        <v>64</v>
      </c>
      <c r="B3" s="14" t="s">
        <v>65</v>
      </c>
      <c r="C3" s="5" t="s">
        <v>274</v>
      </c>
      <c r="D3" s="5" t="s">
        <v>275</v>
      </c>
      <c r="E3" s="5" t="s">
        <v>34</v>
      </c>
      <c r="F3" s="54">
        <v>45894</v>
      </c>
      <c r="G3" s="6" t="s">
        <v>47</v>
      </c>
      <c r="H3" s="6" t="s">
        <v>276</v>
      </c>
      <c r="I3" s="6" t="s">
        <v>20</v>
      </c>
      <c r="J3" s="5" t="s">
        <v>21</v>
      </c>
      <c r="K3" s="5" t="str">
        <f>IF(I3="YES","CAPA VERIFICATION SHOULD BE SCHEDULED",IF(I3="NO","REMINDER LETTER SHOULD BE SENT",""))</f>
        <v>REMINDER LETTER SHOULD BE SENT</v>
      </c>
      <c r="L3" s="26">
        <v>46600</v>
      </c>
      <c r="M3" s="36" t="s">
        <v>277</v>
      </c>
      <c r="N3" s="28" t="str">
        <f>IF(M3="","",HYPERLINK(M3,B3))</f>
        <v>SHEPHERD HEALTH &amp; VETERINARY LTD.</v>
      </c>
      <c r="O3" s="1"/>
    </row>
    <row r="4" spans="1:15" ht="27" customHeight="1">
      <c r="A4" s="2">
        <v>65</v>
      </c>
      <c r="B4" s="14" t="s">
        <v>278</v>
      </c>
      <c r="C4" s="5" t="s">
        <v>279</v>
      </c>
      <c r="D4" s="5" t="s">
        <v>280</v>
      </c>
      <c r="E4" s="5" t="s">
        <v>17</v>
      </c>
      <c r="F4" s="54">
        <v>45894</v>
      </c>
      <c r="G4" s="6" t="s">
        <v>47</v>
      </c>
      <c r="H4" s="6" t="s">
        <v>276</v>
      </c>
      <c r="I4" s="6" t="s">
        <v>20</v>
      </c>
      <c r="J4" s="5" t="s">
        <v>21</v>
      </c>
      <c r="K4" s="5" t="str">
        <f>IF(I4="YES","CAPA VERIFICATION SHOULD BE SCHEDULED",IF(I4="NO","REMINDER LETTER SHOULD BE SENT",""))</f>
        <v>REMINDER LETTER SHOULD BE SENT</v>
      </c>
      <c r="L4" s="26">
        <v>46600</v>
      </c>
      <c r="M4" s="27" t="s">
        <v>281</v>
      </c>
      <c r="N4" s="28" t="str">
        <f>IF(M4="","",HYPERLINK(M4,B4))</f>
        <v>TRINITAS APO LIMITED</v>
      </c>
      <c r="O4" s="1"/>
    </row>
    <row r="5" spans="1:15" ht="27" customHeight="1">
      <c r="A5" s="2">
        <v>66</v>
      </c>
      <c r="B5" s="14" t="s">
        <v>282</v>
      </c>
      <c r="C5" s="5" t="s">
        <v>283</v>
      </c>
      <c r="D5" s="5" t="s">
        <v>284</v>
      </c>
      <c r="E5" s="5" t="s">
        <v>17</v>
      </c>
      <c r="F5" s="54">
        <v>45894</v>
      </c>
      <c r="G5" s="6" t="s">
        <v>47</v>
      </c>
      <c r="H5" s="6" t="s">
        <v>276</v>
      </c>
      <c r="I5" s="6" t="s">
        <v>20</v>
      </c>
      <c r="J5" s="5" t="s">
        <v>21</v>
      </c>
      <c r="K5" s="5" t="str">
        <f>IF(I5="YES","CAPA VERIFICATION SHOULD BE SCHEDULED",IF(I5="NO","REMINDER LETTER SHOULD BE SENT",""))</f>
        <v>REMINDER LETTER SHOULD BE SENT</v>
      </c>
      <c r="L5" s="26">
        <v>46600</v>
      </c>
      <c r="M5" s="27" t="s">
        <v>285</v>
      </c>
      <c r="N5" s="28" t="str">
        <f>IF(M5="","",HYPERLINK(M5,B5))</f>
        <v>RICNOS PHARMA NIG. LTD</v>
      </c>
      <c r="O5" s="1"/>
    </row>
    <row r="6" spans="1:15" ht="27" customHeight="1">
      <c r="A6" s="2">
        <v>67</v>
      </c>
      <c r="B6" s="14" t="s">
        <v>286</v>
      </c>
      <c r="C6" s="5" t="s">
        <v>287</v>
      </c>
      <c r="D6" s="5" t="s">
        <v>288</v>
      </c>
      <c r="E6" s="5" t="s">
        <v>17</v>
      </c>
      <c r="F6" s="54">
        <v>45894</v>
      </c>
      <c r="G6" s="6" t="s">
        <v>18</v>
      </c>
      <c r="H6" s="6" t="s">
        <v>276</v>
      </c>
      <c r="I6" s="6" t="s">
        <v>36</v>
      </c>
      <c r="J6" s="5" t="s">
        <v>9</v>
      </c>
      <c r="K6" s="5" t="str">
        <f>IF(I6="YES","CAPA VERIFICATION SHOULD BE SCHEDULED",IF(I6="NO","REMINDER LETTER SHOULD BE SENT",""))</f>
        <v>CAPA VERIFICATION SHOULD BE SCHEDULED</v>
      </c>
      <c r="L6" s="31">
        <v>45986</v>
      </c>
      <c r="M6" s="38" t="s">
        <v>289</v>
      </c>
      <c r="N6" s="28" t="str">
        <f>IF(M6="","",HYPERLINK(M6,B6))</f>
        <v xml:space="preserve"> ABTEVIC PHARMACEUTICAL LTD</v>
      </c>
      <c r="O6" s="12"/>
    </row>
    <row r="7" spans="1:15" ht="27" customHeight="1">
      <c r="A7" s="2">
        <v>68</v>
      </c>
      <c r="B7" s="14" t="s">
        <v>290</v>
      </c>
      <c r="C7" s="5" t="s">
        <v>291</v>
      </c>
      <c r="D7" s="5" t="s">
        <v>292</v>
      </c>
      <c r="E7" s="5" t="s">
        <v>17</v>
      </c>
      <c r="F7" s="54">
        <v>45894</v>
      </c>
      <c r="G7" s="6" t="s">
        <v>18</v>
      </c>
      <c r="H7" s="6" t="s">
        <v>293</v>
      </c>
      <c r="I7" s="6" t="s">
        <v>20</v>
      </c>
      <c r="J7" s="5" t="s">
        <v>21</v>
      </c>
      <c r="K7" s="5" t="str">
        <f>IF(I7="YES","CAPA VERIFICATION SHOULD BE SCHEDULED",IF(I7="NO","REMINDER LETTER SHOULD BE SENT",""))</f>
        <v>REMINDER LETTER SHOULD BE SENT</v>
      </c>
      <c r="L7" s="26">
        <v>46235</v>
      </c>
      <c r="M7" s="27"/>
      <c r="N7" s="28" t="str">
        <f>IF(M7="","",HYPERLINK(M7,B7))</f>
        <v/>
      </c>
      <c r="O7" s="1"/>
    </row>
    <row r="8" spans="1:15" ht="27" customHeight="1">
      <c r="A8" s="2">
        <v>69</v>
      </c>
      <c r="B8" s="14" t="s">
        <v>83</v>
      </c>
      <c r="C8" s="5" t="s">
        <v>84</v>
      </c>
      <c r="D8" s="5" t="s">
        <v>294</v>
      </c>
      <c r="E8" s="5" t="s">
        <v>34</v>
      </c>
      <c r="F8" s="54">
        <v>45895</v>
      </c>
      <c r="G8" s="6" t="s">
        <v>47</v>
      </c>
      <c r="H8" s="6" t="s">
        <v>49</v>
      </c>
      <c r="I8" s="6" t="s">
        <v>36</v>
      </c>
      <c r="J8" s="5" t="s">
        <v>49</v>
      </c>
      <c r="K8" s="5" t="s">
        <v>49</v>
      </c>
      <c r="L8" s="35" t="s">
        <v>87</v>
      </c>
      <c r="M8" s="36" t="s">
        <v>295</v>
      </c>
      <c r="N8" s="28" t="str">
        <f>IF(M8="","",HYPERLINK(M8,B8))</f>
        <v>MED EXPRESS</v>
      </c>
      <c r="O8" s="1"/>
    </row>
    <row r="9" spans="1:15" ht="27" customHeight="1">
      <c r="A9" s="2">
        <v>70</v>
      </c>
      <c r="B9" s="14" t="s">
        <v>296</v>
      </c>
      <c r="C9" s="5" t="s">
        <v>297</v>
      </c>
      <c r="D9" s="5" t="s">
        <v>298</v>
      </c>
      <c r="E9" s="5" t="s">
        <v>17</v>
      </c>
      <c r="F9" s="54">
        <v>45895</v>
      </c>
      <c r="G9" s="6" t="s">
        <v>18</v>
      </c>
      <c r="H9" s="6" t="s">
        <v>299</v>
      </c>
      <c r="I9" s="6" t="s">
        <v>20</v>
      </c>
      <c r="J9" s="5" t="s">
        <v>21</v>
      </c>
      <c r="K9" s="5" t="str">
        <f>IF(I9="YES","CAPA VERIFICATION SHOULD BE SCHEDULED",IF(I9="NO","REMINDER LETTER SHOULD BE SENT",""))</f>
        <v>REMINDER LETTER SHOULD BE SENT</v>
      </c>
      <c r="L9" s="26">
        <v>46235</v>
      </c>
      <c r="M9" s="37" t="s">
        <v>300</v>
      </c>
      <c r="N9" s="28" t="str">
        <f>IF(M9="","",HYPERLINK(M9,B9))</f>
        <v>EXPHARLAB LIMITED</v>
      </c>
      <c r="O9" s="1"/>
    </row>
    <row r="10" spans="1:15" ht="27" customHeight="1">
      <c r="A10" s="2">
        <v>71</v>
      </c>
      <c r="B10" s="14" t="s">
        <v>301</v>
      </c>
      <c r="C10" s="5" t="s">
        <v>302</v>
      </c>
      <c r="D10" s="5" t="s">
        <v>303</v>
      </c>
      <c r="E10" s="5" t="s">
        <v>17</v>
      </c>
      <c r="F10" s="54">
        <v>45895</v>
      </c>
      <c r="G10" s="6" t="s">
        <v>18</v>
      </c>
      <c r="H10" s="6" t="s">
        <v>299</v>
      </c>
      <c r="I10" s="6" t="s">
        <v>20</v>
      </c>
      <c r="J10" s="5" t="s">
        <v>21</v>
      </c>
      <c r="K10" s="5" t="str">
        <f>IF(I10="YES","CAPA VERIFICATION SHOULD BE SCHEDULED",IF(I10="NO","REMINDER LETTER SHOULD BE SENT",""))</f>
        <v>REMINDER LETTER SHOULD BE SENT</v>
      </c>
      <c r="L10" s="26">
        <v>46235</v>
      </c>
      <c r="M10" s="36" t="s">
        <v>101</v>
      </c>
      <c r="N10" s="28" t="str">
        <f>IF(M10="","",HYPERLINK(M10,B10))</f>
        <v>ICE REMEDIES LIMITED</v>
      </c>
      <c r="O10" s="1"/>
    </row>
    <row r="11" spans="1:15" ht="27" customHeight="1">
      <c r="A11" s="2">
        <v>72</v>
      </c>
      <c r="B11" s="14" t="s">
        <v>304</v>
      </c>
      <c r="C11" s="5" t="s">
        <v>305</v>
      </c>
      <c r="D11" s="5" t="s">
        <v>306</v>
      </c>
      <c r="E11" s="5" t="s">
        <v>17</v>
      </c>
      <c r="F11" s="54">
        <v>45896</v>
      </c>
      <c r="G11" s="6" t="s">
        <v>47</v>
      </c>
      <c r="H11" s="6" t="s">
        <v>49</v>
      </c>
      <c r="I11" s="6" t="s">
        <v>48</v>
      </c>
      <c r="J11" s="5" t="s">
        <v>49</v>
      </c>
      <c r="K11" s="5" t="s">
        <v>87</v>
      </c>
      <c r="L11" s="26">
        <v>46600</v>
      </c>
      <c r="M11" s="24"/>
      <c r="N11" s="28" t="str">
        <f>IF(M11="","",HYPERLINK(M11,B11))</f>
        <v/>
      </c>
      <c r="O11" s="1"/>
    </row>
    <row r="12" spans="1:15" ht="27" customHeight="1">
      <c r="A12" s="2">
        <v>73</v>
      </c>
      <c r="B12" s="14" t="s">
        <v>307</v>
      </c>
      <c r="C12" s="5" t="s">
        <v>308</v>
      </c>
      <c r="D12" s="5" t="s">
        <v>309</v>
      </c>
      <c r="E12" s="5" t="s">
        <v>17</v>
      </c>
      <c r="F12" s="54">
        <v>45896</v>
      </c>
      <c r="G12" s="6" t="s">
        <v>18</v>
      </c>
      <c r="H12" s="6" t="s">
        <v>276</v>
      </c>
      <c r="I12" s="6" t="s">
        <v>20</v>
      </c>
      <c r="J12" s="5" t="s">
        <v>21</v>
      </c>
      <c r="K12" s="5" t="str">
        <f>IF(I12="YES","CAPA VERIFICATION SHOULD BE SCHEDULED",IF(I12="NO","REMINDER LETTER SHOULD BE SENT",""))</f>
        <v>REMINDER LETTER SHOULD BE SENT</v>
      </c>
      <c r="L12" s="26">
        <v>46600</v>
      </c>
      <c r="M12" s="33" t="s">
        <v>310</v>
      </c>
      <c r="N12" s="28" t="str">
        <f>IF(M12="","",HYPERLINK(M12,B12))</f>
        <v>OLPHARM NIG. LIMITED</v>
      </c>
      <c r="O12" s="1"/>
    </row>
    <row r="13" spans="1:15" ht="27" customHeight="1">
      <c r="A13" s="2">
        <v>74</v>
      </c>
      <c r="B13" s="14" t="s">
        <v>141</v>
      </c>
      <c r="C13" s="5" t="s">
        <v>311</v>
      </c>
      <c r="D13" s="5" t="s">
        <v>143</v>
      </c>
      <c r="E13" s="5" t="s">
        <v>34</v>
      </c>
      <c r="F13" s="54">
        <v>45896</v>
      </c>
      <c r="G13" s="6" t="s">
        <v>47</v>
      </c>
      <c r="H13" s="6" t="s">
        <v>49</v>
      </c>
      <c r="I13" s="6" t="s">
        <v>48</v>
      </c>
      <c r="J13" s="5" t="s">
        <v>49</v>
      </c>
      <c r="K13" s="5" t="s">
        <v>87</v>
      </c>
      <c r="L13" s="26">
        <v>46600</v>
      </c>
      <c r="M13" s="63" t="s">
        <v>312</v>
      </c>
      <c r="N13" s="28" t="str">
        <f>IF(M13="","",HYPERLINK(M13,B13))</f>
        <v>NANCIL NIG. LTD.</v>
      </c>
      <c r="O13" s="1"/>
    </row>
    <row r="14" spans="1:15" ht="27" customHeight="1">
      <c r="A14" s="2">
        <v>75</v>
      </c>
      <c r="B14" s="14" t="s">
        <v>313</v>
      </c>
      <c r="C14" s="5" t="s">
        <v>314</v>
      </c>
      <c r="D14" s="5" t="s">
        <v>315</v>
      </c>
      <c r="E14" s="5" t="s">
        <v>34</v>
      </c>
      <c r="F14" s="54">
        <v>45896</v>
      </c>
      <c r="G14" s="6" t="s">
        <v>47</v>
      </c>
      <c r="H14" s="5" t="s">
        <v>49</v>
      </c>
      <c r="I14" s="5" t="s">
        <v>48</v>
      </c>
      <c r="J14" s="5" t="s">
        <v>49</v>
      </c>
      <c r="K14" s="5" t="s">
        <v>87</v>
      </c>
      <c r="L14" s="26">
        <v>46600</v>
      </c>
      <c r="M14" s="34" t="s">
        <v>316</v>
      </c>
      <c r="N14" s="28" t="str">
        <f>IF(M14="","",HYPERLINK(M14,B14))</f>
        <v>AGARY PHARMACEUTICALS LTD</v>
      </c>
      <c r="O14" s="1"/>
    </row>
    <row r="15" spans="1:15" ht="27" customHeight="1">
      <c r="A15" s="51">
        <v>76</v>
      </c>
      <c r="B15" s="84" t="s">
        <v>317</v>
      </c>
      <c r="C15" s="22" t="s">
        <v>318</v>
      </c>
      <c r="D15" s="22">
        <v>8037158154</v>
      </c>
      <c r="E15" s="22" t="s">
        <v>17</v>
      </c>
      <c r="F15" s="66">
        <v>45896</v>
      </c>
      <c r="G15" s="62" t="s">
        <v>18</v>
      </c>
      <c r="H15" s="85">
        <v>45939</v>
      </c>
      <c r="I15" s="22" t="s">
        <v>20</v>
      </c>
      <c r="J15" s="22" t="s">
        <v>21</v>
      </c>
      <c r="K15" s="22" t="str">
        <f>IF(I15="YES","CAPA VERIFICATION SHOULD BE SCHEDULED",IF(I15="NO","REMINDER LETTER SHOULD BE SENT",""))</f>
        <v>REMINDER LETTER SHOULD BE SENT</v>
      </c>
      <c r="L15" s="86">
        <v>46235</v>
      </c>
      <c r="M15" s="87" t="s">
        <v>319</v>
      </c>
      <c r="N15" s="70" t="str">
        <f>IF(M15="","",HYPERLINK(M15,B15))</f>
        <v/>
      </c>
      <c r="O15" s="1"/>
    </row>
  </sheetData>
  <mergeCells count="1">
    <mergeCell ref="A1:N1"/>
  </mergeCells>
  <dataValidations count="1">
    <dataValidation type="list" allowBlank="1" showInputMessage="1" showErrorMessage="1" sqref="I3:I15" xr:uid="{2143AF80-4E60-4E82-AEF6-3A9BAEA72DAE}">
      <formula1>"YES,NO,N/A"</formula1>
    </dataValidation>
  </dataValidations>
  <hyperlinks>
    <hyperlink ref="M14" r:id="rId1" xr:uid="{9C7D40C4-40A8-4E05-B3A6-B474CD566708}"/>
    <hyperlink ref="M9" r:id="rId2" xr:uid="{5991C6C6-B25F-421C-9E4C-00E1EB2FD865}"/>
    <hyperlink ref="M10" r:id="rId3" xr:uid="{FD77D6CA-B616-42BA-AD8B-BA569793C365}"/>
    <hyperlink ref="M3" r:id="rId4" xr:uid="{5760D569-DFEE-4BAD-BB43-AB3DE1D812BE}"/>
    <hyperlink ref="M8" r:id="rId5" xr:uid="{9CD466E0-626F-45E2-B81C-B6A1E621E00B}"/>
    <hyperlink ref="M13" r:id="rId6" xr:uid="{EFE38014-6944-4D87-BA29-55D6DD688D18}"/>
  </hyperlinks>
  <pageMargins left="0.7" right="0.7" top="0.75" bottom="0.75" header="0.3" footer="0.3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116E-4C6B-4033-82D9-EB4A938A98B1}">
  <dimension ref="A1:N11"/>
  <sheetViews>
    <sheetView workbookViewId="0">
      <selection activeCell="A11" sqref="A11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4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s="48" customFormat="1" ht="28.5" customHeight="1">
      <c r="A3" s="43">
        <v>77</v>
      </c>
      <c r="B3" s="3" t="s">
        <v>320</v>
      </c>
      <c r="C3" s="71" t="s">
        <v>321</v>
      </c>
      <c r="D3" s="88" t="s">
        <v>322</v>
      </c>
      <c r="E3" s="44" t="s">
        <v>17</v>
      </c>
      <c r="F3" s="72">
        <v>45916</v>
      </c>
      <c r="G3" s="17" t="s">
        <v>81</v>
      </c>
      <c r="H3" s="44" t="s">
        <v>323</v>
      </c>
      <c r="I3" s="44" t="s">
        <v>20</v>
      </c>
      <c r="J3" s="44" t="s">
        <v>21</v>
      </c>
      <c r="K3" s="44" t="str">
        <f>IF(I3="YES","CAPA VERIFICATION SHOULD BE SCHEDULED",IF(I3="NO","REMINDER LETTER SHOULD BE SENT",""))</f>
        <v>REMINDER LETTER SHOULD BE SENT</v>
      </c>
      <c r="L3" s="45">
        <v>46143</v>
      </c>
      <c r="M3" s="44" t="s">
        <v>324</v>
      </c>
      <c r="N3" s="47" t="str">
        <f>IF(M3="","",HYPERLINK(M3,B3))</f>
        <v>CHILINK PHARM LTD. </v>
      </c>
    </row>
    <row r="4" spans="1:14" s="48" customFormat="1" ht="28.5" customHeight="1">
      <c r="A4" s="43">
        <v>78</v>
      </c>
      <c r="B4" s="15" t="s">
        <v>325</v>
      </c>
      <c r="C4" s="89" t="s">
        <v>326</v>
      </c>
      <c r="D4" s="88" t="s">
        <v>327</v>
      </c>
      <c r="E4" s="44" t="s">
        <v>34</v>
      </c>
      <c r="F4" s="72">
        <v>45916</v>
      </c>
      <c r="G4" s="17" t="s">
        <v>47</v>
      </c>
      <c r="H4" s="44" t="s">
        <v>49</v>
      </c>
      <c r="I4" s="44" t="s">
        <v>48</v>
      </c>
      <c r="J4" s="44" t="s">
        <v>328</v>
      </c>
      <c r="K4" s="44" t="s">
        <v>87</v>
      </c>
      <c r="L4" s="45">
        <v>46631</v>
      </c>
      <c r="M4" s="46" t="s">
        <v>329</v>
      </c>
      <c r="N4" s="47" t="str">
        <f>IF(M4="","",HYPERLINK(M4,B4))</f>
        <v>FAES FARMA NIG LTD (CAPA) </v>
      </c>
    </row>
    <row r="5" spans="1:14" s="48" customFormat="1" ht="28.5" customHeight="1">
      <c r="A5" s="43">
        <v>79</v>
      </c>
      <c r="B5" s="17" t="s">
        <v>330</v>
      </c>
      <c r="C5" s="71" t="s">
        <v>331</v>
      </c>
      <c r="D5" s="88" t="s">
        <v>332</v>
      </c>
      <c r="E5" s="44" t="s">
        <v>17</v>
      </c>
      <c r="F5" s="72">
        <v>45916</v>
      </c>
      <c r="G5" s="17" t="s">
        <v>81</v>
      </c>
      <c r="H5" s="44" t="s">
        <v>333</v>
      </c>
      <c r="I5" s="44" t="s">
        <v>20</v>
      </c>
      <c r="J5" s="44" t="s">
        <v>21</v>
      </c>
      <c r="K5" s="44" t="str">
        <f>IF(I5="YES","CAPA VERIFICATION SHOULD BE SCHEDULED",IF(I5="NO","REMINDER LETTER SHOULD BE SENT",""))</f>
        <v>REMINDER LETTER SHOULD BE SENT</v>
      </c>
      <c r="L5" s="45">
        <v>46143</v>
      </c>
      <c r="M5" s="46" t="s">
        <v>334</v>
      </c>
      <c r="N5" s="47" t="str">
        <f>IF(M5="","",HYPERLINK(M5,B5))</f>
        <v>CEMCEE PHARM. LTD. </v>
      </c>
    </row>
    <row r="6" spans="1:14" s="48" customFormat="1" ht="28.5" customHeight="1">
      <c r="A6" s="43">
        <v>80</v>
      </c>
      <c r="B6" s="17" t="s">
        <v>335</v>
      </c>
      <c r="C6" s="89" t="s">
        <v>336</v>
      </c>
      <c r="D6" s="88" t="s">
        <v>337</v>
      </c>
      <c r="E6" s="44" t="s">
        <v>34</v>
      </c>
      <c r="F6" s="72">
        <v>45916</v>
      </c>
      <c r="G6" s="17" t="s">
        <v>18</v>
      </c>
      <c r="H6" s="44" t="s">
        <v>338</v>
      </c>
      <c r="I6" s="44" t="s">
        <v>36</v>
      </c>
      <c r="J6" s="44" t="s">
        <v>9</v>
      </c>
      <c r="K6" s="44" t="str">
        <f>IF(I6="YES","CAPA VERIFICATION SHOULD BE SCHEDULED",IF(I6="NO","REMINDER LETTER SHOULD BE SENT",""))</f>
        <v>CAPA VERIFICATION SHOULD BE SCHEDULED</v>
      </c>
      <c r="L6" s="45">
        <v>46266</v>
      </c>
      <c r="M6" s="46" t="s">
        <v>132</v>
      </c>
      <c r="N6" s="47" t="str">
        <f>IF(M6="","",HYPERLINK(M6,B6))</f>
        <v>LABETA DRUGS LTD (CAPA) </v>
      </c>
    </row>
    <row r="7" spans="1:14" s="48" customFormat="1" ht="28.5" customHeight="1">
      <c r="A7" s="43">
        <v>81</v>
      </c>
      <c r="B7" s="3" t="s">
        <v>339</v>
      </c>
      <c r="C7" s="71" t="s">
        <v>340</v>
      </c>
      <c r="D7" s="88" t="s">
        <v>341</v>
      </c>
      <c r="E7" s="44" t="s">
        <v>17</v>
      </c>
      <c r="F7" s="72">
        <v>45917</v>
      </c>
      <c r="G7" s="17" t="s">
        <v>18</v>
      </c>
      <c r="H7" s="44" t="s">
        <v>342</v>
      </c>
      <c r="I7" s="44" t="s">
        <v>20</v>
      </c>
      <c r="J7" s="44" t="s">
        <v>21</v>
      </c>
      <c r="K7" s="44" t="str">
        <f>IF(I7="YES","CAPA VERIFICATION SHOULD BE SCHEDULED",IF(I7="NO","REMINDER LETTER SHOULD BE SENT",""))</f>
        <v>REMINDER LETTER SHOULD BE SENT</v>
      </c>
      <c r="L7" s="45">
        <v>46266</v>
      </c>
      <c r="M7" s="46" t="s">
        <v>343</v>
      </c>
      <c r="N7" s="90" t="str">
        <f>IF(M7="","",HYPERLINK(M7,B7))</f>
        <v>PHARMADEAL NIG. LTD </v>
      </c>
    </row>
    <row r="8" spans="1:14" s="48" customFormat="1" ht="28.5" customHeight="1">
      <c r="A8" s="43">
        <v>82</v>
      </c>
      <c r="B8" s="18" t="s">
        <v>344</v>
      </c>
      <c r="C8" s="89" t="s">
        <v>345</v>
      </c>
      <c r="D8" s="88" t="s">
        <v>346</v>
      </c>
      <c r="E8" s="44" t="s">
        <v>34</v>
      </c>
      <c r="F8" s="72">
        <v>45917</v>
      </c>
      <c r="G8" s="44"/>
      <c r="H8" s="44"/>
      <c r="I8" s="44"/>
      <c r="J8" s="44" t="s">
        <v>21</v>
      </c>
      <c r="K8" s="44" t="str">
        <f>IF(I8="YES","CAPA VERIFICATION SHOULD BE SCHEDULED",IF(I8="NO","REMINDER LETTER SHOULD BE SENT",""))</f>
        <v/>
      </c>
      <c r="L8" s="73"/>
      <c r="M8" s="46" t="s">
        <v>228</v>
      </c>
      <c r="N8" s="47" t="str">
        <f>IF(M8="","",HYPERLINK(M8,B8))</f>
        <v>AMAKIN PHARM (CAPA) </v>
      </c>
    </row>
    <row r="9" spans="1:14" s="48" customFormat="1" ht="28.5" customHeight="1">
      <c r="A9" s="43">
        <v>83</v>
      </c>
      <c r="B9" s="9" t="s">
        <v>347</v>
      </c>
      <c r="C9" s="89" t="s">
        <v>348</v>
      </c>
      <c r="D9" s="88" t="s">
        <v>327</v>
      </c>
      <c r="E9" s="44" t="s">
        <v>34</v>
      </c>
      <c r="F9" s="72">
        <v>45917</v>
      </c>
      <c r="G9" s="17" t="s">
        <v>47</v>
      </c>
      <c r="H9" s="44" t="s">
        <v>349</v>
      </c>
      <c r="I9" s="44" t="s">
        <v>20</v>
      </c>
      <c r="J9" s="44" t="s">
        <v>21</v>
      </c>
      <c r="K9" s="44" t="str">
        <f>IF(I9="YES","CAPA VERIFICATION SHOULD BE SCHEDULED",IF(I9="NO","REMINDER LETTER SHOULD BE SENT",""))</f>
        <v>REMINDER LETTER SHOULD BE SENT</v>
      </c>
      <c r="L9" s="45">
        <v>46631</v>
      </c>
      <c r="M9" s="44" t="s">
        <v>350</v>
      </c>
      <c r="N9" s="47" t="str">
        <f>IF(M9="","",HYPERLINK(M9,B9))</f>
        <v>SEAGREEN PHARMACEUTICALS (CAPA) </v>
      </c>
    </row>
    <row r="10" spans="1:14" s="48" customFormat="1" ht="28.5" customHeight="1">
      <c r="A10" s="43">
        <v>84</v>
      </c>
      <c r="B10" s="18" t="s">
        <v>351</v>
      </c>
      <c r="C10" s="89" t="s">
        <v>352</v>
      </c>
      <c r="D10" s="88" t="s">
        <v>327</v>
      </c>
      <c r="E10" s="44" t="s">
        <v>34</v>
      </c>
      <c r="F10" s="72">
        <v>45917</v>
      </c>
      <c r="G10" s="17" t="s">
        <v>18</v>
      </c>
      <c r="H10" s="44" t="s">
        <v>353</v>
      </c>
      <c r="I10" s="44" t="s">
        <v>20</v>
      </c>
      <c r="J10" s="44" t="s">
        <v>21</v>
      </c>
      <c r="K10" s="44" t="str">
        <f>IF(I10="YES","CAPA VERIFICATION SHOULD BE SCHEDULED",IF(I10="NO","REMINDER LETTER SHOULD BE SENT",""))</f>
        <v>REMINDER LETTER SHOULD BE SENT</v>
      </c>
      <c r="L10" s="45">
        <v>46266</v>
      </c>
      <c r="M10" s="74" t="s">
        <v>354</v>
      </c>
      <c r="N10" s="47" t="str">
        <f>IF(M10="","",HYPERLINK(M10,B10))</f>
        <v>MAYDON PHARMACEUTICAL (CAPA) </v>
      </c>
    </row>
    <row r="11" spans="1:14" s="48" customFormat="1" ht="28.5" customHeight="1">
      <c r="A11" s="43">
        <v>85</v>
      </c>
      <c r="B11" s="18" t="s">
        <v>355</v>
      </c>
      <c r="C11" s="89" t="s">
        <v>356</v>
      </c>
      <c r="D11" s="88" t="s">
        <v>327</v>
      </c>
      <c r="E11" s="44" t="s">
        <v>34</v>
      </c>
      <c r="F11" s="72">
        <v>45917</v>
      </c>
      <c r="G11" s="17" t="s">
        <v>18</v>
      </c>
      <c r="H11" s="44"/>
      <c r="I11" s="44" t="s">
        <v>20</v>
      </c>
      <c r="J11" s="44" t="s">
        <v>21</v>
      </c>
      <c r="K11" s="44" t="str">
        <f>IF(I11="YES","CAPA VERIFICATION SHOULD BE SCHEDULED",IF(I11="NO","REMINDER LETTER SHOULD BE SENT",""))</f>
        <v>REMINDER LETTER SHOULD BE SENT</v>
      </c>
      <c r="L11" s="73"/>
      <c r="M11" s="46" t="s">
        <v>357</v>
      </c>
      <c r="N11" s="47" t="str">
        <f>IF(M11="","",HYPERLINK(M11,B11))</f>
        <v>EXXON PHARM (CAPA) </v>
      </c>
    </row>
  </sheetData>
  <mergeCells count="1">
    <mergeCell ref="A1:N1"/>
  </mergeCells>
  <dataValidations count="1">
    <dataValidation type="list" allowBlank="1" showInputMessage="1" showErrorMessage="1" sqref="I3:I11" xr:uid="{03B7F32C-E75B-4E8C-A24B-6D733921E22C}">
      <formula1>"YES,NO,N/A"</formula1>
    </dataValidation>
  </dataValidations>
  <hyperlinks>
    <hyperlink ref="M10" r:id="rId1" xr:uid="{FAC7F8A1-F599-4810-A770-C0FD46373468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349F-DBCF-4AC3-AF83-FF4705B99BC3}">
  <dimension ref="A1:N15"/>
  <sheetViews>
    <sheetView workbookViewId="0">
      <selection activeCell="A15" sqref="A15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4" max="14" width="16.85546875" bestFit="1" customWidth="1"/>
  </cols>
  <sheetData>
    <row r="1" spans="1:14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s="48" customFormat="1" ht="21.75" customHeight="1">
      <c r="A3" s="91">
        <v>86</v>
      </c>
      <c r="B3" s="13" t="s">
        <v>358</v>
      </c>
      <c r="C3" s="44" t="s">
        <v>359</v>
      </c>
      <c r="D3" s="44" t="s">
        <v>360</v>
      </c>
      <c r="E3" s="44" t="s">
        <v>34</v>
      </c>
      <c r="F3" s="72">
        <v>45951</v>
      </c>
      <c r="G3" s="17" t="s">
        <v>18</v>
      </c>
      <c r="H3" s="44"/>
      <c r="I3" s="44"/>
      <c r="J3" s="44" t="s">
        <v>21</v>
      </c>
      <c r="K3" s="44" t="str">
        <f>IF(I3="YES","CAPA VERIFICATION SHOULD BE SCHEDULED",IF(I3="NO","REMINDER LETTER SHOULD BE SENT",""))</f>
        <v/>
      </c>
      <c r="L3" s="73"/>
      <c r="M3" s="92" t="s">
        <v>73</v>
      </c>
      <c r="N3" s="47" t="str">
        <f>IF(M3="","",HYPERLINK(M3,B3))</f>
        <v>ADCEM (CAPA)</v>
      </c>
    </row>
    <row r="4" spans="1:14" s="48" customFormat="1" ht="21.75" customHeight="1">
      <c r="A4" s="91">
        <v>87</v>
      </c>
      <c r="B4" s="19" t="s">
        <v>361</v>
      </c>
      <c r="C4" s="93" t="s">
        <v>362</v>
      </c>
      <c r="D4" s="94" t="s">
        <v>363</v>
      </c>
      <c r="E4" s="44" t="s">
        <v>17</v>
      </c>
      <c r="F4" s="72">
        <v>45951</v>
      </c>
      <c r="G4" s="17" t="s">
        <v>18</v>
      </c>
      <c r="H4" s="44" t="s">
        <v>364</v>
      </c>
      <c r="I4" s="44" t="s">
        <v>20</v>
      </c>
      <c r="J4" s="44" t="s">
        <v>21</v>
      </c>
      <c r="K4" s="44" t="str">
        <f>IF(I4="YES","CAPA VERIFICATION SHOULD BE SCHEDULED",IF(I4="NO","REMINDER LETTER SHOULD BE SENT",""))</f>
        <v>REMINDER LETTER SHOULD BE SENT</v>
      </c>
      <c r="L4" s="45">
        <v>46143</v>
      </c>
      <c r="M4" s="92" t="s">
        <v>365</v>
      </c>
      <c r="N4" s="47" t="str">
        <f>IF(M4="","",HYPERLINK(M4,B4))</f>
        <v>JIN SPECTRAL PHARMACEUTICAL</v>
      </c>
    </row>
    <row r="5" spans="1:14" s="48" customFormat="1" ht="21.75" customHeight="1">
      <c r="A5" s="91">
        <v>88</v>
      </c>
      <c r="B5" s="20" t="s">
        <v>366</v>
      </c>
      <c r="C5" s="94" t="s">
        <v>367</v>
      </c>
      <c r="D5" s="94" t="s">
        <v>368</v>
      </c>
      <c r="E5" s="44" t="s">
        <v>17</v>
      </c>
      <c r="F5" s="72">
        <v>45951</v>
      </c>
      <c r="G5" s="17" t="s">
        <v>47</v>
      </c>
      <c r="H5" s="44"/>
      <c r="I5" s="44"/>
      <c r="J5" s="44" t="s">
        <v>9</v>
      </c>
      <c r="K5" s="44" t="str">
        <f>IF(I5="YES","CAPA VERIFICATION SHOULD BE SCHEDULED",IF(I5="NO","REMINDER LETTER SHOULD BE SENT",""))</f>
        <v/>
      </c>
      <c r="L5" s="45">
        <v>46296</v>
      </c>
      <c r="M5" s="95" t="s">
        <v>369</v>
      </c>
      <c r="N5" s="47" t="str">
        <f>IF(M5="","",HYPERLINK(M5,B5))</f>
        <v>AFRAB-CHEM LIMITED </v>
      </c>
    </row>
    <row r="6" spans="1:14" s="48" customFormat="1" ht="21.75" customHeight="1">
      <c r="A6" s="91">
        <v>89</v>
      </c>
      <c r="B6" s="20" t="s">
        <v>370</v>
      </c>
      <c r="C6" s="94" t="s">
        <v>371</v>
      </c>
      <c r="D6" s="94" t="s">
        <v>372</v>
      </c>
      <c r="E6" s="44" t="s">
        <v>34</v>
      </c>
      <c r="F6" s="72">
        <v>45951</v>
      </c>
      <c r="G6" s="17" t="s">
        <v>47</v>
      </c>
      <c r="H6" s="44"/>
      <c r="I6" s="44" t="s">
        <v>36</v>
      </c>
      <c r="J6" s="44" t="s">
        <v>9</v>
      </c>
      <c r="K6" s="44" t="str">
        <f>IF(I6="YES","CAPA VERIFICATION SHOULD BE SCHEDULED",IF(I6="NO","REMINDER LETTER SHOULD BE SENT",""))</f>
        <v>CAPA VERIFICATION SHOULD BE SCHEDULED</v>
      </c>
      <c r="L6" s="45">
        <v>46661</v>
      </c>
      <c r="M6" s="96" t="s">
        <v>373</v>
      </c>
      <c r="N6" s="47" t="str">
        <f>IF(M6="","",HYPERLINK(M6,B6))</f>
        <v>ARTEMIS LIFE SCIENCE LTD</v>
      </c>
    </row>
    <row r="7" spans="1:14" s="48" customFormat="1" ht="21.75" customHeight="1">
      <c r="A7" s="91">
        <v>90</v>
      </c>
      <c r="B7" s="19" t="s">
        <v>374</v>
      </c>
      <c r="C7" s="93" t="s">
        <v>375</v>
      </c>
      <c r="D7" s="94" t="s">
        <v>376</v>
      </c>
      <c r="E7" s="44" t="s">
        <v>17</v>
      </c>
      <c r="F7" s="72">
        <v>45951</v>
      </c>
      <c r="G7" s="17" t="s">
        <v>18</v>
      </c>
      <c r="H7" s="44"/>
      <c r="I7" s="44"/>
      <c r="J7" s="44" t="s">
        <v>21</v>
      </c>
      <c r="K7" s="44" t="str">
        <f>IF(I7="YES","CAPA VERIFICATION SHOULD BE SCHEDULED",IF(I7="NO","REMINDER LETTER SHOULD BE SENT",""))</f>
        <v/>
      </c>
      <c r="L7" s="45">
        <v>46296</v>
      </c>
      <c r="M7" s="97" t="s">
        <v>377</v>
      </c>
      <c r="N7" s="47" t="str">
        <f>IF(M7="","",HYPERLINK(M7,B7))</f>
        <v>STANDARD GENERICS LTD</v>
      </c>
    </row>
    <row r="8" spans="1:14" s="48" customFormat="1" ht="21.75" customHeight="1">
      <c r="A8" s="91">
        <v>91</v>
      </c>
      <c r="B8" s="19" t="s">
        <v>378</v>
      </c>
      <c r="C8" s="93" t="s">
        <v>379</v>
      </c>
      <c r="D8" s="94" t="s">
        <v>380</v>
      </c>
      <c r="E8" s="44" t="s">
        <v>17</v>
      </c>
      <c r="F8" s="72">
        <v>45951</v>
      </c>
      <c r="G8" s="17" t="s">
        <v>18</v>
      </c>
      <c r="H8" s="44" t="s">
        <v>381</v>
      </c>
      <c r="I8" s="44" t="s">
        <v>20</v>
      </c>
      <c r="J8" s="44" t="s">
        <v>21</v>
      </c>
      <c r="K8" s="44" t="str">
        <f>IF(I8="YES","CAPA VERIFICATION SHOULD BE SCHEDULED",IF(I8="NO","REMINDER LETTER SHOULD BE SENT",""))</f>
        <v>REMINDER LETTER SHOULD BE SENT</v>
      </c>
      <c r="L8" s="45">
        <v>46296</v>
      </c>
      <c r="M8" s="92" t="s">
        <v>382</v>
      </c>
      <c r="N8" s="47" t="str">
        <f>IF(M8="","",HYPERLINK(M8,B8))</f>
        <v>PHARMABOX VENTURES LIMITED</v>
      </c>
    </row>
    <row r="9" spans="1:14" s="48" customFormat="1" ht="21.75" customHeight="1">
      <c r="A9" s="91">
        <v>92</v>
      </c>
      <c r="B9" s="19" t="s">
        <v>383</v>
      </c>
      <c r="C9" s="93" t="s">
        <v>384</v>
      </c>
      <c r="D9" s="94" t="s">
        <v>385</v>
      </c>
      <c r="E9" s="44" t="s">
        <v>17</v>
      </c>
      <c r="F9" s="72">
        <v>45952</v>
      </c>
      <c r="G9" s="17" t="s">
        <v>81</v>
      </c>
      <c r="H9" s="44" t="s">
        <v>386</v>
      </c>
      <c r="I9" s="44" t="s">
        <v>20</v>
      </c>
      <c r="J9" s="44" t="s">
        <v>21</v>
      </c>
      <c r="K9" s="44" t="str">
        <f>IF(I9="YES","CAPA VERIFICATION SHOULD BE SCHEDULED",IF(I9="NO","REMINDER LETTER SHOULD BE SENT",""))</f>
        <v>REMINDER LETTER SHOULD BE SENT</v>
      </c>
      <c r="L9" s="45">
        <v>46143</v>
      </c>
      <c r="M9" s="92" t="s">
        <v>387</v>
      </c>
      <c r="N9" s="47" t="str">
        <f>IF(M9="","",HYPERLINK(M9,B9))</f>
        <v>JONCO PHARMACEUTICS</v>
      </c>
    </row>
    <row r="10" spans="1:14" s="48" customFormat="1" ht="21.75" customHeight="1">
      <c r="A10" s="91">
        <v>93</v>
      </c>
      <c r="B10" s="19" t="s">
        <v>388</v>
      </c>
      <c r="C10" s="93" t="s">
        <v>389</v>
      </c>
      <c r="D10" s="94" t="s">
        <v>390</v>
      </c>
      <c r="E10" s="44" t="s">
        <v>17</v>
      </c>
      <c r="F10" s="72">
        <v>45952</v>
      </c>
      <c r="G10" s="17" t="s">
        <v>18</v>
      </c>
      <c r="H10" s="44" t="s">
        <v>381</v>
      </c>
      <c r="I10" s="44" t="s">
        <v>20</v>
      </c>
      <c r="J10" s="44" t="s">
        <v>21</v>
      </c>
      <c r="K10" s="44" t="str">
        <f>IF(I10="YES","CAPA VERIFICATION SHOULD BE SCHEDULED",IF(I10="NO","REMINDER LETTER SHOULD BE SENT",""))</f>
        <v>REMINDER LETTER SHOULD BE SENT</v>
      </c>
      <c r="L10" s="45">
        <v>46296</v>
      </c>
      <c r="M10" s="92" t="s">
        <v>391</v>
      </c>
      <c r="N10" s="47" t="str">
        <f>IF(M10="","",HYPERLINK(M10,B10))</f>
        <v>BOUCIA LIMITED</v>
      </c>
    </row>
    <row r="11" spans="1:14" s="48" customFormat="1" ht="21.75" customHeight="1">
      <c r="A11" s="91">
        <v>94</v>
      </c>
      <c r="B11" s="19" t="s">
        <v>392</v>
      </c>
      <c r="C11" s="94" t="s">
        <v>393</v>
      </c>
      <c r="D11" s="94" t="s">
        <v>394</v>
      </c>
      <c r="E11" s="44" t="s">
        <v>17</v>
      </c>
      <c r="F11" s="72">
        <v>45953</v>
      </c>
      <c r="G11" s="17" t="s">
        <v>81</v>
      </c>
      <c r="H11" s="44" t="s">
        <v>386</v>
      </c>
      <c r="I11" s="44" t="s">
        <v>36</v>
      </c>
      <c r="J11" s="44" t="s">
        <v>9</v>
      </c>
      <c r="K11" s="44" t="str">
        <f>IF(I11="YES","CAPA VERIFICATION SHOULD BE SCHEDULED",IF(I11="NO","REMINDER LETTER SHOULD BE SENT",""))</f>
        <v>CAPA VERIFICATION SHOULD BE SCHEDULED</v>
      </c>
      <c r="L11" s="45">
        <v>46143</v>
      </c>
      <c r="M11" s="92" t="s">
        <v>395</v>
      </c>
      <c r="N11" s="47" t="str">
        <f>IF(M11="","",HYPERLINK(M11,B11))</f>
        <v>BASIC PHARMACEUTICAL &amp; HERBAL HEALTHCARE LTD</v>
      </c>
    </row>
    <row r="12" spans="1:14" s="48" customFormat="1" ht="21.75" customHeight="1">
      <c r="A12" s="91">
        <v>95</v>
      </c>
      <c r="B12" s="20" t="s">
        <v>396</v>
      </c>
      <c r="C12" s="94" t="s">
        <v>397</v>
      </c>
      <c r="D12" s="94" t="s">
        <v>398</v>
      </c>
      <c r="E12" s="44" t="s">
        <v>17</v>
      </c>
      <c r="F12" s="72">
        <v>45953</v>
      </c>
      <c r="G12" s="17" t="s">
        <v>47</v>
      </c>
      <c r="H12" s="44" t="s">
        <v>386</v>
      </c>
      <c r="I12" s="44" t="s">
        <v>20</v>
      </c>
      <c r="J12" s="44" t="s">
        <v>21</v>
      </c>
      <c r="K12" s="44" t="str">
        <f>IF(I12="YES","CAPA VERIFICATION SHOULD BE SCHEDULED",IF(I12="NO","REMINDER LETTER SHOULD BE SENT",""))</f>
        <v>REMINDER LETTER SHOULD BE SENT</v>
      </c>
      <c r="L12" s="45">
        <v>46661</v>
      </c>
      <c r="M12" s="92" t="s">
        <v>399</v>
      </c>
      <c r="N12" s="47" t="str">
        <f>IF(M12="","",HYPERLINK(M12,B12))</f>
        <v>BAZREAL GLOBAL LIMITED </v>
      </c>
    </row>
    <row r="13" spans="1:14" s="48" customFormat="1" ht="21.75" customHeight="1">
      <c r="A13" s="91">
        <v>96</v>
      </c>
      <c r="B13" s="19" t="s">
        <v>400</v>
      </c>
      <c r="C13" s="93" t="s">
        <v>401</v>
      </c>
      <c r="D13" s="94">
        <v>8037247821</v>
      </c>
      <c r="E13" s="44" t="s">
        <v>34</v>
      </c>
      <c r="F13" s="72">
        <v>45953</v>
      </c>
      <c r="G13" s="17" t="s">
        <v>47</v>
      </c>
      <c r="H13" s="44" t="s">
        <v>386</v>
      </c>
      <c r="I13" s="44" t="s">
        <v>20</v>
      </c>
      <c r="J13" s="44" t="s">
        <v>21</v>
      </c>
      <c r="K13" s="44" t="str">
        <f>IF(I13="YES","CAPA VERIFICATION SHOULD BE SCHEDULED",IF(I13="NO","REMINDER LETTER SHOULD BE SENT",""))</f>
        <v>REMINDER LETTER SHOULD BE SENT</v>
      </c>
      <c r="L13" s="45">
        <v>46661</v>
      </c>
      <c r="M13" s="44" t="s">
        <v>402</v>
      </c>
      <c r="N13" s="47" t="str">
        <f>IF(M13="","",HYPERLINK(M13,B13))</f>
        <v>IDEAL EAGLE LIMITED (CAPA) </v>
      </c>
    </row>
    <row r="14" spans="1:14" s="48" customFormat="1" ht="21.75" customHeight="1">
      <c r="A14" s="91">
        <v>97</v>
      </c>
      <c r="B14" s="19" t="s">
        <v>403</v>
      </c>
      <c r="C14" s="93" t="s">
        <v>404</v>
      </c>
      <c r="D14" s="93">
        <v>7060954163</v>
      </c>
      <c r="E14" s="44" t="s">
        <v>34</v>
      </c>
      <c r="F14" s="72">
        <v>45953</v>
      </c>
      <c r="G14" s="17" t="s">
        <v>47</v>
      </c>
      <c r="H14" s="44" t="s">
        <v>49</v>
      </c>
      <c r="I14" s="44" t="s">
        <v>48</v>
      </c>
      <c r="J14" s="44" t="s">
        <v>9</v>
      </c>
      <c r="K14" s="44" t="s">
        <v>87</v>
      </c>
      <c r="L14" s="45">
        <v>46661</v>
      </c>
      <c r="M14" s="95" t="s">
        <v>405</v>
      </c>
      <c r="N14" s="47" t="str">
        <f>IF(M14="","",HYPERLINK(M14,B14))</f>
        <v>THOMPSON AND GRACE (CAPA) </v>
      </c>
    </row>
    <row r="15" spans="1:14" s="48" customFormat="1" ht="21.75" customHeight="1">
      <c r="A15" s="91">
        <v>98</v>
      </c>
      <c r="B15" s="19" t="s">
        <v>406</v>
      </c>
      <c r="C15" s="93" t="s">
        <v>407</v>
      </c>
      <c r="D15" s="94" t="s">
        <v>408</v>
      </c>
      <c r="E15" s="44" t="s">
        <v>17</v>
      </c>
      <c r="F15" s="72">
        <v>45953</v>
      </c>
      <c r="G15" s="17" t="s">
        <v>81</v>
      </c>
      <c r="H15" s="44" t="s">
        <v>386</v>
      </c>
      <c r="I15" s="44" t="s">
        <v>20</v>
      </c>
      <c r="J15" s="44" t="s">
        <v>21</v>
      </c>
      <c r="K15" s="44" t="s">
        <v>409</v>
      </c>
      <c r="L15" s="45">
        <v>46143</v>
      </c>
      <c r="M15" s="95" t="s">
        <v>410</v>
      </c>
      <c r="N15" s="47" t="str">
        <f>IF(M15="","",HYPERLINK(M15,B15))</f>
        <v>BLUE SUMMIT HEALTH CARE LTD </v>
      </c>
    </row>
  </sheetData>
  <mergeCells count="1">
    <mergeCell ref="A1:N1"/>
  </mergeCells>
  <dataValidations count="1">
    <dataValidation type="list" allowBlank="1" showInputMessage="1" showErrorMessage="1" sqref="I3:I15" xr:uid="{D77220D3-A3D9-4753-9C71-A90BF7C759C7}">
      <formula1>"YES,NO,N/A"</formula1>
    </dataValidation>
  </dataValidations>
  <hyperlinks>
    <hyperlink ref="M15" r:id="rId1" xr:uid="{0B69FE32-5E9C-4E64-962C-116B7458207D}"/>
    <hyperlink ref="M14" r:id="rId2" xr:uid="{A8F5720E-4279-48B3-89DA-C128F72656CF}"/>
    <hyperlink ref="M5" r:id="rId3" xr:uid="{D5A47AD4-A429-431C-9449-6710D1D37620}"/>
    <hyperlink ref="M6" r:id="rId4" xr:uid="{B244C435-D15F-43E1-9556-F6B34861420D}"/>
    <hyperlink ref="M7" r:id="rId5" xr:uid="{159B463D-1BE5-4C35-8E11-591B0097BE6F}"/>
  </hyperlinks>
  <pageMargins left="0.7" right="0.7" top="0.75" bottom="0.75" header="0.3" footer="0.3"/>
  <tableParts count="1">
    <tablePart r:id="rId6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D014-8869-41EF-8B15-1D98FAC35EA8}">
  <dimension ref="A1:N13"/>
  <sheetViews>
    <sheetView workbookViewId="0">
      <selection activeCell="E3" sqref="E3"/>
    </sheetView>
  </sheetViews>
  <sheetFormatPr defaultRowHeight="15"/>
  <cols>
    <col min="2" max="2" width="27.140625" bestFit="1" customWidth="1"/>
    <col min="3" max="3" width="21.85546875" bestFit="1" customWidth="1"/>
    <col min="4" max="4" width="12" bestFit="1" customWidth="1"/>
    <col min="5" max="5" width="10.42578125" customWidth="1"/>
    <col min="6" max="6" width="32.140625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12.28515625" customWidth="1"/>
    <col min="14" max="14" width="16.85546875" bestFit="1" customWidth="1"/>
  </cols>
  <sheetData>
    <row r="1" spans="1:14">
      <c r="A1" s="110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s="46" customFormat="1" ht="30" customHeight="1">
      <c r="A3" s="44">
        <v>99</v>
      </c>
      <c r="B3" s="13" t="s">
        <v>411</v>
      </c>
      <c r="C3" s="44" t="s">
        <v>412</v>
      </c>
      <c r="D3" s="44">
        <v>7064946450</v>
      </c>
      <c r="E3" s="44" t="s">
        <v>34</v>
      </c>
      <c r="F3" s="72">
        <v>45979</v>
      </c>
      <c r="G3" s="17" t="s">
        <v>18</v>
      </c>
      <c r="H3" s="44" t="s">
        <v>413</v>
      </c>
      <c r="I3" s="44" t="s">
        <v>20</v>
      </c>
      <c r="J3" s="44" t="s">
        <v>21</v>
      </c>
      <c r="K3" s="44" t="str">
        <f>IF(I3="YES","CAPA VERIFICATION SHOULD BE SCHEDULED",IF(I3="NO","REMINDER LETTER SHOULD BE SENT",""))</f>
        <v>REMINDER LETTER SHOULD BE SENT</v>
      </c>
      <c r="L3" s="45">
        <v>46327</v>
      </c>
      <c r="M3" s="92" t="s">
        <v>414</v>
      </c>
      <c r="N3" s="47" t="str">
        <f>IF(M3="","",HYPERLINK(M3,B3))</f>
        <v xml:space="preserve">BRIGHTMEX PHARMACY LIMITED </v>
      </c>
    </row>
    <row r="4" spans="1:14" s="46" customFormat="1" ht="30" customHeight="1">
      <c r="A4" s="44">
        <v>100</v>
      </c>
      <c r="B4" s="13" t="s">
        <v>415</v>
      </c>
      <c r="C4" s="44" t="s">
        <v>416</v>
      </c>
      <c r="D4" s="44">
        <v>8162734653</v>
      </c>
      <c r="E4" s="44" t="s">
        <v>17</v>
      </c>
      <c r="F4" s="72">
        <v>45979</v>
      </c>
      <c r="G4" s="17" t="s">
        <v>47</v>
      </c>
      <c r="H4" s="44" t="s">
        <v>413</v>
      </c>
      <c r="I4" s="44" t="s">
        <v>36</v>
      </c>
      <c r="J4" s="44" t="s">
        <v>9</v>
      </c>
      <c r="K4" s="44" t="str">
        <f>IF(I4="YES","CAPA VERIFICATION SHOULD BE SCHEDULED",IF(I4="NO","REMINDER LETTER SHOULD BE SENT",""))</f>
        <v>CAPA VERIFICATION SHOULD BE SCHEDULED</v>
      </c>
      <c r="L4" s="45">
        <v>46692</v>
      </c>
      <c r="M4" s="92" t="s">
        <v>417</v>
      </c>
      <c r="N4" s="47" t="str">
        <f>IF(M4="","",HYPERLINK(M4,B4))</f>
        <v>JAWA INTL LIMITED</v>
      </c>
    </row>
    <row r="5" spans="1:14" s="46" customFormat="1" ht="30" customHeight="1">
      <c r="A5" s="44">
        <v>101</v>
      </c>
      <c r="B5" s="13" t="s">
        <v>418</v>
      </c>
      <c r="C5" s="44" t="s">
        <v>419</v>
      </c>
      <c r="D5" s="44">
        <v>8158990100</v>
      </c>
      <c r="E5" s="44" t="s">
        <v>34</v>
      </c>
      <c r="F5" s="72">
        <v>45979</v>
      </c>
      <c r="G5" s="17" t="s">
        <v>81</v>
      </c>
      <c r="H5" s="44" t="s">
        <v>413</v>
      </c>
      <c r="I5" s="44" t="s">
        <v>20</v>
      </c>
      <c r="J5" s="44" t="s">
        <v>21</v>
      </c>
      <c r="K5" s="44" t="str">
        <f>IF(I5="YES","CAPA VERIFICATION SHOULD BE SCHEDULED",IF(I5="NO","REMINDER LETTER SHOULD BE SENT",""))</f>
        <v>REMINDER LETTER SHOULD BE SENT</v>
      </c>
      <c r="L5" s="45">
        <v>46143</v>
      </c>
      <c r="M5" s="92" t="s">
        <v>420</v>
      </c>
      <c r="N5" s="47" t="str">
        <f>IF(M5="","",HYPERLINK(M5,B5))</f>
        <v>CLARION MEDICALS LTD (CAPA)</v>
      </c>
    </row>
    <row r="6" spans="1:14" s="46" customFormat="1" ht="30" customHeight="1">
      <c r="A6" s="44">
        <v>102</v>
      </c>
      <c r="B6" s="13" t="s">
        <v>421</v>
      </c>
      <c r="C6" s="44" t="s">
        <v>422</v>
      </c>
      <c r="D6" s="44">
        <v>7064946450</v>
      </c>
      <c r="E6" s="44" t="s">
        <v>17</v>
      </c>
      <c r="F6" s="72">
        <v>45979</v>
      </c>
      <c r="G6" s="17" t="s">
        <v>18</v>
      </c>
      <c r="H6" s="44" t="s">
        <v>423</v>
      </c>
      <c r="I6" s="44" t="s">
        <v>20</v>
      </c>
      <c r="J6" s="44" t="s">
        <v>21</v>
      </c>
      <c r="K6" s="44" t="str">
        <f>IF(I6="YES","CAPA VERIFICATION SHOULD BE SCHEDULED",IF(I6="NO","REMINDER LETTER SHOULD BE SENT",""))</f>
        <v>REMINDER LETTER SHOULD BE SENT</v>
      </c>
      <c r="L6" s="45">
        <v>46327</v>
      </c>
      <c r="M6" s="92" t="s">
        <v>424</v>
      </c>
      <c r="N6" s="47" t="str">
        <f>IF(M6="","",HYPERLINK(M6,B6))</f>
        <v>GENEX LIFESCIENCE</v>
      </c>
    </row>
    <row r="7" spans="1:14" s="46" customFormat="1" ht="30" customHeight="1">
      <c r="A7" s="44">
        <v>103</v>
      </c>
      <c r="B7" s="13" t="s">
        <v>425</v>
      </c>
      <c r="C7" s="44" t="s">
        <v>426</v>
      </c>
      <c r="D7" s="44">
        <v>8030753413</v>
      </c>
      <c r="E7" s="44" t="s">
        <v>34</v>
      </c>
      <c r="F7" s="72">
        <v>45979</v>
      </c>
      <c r="G7" s="17" t="s">
        <v>47</v>
      </c>
      <c r="H7" s="44" t="s">
        <v>49</v>
      </c>
      <c r="I7" s="44" t="s">
        <v>48</v>
      </c>
      <c r="J7" s="44" t="s">
        <v>328</v>
      </c>
      <c r="K7" s="44" t="s">
        <v>87</v>
      </c>
      <c r="L7" s="45">
        <v>46692</v>
      </c>
      <c r="M7" s="92" t="s">
        <v>427</v>
      </c>
      <c r="N7" s="47" t="str">
        <f>IF(M7="","",HYPERLINK(M7,B7))</f>
        <v>ARINZESON PHARM CO LTD (CAPA)</v>
      </c>
    </row>
    <row r="8" spans="1:14" s="46" customFormat="1" ht="30" customHeight="1">
      <c r="A8" s="44">
        <v>104</v>
      </c>
      <c r="B8" s="13" t="s">
        <v>428</v>
      </c>
      <c r="C8" s="44" t="s">
        <v>429</v>
      </c>
      <c r="D8" s="44"/>
      <c r="E8" s="44" t="s">
        <v>17</v>
      </c>
      <c r="F8" s="72">
        <v>45979</v>
      </c>
      <c r="G8" s="17" t="s">
        <v>81</v>
      </c>
      <c r="H8" s="44" t="s">
        <v>423</v>
      </c>
      <c r="I8" s="44" t="s">
        <v>36</v>
      </c>
      <c r="J8" s="44" t="s">
        <v>9</v>
      </c>
      <c r="K8" s="44" t="str">
        <f>IF(I8="YES","CAPA VERIFICATION SHOULD BE SCHEDULED",IF(I8="NO","REMINDER LETTER SHOULD BE SENT",""))</f>
        <v>CAPA VERIFICATION SHOULD BE SCHEDULED</v>
      </c>
      <c r="L8" s="45">
        <v>46143</v>
      </c>
      <c r="M8" s="92" t="s">
        <v>430</v>
      </c>
      <c r="N8" s="47" t="str">
        <f>IF(M8="","",HYPERLINK(M8,B8))</f>
        <v>SEPAT PHARM LTD</v>
      </c>
    </row>
    <row r="9" spans="1:14" s="46" customFormat="1" ht="30" customHeight="1">
      <c r="A9" s="44">
        <v>105</v>
      </c>
      <c r="B9" s="13" t="s">
        <v>431</v>
      </c>
      <c r="C9" s="44" t="s">
        <v>432</v>
      </c>
      <c r="D9" s="44">
        <v>7068995285</v>
      </c>
      <c r="E9" s="44" t="s">
        <v>17</v>
      </c>
      <c r="F9" s="72">
        <v>45980</v>
      </c>
      <c r="G9" s="17" t="s">
        <v>18</v>
      </c>
      <c r="H9" s="44" t="s">
        <v>433</v>
      </c>
      <c r="I9" s="44" t="s">
        <v>20</v>
      </c>
      <c r="J9" s="44" t="s">
        <v>21</v>
      </c>
      <c r="K9" s="44" t="str">
        <f>IF(I9="YES","CAPA VERIFICATION SHOULD BE SCHEDULED",IF(I9="NO","REMINDER LETTER SHOULD BE SENT",""))</f>
        <v>REMINDER LETTER SHOULD BE SENT</v>
      </c>
      <c r="L9" s="45">
        <v>46327</v>
      </c>
      <c r="M9" s="96" t="s">
        <v>434</v>
      </c>
      <c r="N9" s="47" t="str">
        <f>IF(M9="","",HYPERLINK(M9,B9))</f>
        <v>NUGENIC PHARMACEUTICAL LTD</v>
      </c>
    </row>
    <row r="10" spans="1:14" s="46" customFormat="1" ht="30" customHeight="1">
      <c r="A10" s="44">
        <v>106</v>
      </c>
      <c r="B10" s="13" t="s">
        <v>435</v>
      </c>
      <c r="C10" s="44" t="s">
        <v>436</v>
      </c>
      <c r="D10" s="44">
        <v>8185905205</v>
      </c>
      <c r="E10" s="44" t="s">
        <v>17</v>
      </c>
      <c r="F10" s="72">
        <v>45981</v>
      </c>
      <c r="G10" s="17" t="s">
        <v>18</v>
      </c>
      <c r="H10" s="44" t="s">
        <v>437</v>
      </c>
      <c r="I10" s="44" t="s">
        <v>20</v>
      </c>
      <c r="J10" s="44" t="s">
        <v>21</v>
      </c>
      <c r="K10" s="44" t="str">
        <f>IF(I10="YES","CAPA VERIFICATION SHOULD BE SCHEDULED",IF(I10="NO","REMINDER LETTER SHOULD BE SENT",""))</f>
        <v>REMINDER LETTER SHOULD BE SENT</v>
      </c>
      <c r="L10" s="45">
        <v>46327</v>
      </c>
      <c r="M10" s="92" t="s">
        <v>438</v>
      </c>
      <c r="N10" s="47" t="str">
        <f>IF(M10="","",HYPERLINK(M10,B10))</f>
        <v>SAVOCENT PHARMA</v>
      </c>
    </row>
    <row r="11" spans="1:14" s="46" customFormat="1" ht="30" customHeight="1">
      <c r="A11" s="44">
        <v>107</v>
      </c>
      <c r="B11" s="13" t="s">
        <v>439</v>
      </c>
      <c r="C11" s="44" t="s">
        <v>440</v>
      </c>
      <c r="D11" s="44">
        <v>8036767902</v>
      </c>
      <c r="E11" s="44" t="s">
        <v>17</v>
      </c>
      <c r="F11" s="72">
        <v>45981</v>
      </c>
      <c r="G11" s="17" t="s">
        <v>18</v>
      </c>
      <c r="H11" s="44" t="s">
        <v>441</v>
      </c>
      <c r="I11" s="44" t="s">
        <v>20</v>
      </c>
      <c r="J11" s="44" t="s">
        <v>21</v>
      </c>
      <c r="K11" s="44" t="str">
        <f>IF(I11="YES","CAPA VERIFICATION SHOULD BE SCHEDULED",IF(I11="NO","REMINDER LETTER SHOULD BE SENT",""))</f>
        <v>REMINDER LETTER SHOULD BE SENT</v>
      </c>
      <c r="L11" s="45">
        <v>46327</v>
      </c>
      <c r="M11" s="92" t="s">
        <v>442</v>
      </c>
      <c r="N11" s="47" t="str">
        <f>IF(M11="","",HYPERLINK(M11,B11))</f>
        <v>KENIX PHARMACY</v>
      </c>
    </row>
    <row r="12" spans="1:14" s="46" customFormat="1" ht="30" customHeight="1">
      <c r="A12" s="44">
        <v>108</v>
      </c>
      <c r="B12" s="13" t="s">
        <v>443</v>
      </c>
      <c r="C12" s="44" t="s">
        <v>444</v>
      </c>
      <c r="D12" s="44"/>
      <c r="E12" s="44" t="s">
        <v>34</v>
      </c>
      <c r="F12" s="72">
        <v>45981</v>
      </c>
      <c r="G12" s="17" t="s">
        <v>81</v>
      </c>
      <c r="H12" s="44" t="s">
        <v>445</v>
      </c>
      <c r="I12" s="44" t="s">
        <v>20</v>
      </c>
      <c r="J12" s="44" t="s">
        <v>21</v>
      </c>
      <c r="K12" s="44" t="str">
        <f>IF(I12="YES","CAPA VERIFICATION SHOULD BE SCHEDULED",IF(I12="NO","REMINDER LETTER SHOULD BE SENT",""))</f>
        <v>REMINDER LETTER SHOULD BE SENT</v>
      </c>
      <c r="L12" s="45">
        <v>46143</v>
      </c>
      <c r="M12" s="44" t="s">
        <v>446</v>
      </c>
      <c r="N12" s="47" t="str">
        <f>IF(M12="","",HYPERLINK(M12,B12))</f>
        <v xml:space="preserve">CA &amp; JO (CAPA) </v>
      </c>
    </row>
    <row r="13" spans="1:14" s="46" customFormat="1" ht="30" customHeight="1">
      <c r="A13" s="44">
        <v>109</v>
      </c>
      <c r="B13" s="21" t="s">
        <v>447</v>
      </c>
      <c r="C13" s="98" t="s">
        <v>448</v>
      </c>
      <c r="D13" s="98">
        <v>8023065270</v>
      </c>
      <c r="E13" s="98" t="s">
        <v>34</v>
      </c>
      <c r="F13" s="72">
        <v>45981</v>
      </c>
      <c r="G13" s="99" t="s">
        <v>47</v>
      </c>
      <c r="H13" s="98" t="s">
        <v>49</v>
      </c>
      <c r="I13" s="98" t="s">
        <v>48</v>
      </c>
      <c r="J13" s="98" t="s">
        <v>328</v>
      </c>
      <c r="K13" s="98" t="s">
        <v>87</v>
      </c>
      <c r="L13" s="45">
        <v>46692</v>
      </c>
      <c r="M13" s="100" t="s">
        <v>289</v>
      </c>
      <c r="N13" s="47" t="str">
        <f>IF(M13="","",HYPERLINK(M13,B13))</f>
        <v>ABTEVIC (CAPA)</v>
      </c>
    </row>
  </sheetData>
  <mergeCells count="1">
    <mergeCell ref="A1:N1"/>
  </mergeCells>
  <dataValidations count="1">
    <dataValidation type="list" allowBlank="1" showInputMessage="1" showErrorMessage="1" sqref="I3:I13" xr:uid="{65B4BAB2-60F2-4855-B4A2-9978FF52F9F0}">
      <formula1>"YES,NO,N/A"</formula1>
    </dataValidation>
  </dataValidations>
  <hyperlinks>
    <hyperlink ref="M9" r:id="rId1" xr:uid="{5C2E48DD-B18B-482A-B7AF-D8EED6A426C1}"/>
  </hyperlinks>
  <pageMargins left="0.7" right="0.7" top="0.75" bottom="0.75" header="0.3" footer="0.3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4C4B-656C-4D1C-AFEA-466426F93C2C}">
  <dimension ref="A2:G14"/>
  <sheetViews>
    <sheetView topLeftCell="F1" workbookViewId="0">
      <selection activeCell="E4" sqref="E4"/>
    </sheetView>
  </sheetViews>
  <sheetFormatPr defaultRowHeight="15"/>
  <sheetData>
    <row r="2" spans="1:7" ht="43.5">
      <c r="B2" s="27" t="s">
        <v>454</v>
      </c>
      <c r="C2" s="27" t="s">
        <v>455</v>
      </c>
      <c r="D2" s="27" t="s">
        <v>9</v>
      </c>
      <c r="E2" s="27" t="s">
        <v>456</v>
      </c>
      <c r="F2" s="27" t="s">
        <v>457</v>
      </c>
      <c r="G2" s="27" t="s">
        <v>458</v>
      </c>
    </row>
    <row r="3" spans="1:7">
      <c r="A3" t="s">
        <v>459</v>
      </c>
      <c r="B3">
        <f>COUNTIFS(
'INSPECTED FACILITIES 2025'!E:E,"GDP",
'INSPECTED FACILITIES 2025'!F:F,"&gt;="&amp;DATE(2025,MONTH(DATEVALUE(A3&amp;" 1")),1),
'INSPECTED FACILITIES 2025'!F:F,"&lt;"&amp;EOMONTH(DATE(2025,MONTH(DATEVALUE(A3&amp;" 1")),1),0)+1
)</f>
        <v>4</v>
      </c>
      <c r="C3">
        <f>COUNTIFS(
'INSPECTED FACILITIES 2025'!E:E,"CAPA",
'INSPECTED FACILITIES 2025'!F:F,"&gt;="&amp;DATE(2025,MONTH(DATEVALUE(A3&amp;" 1")),1),
'INSPECTED FACILITIES 2025'!F:F,"&lt;"&amp;EOMONTH(DATE(2025,MONTH(DATEVALUE(A3&amp;" 1")),1),0)+1
)</f>
        <v>1</v>
      </c>
      <c r="D3">
        <f>COUNTIFS(
'INSPECTED FACILITIES 2025'!I:I,"YES",
'INSPECTED FACILITIES 2025'!F:F,"&gt;="&amp;DATE(2025,MONTH(DATEVALUE(A3&amp;" 1")),1),
'INSPECTED FACILITIES 2025'!F:F,"&lt;"&amp;EOMONTH(DATE(2025,MONTH(DATEVALUE(A3&amp;" 1")),1),0)+1
)</f>
        <v>1</v>
      </c>
      <c r="E3">
        <f>COUNTIFS(
'INSPECTED FACILITIES 2025'!G:G,"Low-Risk (A)",
'INSPECTED FACILITIES 2025'!F:F,"&gt;="&amp;DATE(2025,MONTH(DATEVALUE(A3&amp;" 1")),1),
'INSPECTED FACILITIES 2025'!F:F,"&lt;"&amp;EOMONTH(DATE(2025,MONTH(DATEVALUE(A3&amp;" 1")),1),0)+1
)</f>
        <v>0</v>
      </c>
      <c r="F3">
        <f>COUNTIFS(
'INSPECTED FACILITIES 2025'!G:G,"Medium-Risk (B)",
'INSPECTED FACILITIES 2025'!F:F,"&gt;="&amp;DATE(2025,MONTH(DATEVALUE(A3&amp;" 1")),1),
'INSPECTED FACILITIES 2025'!F:F,"&lt;"&amp;EOMONTH(DATE(2025,MONTH(DATEVALUE(A3&amp;" 1")),1),0)+1
)</f>
        <v>5</v>
      </c>
      <c r="G3">
        <f>COUNTIFS(
'INSPECTED FACILITIES 2025'!G:G,"High-Risk (C)",
'INSPECTED FACILITIES 2025'!F:F,"&gt;="&amp;DATE(2025,MONTH(DATEVALUE(A3&amp;" 1")),1),
'INSPECTED FACILITIES 2025'!F:F,"&lt;"&amp;EOMONTH(DATE(2025,MONTH(DATEVALUE(A3&amp;" 1")),1),0)+1
)</f>
        <v>0</v>
      </c>
    </row>
    <row r="4" spans="1:7">
      <c r="A4" t="s">
        <v>460</v>
      </c>
      <c r="B4">
        <f>COUNTIFS(
'INSPECTED FACILITIES 2025'!E:E,"GDP",
'INSPECTED FACILITIES 2025'!F:F,"&gt;="&amp;DATE(2025,MONTH(DATEVALUE(A4&amp;" 1")),1),
'INSPECTED FACILITIES 2025'!F:F,"&lt;"&amp;EOMONTH(DATE(2025,MONTH(DATEVALUE(A4&amp;" 1")),1),0)+1
)</f>
        <v>1</v>
      </c>
      <c r="C4">
        <f>COUNTIFS(
'INSPECTED FACILITIES 2025'!E:E,"CAPA",
'INSPECTED FACILITIES 2025'!F:F,"&gt;="&amp;DATE(2025,MONTH(DATEVALUE(A4&amp;" 1")),1),
'INSPECTED FACILITIES 2025'!F:F,"&lt;"&amp;EOMONTH(DATE(2025,MONTH(DATEVALUE(A4&amp;" 1")),1),0)+1
)</f>
        <v>0</v>
      </c>
      <c r="D4">
        <f>COUNTIFS(
'INSPECTED FACILITIES 2025'!I:I,"YES",
'INSPECTED FACILITIES 2025'!F:F,"&gt;="&amp;DATE(2025,MONTH(DATEVALUE(A4&amp;" 1")),1),
'INSPECTED FACILITIES 2025'!F:F,"&lt;"&amp;EOMONTH(DATE(2025,MONTH(DATEVALUE(A4&amp;" 1")),1),0)+1
)</f>
        <v>0</v>
      </c>
      <c r="E4">
        <f>COUNTIFS(
'INSPECTED FACILITIES 2025'!G:G,"Low-Risk (A)",
'INSPECTED FACILITIES 2025'!F:F,"&gt;="&amp;DATE(2025,MONTH(DATEVALUE(A4&amp;" 1")),1),
'INSPECTED FACILITIES 2025'!F:F,"&lt;"&amp;EOMONTH(DATE(2025,MONTH(DATEVALUE(A4&amp;" 1")),1),0)+1
)</f>
        <v>0</v>
      </c>
      <c r="F4">
        <f>COUNTIFS(
'INSPECTED FACILITIES 2025'!G:G,"Medium-Risk (B)",
'INSPECTED FACILITIES 2025'!F:F,"&gt;="&amp;DATE(2025,MONTH(DATEVALUE(A4&amp;" 1")),1),
'INSPECTED FACILITIES 2025'!F:F,"&lt;"&amp;EOMONTH(DATE(2025,MONTH(DATEVALUE(A4&amp;" 1")),1),0)+1
)</f>
        <v>1</v>
      </c>
      <c r="G4">
        <f>COUNTIFS(
'INSPECTED FACILITIES 2025'!G:G,"High-Risk (C)",
'INSPECTED FACILITIES 2025'!F:F,"&gt;="&amp;DATE(2025,MONTH(DATEVALUE(A4&amp;" 1")),1),
'INSPECTED FACILITIES 2025'!F:F,"&lt;"&amp;EOMONTH(DATE(2025,MONTH(DATEVALUE(A4&amp;" 1")),1),0)+1
)</f>
        <v>0</v>
      </c>
    </row>
    <row r="5" spans="1:7">
      <c r="A5" t="s">
        <v>461</v>
      </c>
      <c r="B5">
        <f>COUNTIFS(
'INSPECTED FACILITIES 2025'!E:E,"GDP",
'INSPECTED FACILITIES 2025'!F:F,"&gt;="&amp;DATE(2025,MONTH(DATEVALUE(A5&amp;" 1")),1),
'INSPECTED FACILITIES 2025'!F:F,"&lt;"&amp;EOMONTH(DATE(2025,MONTH(DATEVALUE(A5&amp;" 1")),1),0)+1
)</f>
        <v>12</v>
      </c>
      <c r="C5">
        <f>COUNTIFS(
'INSPECTED FACILITIES 2025'!E:E,"CAPA",
'INSPECTED FACILITIES 2025'!F:F,"&gt;="&amp;DATE(2025,MONTH(DATEVALUE(A5&amp;" 1")),1),
'INSPECTED FACILITIES 2025'!F:F,"&lt;"&amp;EOMONTH(DATE(2025,MONTH(DATEVALUE(A5&amp;" 1")),1),0)+1
)</f>
        <v>1</v>
      </c>
      <c r="D5">
        <f>COUNTIFS(
'INSPECTED FACILITIES 2025'!I:I,"YES",
'INSPECTED FACILITIES 2025'!F:F,"&gt;="&amp;DATE(2025,MONTH(DATEVALUE(A5&amp;" 1")),1),
'INSPECTED FACILITIES 2025'!F:F,"&lt;"&amp;EOMONTH(DATE(2025,MONTH(DATEVALUE(A5&amp;" 1")),1),0)+1
)</f>
        <v>5</v>
      </c>
      <c r="E5">
        <f>COUNTIFS(
'INSPECTED FACILITIES 2025'!G:G,"Low-Risk (A)",
'INSPECTED FACILITIES 2025'!F:F,"&gt;="&amp;DATE(2025,MONTH(DATEVALUE(A5&amp;" 1")),1),
'INSPECTED FACILITIES 2025'!F:F,"&lt;"&amp;EOMONTH(DATE(2025,MONTH(DATEVALUE(A5&amp;" 1")),1),0)+1
)</f>
        <v>3</v>
      </c>
      <c r="F5">
        <f>COUNTIFS(
'INSPECTED FACILITIES 2025'!G:G,"Medium-Risk (B)",
'INSPECTED FACILITIES 2025'!F:F,"&gt;="&amp;DATE(2025,MONTH(DATEVALUE(A5&amp;" 1")),1),
'INSPECTED FACILITIES 2025'!F:F,"&lt;"&amp;EOMONTH(DATE(2025,MONTH(DATEVALUE(A5&amp;" 1")),1),0)+1
)</f>
        <v>7</v>
      </c>
      <c r="G5">
        <f>COUNTIFS(
'INSPECTED FACILITIES 2025'!G:G,"High-Risk (C)",
'INSPECTED FACILITIES 2025'!F:F,"&gt;="&amp;DATE(2025,MONTH(DATEVALUE(A5&amp;" 1")),1),
'INSPECTED FACILITIES 2025'!F:F,"&lt;"&amp;EOMONTH(DATE(2025,MONTH(DATEVALUE(A5&amp;" 1")),1),0)+1
)</f>
        <v>3</v>
      </c>
    </row>
    <row r="6" spans="1:7">
      <c r="A6" t="s">
        <v>462</v>
      </c>
      <c r="B6">
        <f>COUNTIFS(
'INSPECTED FACILITIES 2025'!E:E,"GDP",
'INSPECTED FACILITIES 2025'!F:F,"&gt;="&amp;DATE(2025,MONTH(DATEVALUE(A6&amp;" 1")),1),
'INSPECTED FACILITIES 2025'!F:F,"&lt;"&amp;EOMONTH(DATE(2025,MONTH(DATEVALUE(A6&amp;" 1")),1),0)+1
)</f>
        <v>10</v>
      </c>
      <c r="C6">
        <f>COUNTIFS(
'INSPECTED FACILITIES 2025'!E:E,"CAPA",
'INSPECTED FACILITIES 2025'!F:F,"&gt;="&amp;DATE(2025,MONTH(DATEVALUE(A6&amp;" 1")),1),
'INSPECTED FACILITIES 2025'!F:F,"&lt;"&amp;EOMONTH(DATE(2025,MONTH(DATEVALUE(A6&amp;" 1")),1),0)+1
)</f>
        <v>2</v>
      </c>
      <c r="D6">
        <f>COUNTIFS(
'INSPECTED FACILITIES 2025'!I:I,"YES",
'INSPECTED FACILITIES 2025'!F:F,"&gt;="&amp;DATE(2025,MONTH(DATEVALUE(A6&amp;" 1")),1),
'INSPECTED FACILITIES 2025'!F:F,"&lt;"&amp;EOMONTH(DATE(2025,MONTH(DATEVALUE(A6&amp;" 1")),1),0)+1
)</f>
        <v>6</v>
      </c>
      <c r="E6">
        <f>COUNTIFS(
'INSPECTED FACILITIES 2025'!G:G,"Low-Risk (A)",
'INSPECTED FACILITIES 2025'!F:F,"&gt;="&amp;DATE(2025,MONTH(DATEVALUE(A6&amp;" 1")),1),
'INSPECTED FACILITIES 2025'!F:F,"&lt;"&amp;EOMONTH(DATE(2025,MONTH(DATEVALUE(A6&amp;" 1")),1),0)+1
)</f>
        <v>3</v>
      </c>
      <c r="F6">
        <f>COUNTIFS(
'INSPECTED FACILITIES 2025'!G:G,"Medium-Risk (B)",
'INSPECTED FACILITIES 2025'!F:F,"&gt;="&amp;DATE(2025,MONTH(DATEVALUE(A6&amp;" 1")),1),
'INSPECTED FACILITIES 2025'!F:F,"&lt;"&amp;EOMONTH(DATE(2025,MONTH(DATEVALUE(A6&amp;" 1")),1),0)+1
)</f>
        <v>9</v>
      </c>
      <c r="G6">
        <f>COUNTIFS(
'INSPECTED FACILITIES 2025'!G:G,"High-Risk (C)",
'INSPECTED FACILITIES 2025'!F:F,"&gt;="&amp;DATE(2025,MONTH(DATEVALUE(A6&amp;" 1")),1),
'INSPECTED FACILITIES 2025'!F:F,"&lt;"&amp;EOMONTH(DATE(2025,MONTH(DATEVALUE(A6&amp;" 1")),1),0)+1
)</f>
        <v>0</v>
      </c>
    </row>
    <row r="7" spans="1:7">
      <c r="A7" t="s">
        <v>463</v>
      </c>
      <c r="B7">
        <f>COUNTIFS(
'INSPECTED FACILITIES 2025'!E:E,"GDP",
'INSPECTED FACILITIES 2025'!F:F,"&gt;="&amp;DATE(2025,MONTH(DATEVALUE(A7&amp;" 1")),1),
'INSPECTED FACILITIES 2025'!F:F,"&lt;"&amp;EOMONTH(DATE(2025,MONTH(DATEVALUE(A7&amp;" 1")),1),0)+1
)</f>
        <v>10</v>
      </c>
      <c r="C7">
        <f>COUNTIFS(
'INSPECTED FACILITIES 2025'!E:E,"CAPA",
'INSPECTED FACILITIES 2025'!F:F,"&gt;="&amp;DATE(2025,MONTH(DATEVALUE(A7&amp;" 1")),1),
'INSPECTED FACILITIES 2025'!F:F,"&lt;"&amp;EOMONTH(DATE(2025,MONTH(DATEVALUE(A7&amp;" 1")),1),0)+1
)</f>
        <v>2</v>
      </c>
      <c r="D7">
        <f>COUNTIFS(
'INSPECTED FACILITIES 2025'!I:I,"YES",
'INSPECTED FACILITIES 2025'!F:F,"&gt;="&amp;DATE(2025,MONTH(DATEVALUE(A7&amp;" 1")),1),
'INSPECTED FACILITIES 2025'!F:F,"&lt;"&amp;EOMONTH(DATE(2025,MONTH(DATEVALUE(A7&amp;" 1")),1),0)+1
)</f>
        <v>2</v>
      </c>
      <c r="E7">
        <f>COUNTIFS(
'INSPECTED FACILITIES 2025'!G:G,"Low-Risk (A)",
'INSPECTED FACILITIES 2025'!F:F,"&gt;="&amp;DATE(2025,MONTH(DATEVALUE(A7&amp;" 1")),1),
'INSPECTED FACILITIES 2025'!F:F,"&lt;"&amp;EOMONTH(DATE(2025,MONTH(DATEVALUE(A7&amp;" 1")),1),0)+1
)</f>
        <v>2</v>
      </c>
      <c r="F7">
        <f>COUNTIFS(
'INSPECTED FACILITIES 2025'!G:G,"Medium-Risk (B)",
'INSPECTED FACILITIES 2025'!F:F,"&gt;="&amp;DATE(2025,MONTH(DATEVALUE(A7&amp;" 1")),1),
'INSPECTED FACILITIES 2025'!F:F,"&lt;"&amp;EOMONTH(DATE(2025,MONTH(DATEVALUE(A7&amp;" 1")),1),0)+1
)</f>
        <v>10</v>
      </c>
      <c r="G7">
        <f>COUNTIFS(
'INSPECTED FACILITIES 2025'!G:G,"High-Risk (C)",
'INSPECTED FACILITIES 2025'!F:F,"&gt;="&amp;DATE(2025,MONTH(DATEVALUE(A7&amp;" 1")),1),
'INSPECTED FACILITIES 2025'!F:F,"&lt;"&amp;EOMONTH(DATE(2025,MONTH(DATEVALUE(A7&amp;" 1")),1),0)+1
)</f>
        <v>0</v>
      </c>
    </row>
    <row r="8" spans="1:7">
      <c r="A8" t="s">
        <v>464</v>
      </c>
      <c r="B8">
        <f>COUNTIFS(
'INSPECTED FACILITIES 2025'!E:E,"GDP",
'INSPECTED FACILITIES 2025'!F:F,"&gt;="&amp;DATE(2025,MONTH(DATEVALUE(A8&amp;" 1")),1),
'INSPECTED FACILITIES 2025'!F:F,"&lt;"&amp;EOMONTH(DATE(2025,MONTH(DATEVALUE(A8&amp;" 1")),1),0)+1
)</f>
        <v>11</v>
      </c>
      <c r="C8">
        <f>COUNTIFS(
'INSPECTED FACILITIES 2025'!E:E,"CAPA",
'INSPECTED FACILITIES 2025'!F:F,"&gt;="&amp;DATE(2025,MONTH(DATEVALUE(A8&amp;" 1")),1),
'INSPECTED FACILITIES 2025'!F:F,"&lt;"&amp;EOMONTH(DATE(2025,MONTH(DATEVALUE(A8&amp;" 1")),1),0)+1
)</f>
        <v>1</v>
      </c>
      <c r="D8">
        <f>COUNTIFS(
'INSPECTED FACILITIES 2025'!I:I,"YES",
'INSPECTED FACILITIES 2025'!F:F,"&gt;="&amp;DATE(2025,MONTH(DATEVALUE(A8&amp;" 1")),1),
'INSPECTED FACILITIES 2025'!F:F,"&lt;"&amp;EOMONTH(DATE(2025,MONTH(DATEVALUE(A8&amp;" 1")),1),0)+1
)</f>
        <v>2</v>
      </c>
      <c r="E8">
        <f>COUNTIFS(
'INSPECTED FACILITIES 2025'!G:G,"Low-Risk (A)",
'INSPECTED FACILITIES 2025'!F:F,"&gt;="&amp;DATE(2025,MONTH(DATEVALUE(A8&amp;" 1")),1),
'INSPECTED FACILITIES 2025'!F:F,"&lt;"&amp;EOMONTH(DATE(2025,MONTH(DATEVALUE(A8&amp;" 1")),1),0)+1
)</f>
        <v>2</v>
      </c>
      <c r="F8">
        <f>COUNTIFS(
'INSPECTED FACILITIES 2025'!G:G,"Medium-Risk (B)",
'INSPECTED FACILITIES 2025'!F:F,"&gt;="&amp;DATE(2025,MONTH(DATEVALUE(A8&amp;" 1")),1),
'INSPECTED FACILITIES 2025'!F:F,"&lt;"&amp;EOMONTH(DATE(2025,MONTH(DATEVALUE(A8&amp;" 1")),1),0)+1
)</f>
        <v>6</v>
      </c>
      <c r="G8">
        <f>COUNTIFS(
'INSPECTED FACILITIES 2025'!G:G,"High-Risk (C)",
'INSPECTED FACILITIES 2025'!F:F,"&gt;="&amp;DATE(2025,MONTH(DATEVALUE(A8&amp;" 1")),1),
'INSPECTED FACILITIES 2025'!F:F,"&lt;"&amp;EOMONTH(DATE(2025,MONTH(DATEVALUE(A8&amp;" 1")),1),0)+1
)</f>
        <v>4</v>
      </c>
    </row>
    <row r="9" spans="1:7">
      <c r="A9" t="s">
        <v>465</v>
      </c>
      <c r="B9">
        <f>COUNTIFS(
'INSPECTED FACILITIES 2025'!E:E,"GDP",
'INSPECTED FACILITIES 2025'!F:F,"&gt;="&amp;DATE(2025,MONTH(DATEVALUE(A9&amp;" 1")),1),
'INSPECTED FACILITIES 2025'!F:F,"&lt;"&amp;EOMONTH(DATE(2025,MONTH(DATEVALUE(A9&amp;" 1")),1),0)+1
)</f>
        <v>5</v>
      </c>
      <c r="C9">
        <f>COUNTIFS(
'INSPECTED FACILITIES 2025'!E:E,"CAPA",
'INSPECTED FACILITIES 2025'!F:F,"&gt;="&amp;DATE(2025,MONTH(DATEVALUE(A9&amp;" 1")),1),
'INSPECTED FACILITIES 2025'!F:F,"&lt;"&amp;EOMONTH(DATE(2025,MONTH(DATEVALUE(A9&amp;" 1")),1),0)+1
)</f>
        <v>0</v>
      </c>
      <c r="D9">
        <f>COUNTIFS(
'INSPECTED FACILITIES 2025'!I:I,"YES",
'INSPECTED FACILITIES 2025'!F:F,"&gt;="&amp;DATE(2025,MONTH(DATEVALUE(A9&amp;" 1")),1),
'INSPECTED FACILITIES 2025'!F:F,"&lt;"&amp;EOMONTH(DATE(2025,MONTH(DATEVALUE(A9&amp;" 1")),1),0)+1
)</f>
        <v>2</v>
      </c>
      <c r="E9">
        <f>COUNTIFS(
'INSPECTED FACILITIES 2025'!G:G,"Low-Risk (A)",
'INSPECTED FACILITIES 2025'!F:F,"&gt;="&amp;DATE(2025,MONTH(DATEVALUE(A9&amp;" 1")),1),
'INSPECTED FACILITIES 2025'!F:F,"&lt;"&amp;EOMONTH(DATE(2025,MONTH(DATEVALUE(A9&amp;" 1")),1),0)+1
)</f>
        <v>0</v>
      </c>
      <c r="F9">
        <f>COUNTIFS(
'INSPECTED FACILITIES 2025'!G:G,"Medium-Risk (B)",
'INSPECTED FACILITIES 2025'!F:F,"&gt;="&amp;DATE(2025,MONTH(DATEVALUE(A9&amp;" 1")),1),
'INSPECTED FACILITIES 2025'!F:F,"&lt;"&amp;EOMONTH(DATE(2025,MONTH(DATEVALUE(A9&amp;" 1")),1),0)+1
)</f>
        <v>2</v>
      </c>
      <c r="G9">
        <f>COUNTIFS(
'INSPECTED FACILITIES 2025'!G:G,"High-Risk (C)",
'INSPECTED FACILITIES 2025'!F:F,"&gt;="&amp;DATE(2025,MONTH(DATEVALUE(A9&amp;" 1")),1),
'INSPECTED FACILITIES 2025'!F:F,"&lt;"&amp;EOMONTH(DATE(2025,MONTH(DATEVALUE(A9&amp;" 1")),1),0)+1
)</f>
        <v>3</v>
      </c>
    </row>
    <row r="10" spans="1:7">
      <c r="A10" t="s">
        <v>466</v>
      </c>
      <c r="B10">
        <f>COUNTIFS(
'INSPECTED FACILITIES 2025'!E:E,"GDP",
'INSPECTED FACILITIES 2025'!F:F,"&gt;="&amp;DATE(2025,MONTH(DATEVALUE(A10&amp;" 1")),1),
'INSPECTED FACILITIES 2025'!F:F,"&lt;"&amp;EOMONTH(DATE(2025,MONTH(DATEVALUE(A10&amp;" 1")),1),0)+1
)</f>
        <v>9</v>
      </c>
      <c r="C10">
        <f>COUNTIFS(
'INSPECTED FACILITIES 2025'!E:E,"CAPA",
'INSPECTED FACILITIES 2025'!F:F,"&gt;="&amp;DATE(2025,MONTH(DATEVALUE(A10&amp;" 1")),1),
'INSPECTED FACILITIES 2025'!F:F,"&lt;"&amp;EOMONTH(DATE(2025,MONTH(DATEVALUE(A10&amp;" 1")),1),0)+1
)</f>
        <v>4</v>
      </c>
      <c r="D10">
        <f>COUNTIFS(
'INSPECTED FACILITIES 2025'!I:I,"YES",
'INSPECTED FACILITIES 2025'!F:F,"&gt;="&amp;DATE(2025,MONTH(DATEVALUE(A10&amp;" 1")),1),
'INSPECTED FACILITIES 2025'!F:F,"&lt;"&amp;EOMONTH(DATE(2025,MONTH(DATEVALUE(A10&amp;" 1")),1),0)+1
)</f>
        <v>2</v>
      </c>
      <c r="E10">
        <f>COUNTIFS(
'INSPECTED FACILITIES 2025'!G:G,"Low-Risk (A)",
'INSPECTED FACILITIES 2025'!F:F,"&gt;="&amp;DATE(2025,MONTH(DATEVALUE(A10&amp;" 1")),1),
'INSPECTED FACILITIES 2025'!F:F,"&lt;"&amp;EOMONTH(DATE(2025,MONTH(DATEVALUE(A10&amp;" 1")),1),0)+1
)</f>
        <v>7</v>
      </c>
      <c r="F10">
        <f>COUNTIFS(
'INSPECTED FACILITIES 2025'!G:G,"Medium-Risk (B)",
'INSPECTED FACILITIES 2025'!F:F,"&gt;="&amp;DATE(2025,MONTH(DATEVALUE(A10&amp;" 1")),1),
'INSPECTED FACILITIES 2025'!F:F,"&lt;"&amp;EOMONTH(DATE(2025,MONTH(DATEVALUE(A10&amp;" 1")),1),0)+1
)</f>
        <v>6</v>
      </c>
      <c r="G10">
        <f>COUNTIFS(
'INSPECTED FACILITIES 2025'!G:G,"High-Risk (C)",
'INSPECTED FACILITIES 2025'!F:F,"&gt;="&amp;DATE(2025,MONTH(DATEVALUE(A10&amp;" 1")),1),
'INSPECTED FACILITIES 2025'!F:F,"&lt;"&amp;EOMONTH(DATE(2025,MONTH(DATEVALUE(A10&amp;" 1")),1),0)+1
)</f>
        <v>0</v>
      </c>
    </row>
    <row r="11" spans="1:7">
      <c r="A11" t="s">
        <v>467</v>
      </c>
      <c r="B11">
        <f>COUNTIFS(
'INSPECTED FACILITIES 2025'!E:E,"GDP",
'INSPECTED FACILITIES 2025'!F:F,"&gt;="&amp;DATE(2025,MONTH(DATEVALUE(A11&amp;" 1")),1),
'INSPECTED FACILITIES 2025'!F:F,"&lt;"&amp;EOMONTH(DATE(2025,MONTH(DATEVALUE(A11&amp;" 1")),1),0)+1
)</f>
        <v>3</v>
      </c>
      <c r="C11">
        <f>COUNTIFS(
'INSPECTED FACILITIES 2025'!E:E,"CAPA",
'INSPECTED FACILITIES 2025'!F:F,"&gt;="&amp;DATE(2025,MONTH(DATEVALUE(A11&amp;" 1")),1),
'INSPECTED FACILITIES 2025'!F:F,"&lt;"&amp;EOMONTH(DATE(2025,MONTH(DATEVALUE(A11&amp;" 1")),1),0)+1
)</f>
        <v>6</v>
      </c>
      <c r="D11">
        <f>COUNTIFS(
'INSPECTED FACILITIES 2025'!I:I,"YES",
'INSPECTED FACILITIES 2025'!F:F,"&gt;="&amp;DATE(2025,MONTH(DATEVALUE(A11&amp;" 1")),1),
'INSPECTED FACILITIES 2025'!F:F,"&lt;"&amp;EOMONTH(DATE(2025,MONTH(DATEVALUE(A11&amp;" 1")),1),0)+1
)</f>
        <v>1</v>
      </c>
      <c r="E11">
        <f>COUNTIFS(
'INSPECTED FACILITIES 2025'!G:G,"Low-Risk (A)",
'INSPECTED FACILITIES 2025'!F:F,"&gt;="&amp;DATE(2025,MONTH(DATEVALUE(A11&amp;" 1")),1),
'INSPECTED FACILITIES 2025'!F:F,"&lt;"&amp;EOMONTH(DATE(2025,MONTH(DATEVALUE(A11&amp;" 1")),1),0)+1
)</f>
        <v>2</v>
      </c>
      <c r="F11">
        <f>COUNTIFS(
'INSPECTED FACILITIES 2025'!G:G,"Medium-Risk (B)",
'INSPECTED FACILITIES 2025'!F:F,"&gt;="&amp;DATE(2025,MONTH(DATEVALUE(A11&amp;" 1")),1),
'INSPECTED FACILITIES 2025'!F:F,"&lt;"&amp;EOMONTH(DATE(2025,MONTH(DATEVALUE(A11&amp;" 1")),1),0)+1
)</f>
        <v>4</v>
      </c>
      <c r="G11">
        <f>COUNTIFS(
'INSPECTED FACILITIES 2025'!G:G,"High-Risk (C)",
'INSPECTED FACILITIES 2025'!F:F,"&gt;="&amp;DATE(2025,MONTH(DATEVALUE(A11&amp;" 1")),1),
'INSPECTED FACILITIES 2025'!F:F,"&lt;"&amp;EOMONTH(DATE(2025,MONTH(DATEVALUE(A11&amp;" 1")),1),0)+1
)</f>
        <v>2</v>
      </c>
    </row>
    <row r="12" spans="1:7">
      <c r="A12" t="s">
        <v>468</v>
      </c>
      <c r="B12">
        <f>COUNTIFS(
'INSPECTED FACILITIES 2025'!E:E,"GDP",
'INSPECTED FACILITIES 2025'!F:F,"&gt;="&amp;DATE(2025,MONTH(DATEVALUE(A12&amp;" 1")),1),
'INSPECTED FACILITIES 2025'!F:F,"&lt;"&amp;EOMONTH(DATE(2025,MONTH(DATEVALUE(A12&amp;" 1")),1),0)+1
)</f>
        <v>9</v>
      </c>
      <c r="C12">
        <f>COUNTIFS(
'INSPECTED FACILITIES 2025'!E:E,"CAPA",
'INSPECTED FACILITIES 2025'!F:F,"&gt;="&amp;DATE(2025,MONTH(DATEVALUE(A12&amp;" 1")),1),
'INSPECTED FACILITIES 2025'!F:F,"&lt;"&amp;EOMONTH(DATE(2025,MONTH(DATEVALUE(A12&amp;" 1")),1),0)+1
)</f>
        <v>4</v>
      </c>
      <c r="D12">
        <f>COUNTIFS(
'INSPECTED FACILITIES 2025'!I:I,"YES",
'INSPECTED FACILITIES 2025'!F:F,"&gt;="&amp;DATE(2025,MONTH(DATEVALUE(A12&amp;" 1")),1),
'INSPECTED FACILITIES 2025'!F:F,"&lt;"&amp;EOMONTH(DATE(2025,MONTH(DATEVALUE(A12&amp;" 1")),1),0)+1
)</f>
        <v>2</v>
      </c>
      <c r="E12">
        <f>COUNTIFS(
'INSPECTED FACILITIES 2025'!G:G,"Low-Risk (A)",
'INSPECTED FACILITIES 2025'!F:F,"&gt;="&amp;DATE(2025,MONTH(DATEVALUE(A12&amp;" 1")),1),
'INSPECTED FACILITIES 2025'!F:F,"&lt;"&amp;EOMONTH(DATE(2025,MONTH(DATEVALUE(A12&amp;" 1")),1),0)+1
)</f>
        <v>5</v>
      </c>
      <c r="F12">
        <f>COUNTIFS(
'INSPECTED FACILITIES 2025'!G:G,"Medium-Risk (B)",
'INSPECTED FACILITIES 2025'!F:F,"&gt;="&amp;DATE(2025,MONTH(DATEVALUE(A12&amp;" 1")),1),
'INSPECTED FACILITIES 2025'!F:F,"&lt;"&amp;EOMONTH(DATE(2025,MONTH(DATEVALUE(A12&amp;" 1")),1),0)+1
)</f>
        <v>5</v>
      </c>
      <c r="G12">
        <f>COUNTIFS(
'INSPECTED FACILITIES 2025'!G:G,"High-Risk (C)",
'INSPECTED FACILITIES 2025'!F:F,"&gt;="&amp;DATE(2025,MONTH(DATEVALUE(A12&amp;" 1")),1),
'INSPECTED FACILITIES 2025'!F:F,"&lt;"&amp;EOMONTH(DATE(2025,MONTH(DATEVALUE(A12&amp;" 1")),1),0)+1
)</f>
        <v>3</v>
      </c>
    </row>
    <row r="13" spans="1:7">
      <c r="A13" t="s">
        <v>469</v>
      </c>
      <c r="B13">
        <f>COUNTIFS(
'INSPECTED FACILITIES 2025'!E:E,"GDP",
'INSPECTED FACILITIES 2025'!F:F,"&gt;="&amp;DATE(2025,MONTH(DATEVALUE(A13&amp;" 1")),1),
'INSPECTED FACILITIES 2025'!F:F,"&lt;"&amp;EOMONTH(DATE(2025,MONTH(DATEVALUE(A13&amp;" 1")),1),0)+1
)</f>
        <v>6</v>
      </c>
      <c r="C13">
        <f>COUNTIFS(
'INSPECTED FACILITIES 2025'!E:E,"CAPA",
'INSPECTED FACILITIES 2025'!F:F,"&gt;="&amp;DATE(2025,MONTH(DATEVALUE(A13&amp;" 1")),1),
'INSPECTED FACILITIES 2025'!F:F,"&lt;"&amp;EOMONTH(DATE(2025,MONTH(DATEVALUE(A13&amp;" 1")),1),0)+1
)</f>
        <v>5</v>
      </c>
      <c r="D13">
        <f>COUNTIFS(
'INSPECTED FACILITIES 2025'!I:I,"YES",
'INSPECTED FACILITIES 2025'!F:F,"&gt;="&amp;DATE(2025,MONTH(DATEVALUE(A13&amp;" 1")),1),
'INSPECTED FACILITIES 2025'!F:F,"&lt;"&amp;EOMONTH(DATE(2025,MONTH(DATEVALUE(A13&amp;" 1")),1),0)+1
)</f>
        <v>2</v>
      </c>
      <c r="E13">
        <f>COUNTIFS(
'INSPECTED FACILITIES 2025'!G:G,"Low-Risk (A)",
'INSPECTED FACILITIES 2025'!F:F,"&gt;="&amp;DATE(2025,MONTH(DATEVALUE(A13&amp;" 1")),1),
'INSPECTED FACILITIES 2025'!F:F,"&lt;"&amp;EOMONTH(DATE(2025,MONTH(DATEVALUE(A13&amp;" 1")),1),0)+1
)</f>
        <v>3</v>
      </c>
      <c r="F13">
        <f>COUNTIFS(
'INSPECTED FACILITIES 2025'!G:G,"Medium-Risk (B)",
'INSPECTED FACILITIES 2025'!F:F,"&gt;="&amp;DATE(2025,MONTH(DATEVALUE(A13&amp;" 1")),1),
'INSPECTED FACILITIES 2025'!F:F,"&lt;"&amp;EOMONTH(DATE(2025,MONTH(DATEVALUE(A13&amp;" 1")),1),0)+1
)</f>
        <v>5</v>
      </c>
      <c r="G13">
        <f>COUNTIFS(
'INSPECTED FACILITIES 2025'!G:G,"High-Risk (C)",
'INSPECTED FACILITIES 2025'!F:F,"&gt;="&amp;DATE(2025,MONTH(DATEVALUE(A13&amp;" 1")),1),
'INSPECTED FACILITIES 2025'!F:F,"&lt;"&amp;EOMONTH(DATE(2025,MONTH(DATEVALUE(A13&amp;" 1")),1),0)+1
)</f>
        <v>3</v>
      </c>
    </row>
    <row r="14" spans="1:7">
      <c r="A14" t="s">
        <v>470</v>
      </c>
      <c r="B14">
        <f>COUNTIFS(
'INSPECTED FACILITIES 2025'!E:E,"GDP",
'INSPECTED FACILITIES 2025'!F:F,"&gt;="&amp;DATE(2025,MONTH(DATEVALUE(A14&amp;" 1")),1),
'INSPECTED FACILITIES 2025'!F:F,"&lt;"&amp;EOMONTH(DATE(2025,MONTH(DATEVALUE(A14&amp;" 1")),1),0)+1
)</f>
        <v>0</v>
      </c>
      <c r="C14">
        <f>COUNTIFS(
'INSPECTED FACILITIES 2025'!E:E,"CAPA",
'INSPECTED FACILITIES 2025'!F:F,"&gt;="&amp;DATE(2025,MONTH(DATEVALUE(A14&amp;" 1")),1),
'INSPECTED FACILITIES 2025'!F:F,"&lt;"&amp;EOMONTH(DATE(2025,MONTH(DATEVALUE(A14&amp;" 1")),1),0)+1
)</f>
        <v>0</v>
      </c>
      <c r="D14">
        <f>COUNTIFS(
'INSPECTED FACILITIES 2025'!I:I,"YES",
'INSPECTED FACILITIES 2025'!F:F,"&gt;="&amp;DATE(2025,MONTH(DATEVALUE(A14&amp;" 1")),1),
'INSPECTED FACILITIES 2025'!F:F,"&lt;"&amp;EOMONTH(DATE(2025,MONTH(DATEVALUE(A14&amp;" 1")),1),0)+1
)</f>
        <v>0</v>
      </c>
      <c r="E14">
        <f>COUNTIFS(
'INSPECTED FACILITIES 2025'!G:G,"Low-Risk (A)",
'INSPECTED FACILITIES 2025'!F:F,"&gt;="&amp;DATE(2025,MONTH(DATEVALUE(A14&amp;" 1")),1),
'INSPECTED FACILITIES 2025'!F:F,"&lt;"&amp;EOMONTH(DATE(2025,MONTH(DATEVALUE(A14&amp;" 1")),1),0)+1
)</f>
        <v>0</v>
      </c>
      <c r="F14">
        <f>COUNTIFS(
'INSPECTED FACILITIES 2025'!G:G,"Medium-Risk (B)",
'INSPECTED FACILITIES 2025'!F:F,"&gt;="&amp;DATE(2025,MONTH(DATEVALUE(A14&amp;" 1")),1),
'INSPECTED FACILITIES 2025'!F:F,"&lt;"&amp;EOMONTH(DATE(2025,MONTH(DATEVALUE(A14&amp;" 1")),1),0)+1
)</f>
        <v>0</v>
      </c>
      <c r="G14">
        <f>COUNTIFS(
'INSPECTED FACILITIES 2025'!G:G,"High-Risk (C)",
'INSPECTED FACILITIES 2025'!F:F,"&gt;="&amp;DATE(2025,MONTH(DATEVALUE(A14&amp;" 1")),1),
'INSPECTED FACILITIES 2025'!F:F,"&lt;"&amp;EOMONTH(DATE(2025,MONTH(DATEVALUE(A14&amp;" 1")),1),0)+1
)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DATE xmlns="b13d5edd-c324-4cc7-96f8-eb6094d850cb" xsi:nil="true"/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SentBy xmlns="b13d5edd-c324-4cc7-96f8-eb6094d850cb">
      <UserInfo>
        <DisplayName/>
        <AccountId xsi:nil="true"/>
        <AccountType/>
      </UserInfo>
    </_ApprovalSentBy>
    <GLSISTATUS xmlns="b13d5edd-c324-4cc7-96f8-eb6094d850c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20" ma:contentTypeDescription="Create a new document." ma:contentTypeScope="" ma:versionID="b2269030e1d5b884177cefd80b5e9eb7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be4ec57f75b398270395586eb78763aa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A6012D-ABA7-44D5-9CC7-094FB9C435D9}"/>
</file>

<file path=customXml/itemProps2.xml><?xml version="1.0" encoding="utf-8"?>
<ds:datastoreItem xmlns:ds="http://schemas.openxmlformats.org/officeDocument/2006/customXml" ds:itemID="{F9CB2154-DFDA-4DA1-9006-B8C11A121022}"/>
</file>

<file path=customXml/itemProps3.xml><?xml version="1.0" encoding="utf-8"?>
<ds:datastoreItem xmlns:ds="http://schemas.openxmlformats.org/officeDocument/2006/customXml" ds:itemID="{52991B65-17B1-40EF-8871-ACC60FB487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Adegbite Adeboyin</cp:lastModifiedBy>
  <cp:revision/>
  <dcterms:created xsi:type="dcterms:W3CDTF">2025-12-16T23:03:43Z</dcterms:created>
  <dcterms:modified xsi:type="dcterms:W3CDTF">2026-07-28T12:38:17Z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  <property fmtid="{D5CDD505-2E9C-101B-9397-08002B2CF9AE}" pid="3" name="MediaServiceImageTags">
    <vt:lpwstr/>
  </property>
  <property fmtid="{D5CDD505-2E9C-101B-9397-08002B2CF9AE}" pid="4" name="WorkbookGuid">
    <vt:lpwstr>09d3012d-a4f8-41b7-830e-c3452bf8eab6</vt:lpwstr>
  </property>
</Properties>
</file>